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UTS\Desktop\RIESGOS INSTITUCIONALES 2025- PRIMER MONITOREO\ADMISIONES\"/>
    </mc:Choice>
  </mc:AlternateContent>
  <bookViews>
    <workbookView xWindow="0" yWindow="0" windowWidth="20490" windowHeight="7650" tabRatio="784" firstSheet="2" activeTab="5"/>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s>
  <definedNames>
    <definedName name="ALTA">[1]INSTRUCTIVO!$J$1:$J$2</definedName>
    <definedName name="_xlnm.Print_Area" localSheetId="2">DOFA!$A$1:$M$30</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91028"/>
  <pivotCaches>
    <pivotCache cacheId="0"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4" l="1"/>
  <c r="F11" i="24"/>
  <c r="E11" i="24"/>
  <c r="S11" i="25"/>
  <c r="V11" i="25"/>
  <c r="E11" i="23" l="1"/>
  <c r="F11" i="23"/>
  <c r="D1" i="23" l="1"/>
  <c r="T2" i="23"/>
  <c r="D2" i="23"/>
  <c r="A2" i="23"/>
  <c r="N5" i="23"/>
  <c r="N4" i="23"/>
  <c r="D5" i="23"/>
  <c r="D4" i="23"/>
  <c r="R19" i="23"/>
  <c r="R18" i="23"/>
  <c r="H18" i="23"/>
  <c r="P19" i="24"/>
  <c r="P18" i="24"/>
  <c r="I18" i="24"/>
  <c r="D5" i="24"/>
  <c r="D4" i="24"/>
  <c r="D2" i="24"/>
  <c r="D1" i="24"/>
  <c r="A2" i="24"/>
  <c r="F2" i="26"/>
  <c r="A2" i="26"/>
  <c r="B2" i="26"/>
  <c r="B1" i="26"/>
  <c r="F19" i="26"/>
  <c r="F18" i="26"/>
  <c r="D18" i="26"/>
  <c r="B18" i="26"/>
  <c r="G15" i="24" l="1"/>
  <c r="F15" i="24"/>
  <c r="E15" i="24"/>
  <c r="G14" i="24"/>
  <c r="F14" i="24"/>
  <c r="E14" i="24"/>
  <c r="G13" i="24"/>
  <c r="F13" i="24"/>
  <c r="E13" i="24"/>
  <c r="G12" i="24"/>
  <c r="F12" i="24"/>
  <c r="E12"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15" i="23"/>
  <c r="F15" i="23"/>
  <c r="G14" i="23"/>
  <c r="F14" i="23"/>
  <c r="G13" i="23"/>
  <c r="F13" i="23"/>
  <c r="G12" i="23"/>
  <c r="F12" i="23"/>
  <c r="G11" i="23"/>
  <c r="G10" i="23"/>
  <c r="F10" i="23"/>
  <c r="E15" i="23"/>
  <c r="E14" i="23"/>
  <c r="E13" i="23"/>
  <c r="E12" i="23"/>
  <c r="E10" i="23"/>
  <c r="G8" i="23"/>
  <c r="F8" i="23"/>
  <c r="E8" i="23"/>
  <c r="D8" i="23"/>
  <c r="C8" i="23"/>
  <c r="B8" i="23"/>
  <c r="A8" i="23"/>
  <c r="V10" i="25" l="1"/>
  <c r="J15" i="24" l="1"/>
  <c r="I15" i="24"/>
  <c r="H15" i="24"/>
  <c r="J14" i="24"/>
  <c r="I14" i="24"/>
  <c r="H14" i="24"/>
  <c r="J13" i="24"/>
  <c r="I13" i="24"/>
  <c r="H13" i="24"/>
  <c r="J12" i="24"/>
  <c r="I12" i="24"/>
  <c r="H12" i="24"/>
  <c r="J11" i="24"/>
  <c r="I11" i="24"/>
  <c r="H11" i="24"/>
  <c r="O15" i="23"/>
  <c r="N15" i="23"/>
  <c r="M15" i="23"/>
  <c r="L15" i="23"/>
  <c r="K15" i="23"/>
  <c r="O14" i="23"/>
  <c r="N14" i="23"/>
  <c r="M14" i="23"/>
  <c r="L14" i="23"/>
  <c r="K14" i="23"/>
  <c r="O13" i="23"/>
  <c r="N13" i="23"/>
  <c r="M13" i="23"/>
  <c r="L13" i="23"/>
  <c r="K13" i="23"/>
  <c r="O12" i="23"/>
  <c r="N12" i="23"/>
  <c r="M12" i="23"/>
  <c r="L12" i="23"/>
  <c r="K12" i="23"/>
  <c r="O10" i="23"/>
  <c r="N10" i="23"/>
  <c r="M10" i="23"/>
  <c r="L10" i="23"/>
  <c r="K10" i="23"/>
  <c r="J15" i="23"/>
  <c r="J14" i="23"/>
  <c r="J13" i="23"/>
  <c r="J12" i="23"/>
  <c r="J10" i="23"/>
  <c r="I15" i="23"/>
  <c r="I14" i="23"/>
  <c r="I13" i="23"/>
  <c r="I12" i="23"/>
  <c r="I11" i="23"/>
  <c r="I10" i="23"/>
  <c r="Q15" i="23"/>
  <c r="Q14" i="23"/>
  <c r="Q13" i="23"/>
  <c r="Q12" i="23"/>
  <c r="Q10" i="23"/>
  <c r="D10" i="24"/>
  <c r="C10" i="24"/>
  <c r="D10" i="23"/>
  <c r="C10" i="23"/>
  <c r="B10" i="23"/>
  <c r="H10" i="24"/>
  <c r="B10" i="24"/>
  <c r="A10" i="24"/>
  <c r="A10" i="23"/>
  <c r="V15" i="25"/>
  <c r="S15" i="25"/>
  <c r="V14" i="25"/>
  <c r="S14" i="25"/>
  <c r="V13" i="25"/>
  <c r="S13" i="25"/>
  <c r="V12" i="25"/>
  <c r="S12" i="25"/>
  <c r="S10" i="25"/>
  <c r="I10" i="25"/>
  <c r="J10" i="25" s="1"/>
  <c r="J10" i="24"/>
  <c r="I10" i="24"/>
  <c r="Z14" i="25" l="1"/>
  <c r="AA14" i="25" s="1"/>
  <c r="Z15" i="25"/>
  <c r="AA15" i="25" s="1"/>
  <c r="Z10" i="25"/>
  <c r="AB10" i="25" s="1"/>
  <c r="Z11" i="25" s="1"/>
  <c r="AD12" i="25"/>
  <c r="AC12" i="25" s="1"/>
  <c r="AD13" i="25"/>
  <c r="AC13" i="25" s="1"/>
  <c r="Z12" i="25"/>
  <c r="AD14" i="25"/>
  <c r="AC14" i="25" s="1"/>
  <c r="Z13" i="25"/>
  <c r="AD15" i="25"/>
  <c r="AC15" i="25" s="1"/>
  <c r="M14" i="25"/>
  <c r="M15" i="25"/>
  <c r="M12" i="25"/>
  <c r="M13" i="25"/>
  <c r="M11" i="25"/>
  <c r="AA11" i="25" l="1"/>
  <c r="AB11" i="25"/>
  <c r="AB15" i="25"/>
  <c r="AB14" i="25"/>
  <c r="AE15" i="25"/>
  <c r="P15" i="23" s="1"/>
  <c r="AA10" i="25"/>
  <c r="AA13" i="25"/>
  <c r="AE13" i="25" s="1"/>
  <c r="P13" i="23" s="1"/>
  <c r="AB13" i="25"/>
  <c r="AB12" i="25"/>
  <c r="AA12" i="25"/>
  <c r="AE12" i="25" s="1"/>
  <c r="P12" i="23" s="1"/>
  <c r="AE14" i="25"/>
  <c r="P14" i="23" s="1"/>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X6" i="18" l="1"/>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P16" i="19" l="1"/>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M10" i="25" l="1"/>
  <c r="N10" i="25" s="1"/>
  <c r="O10" i="25" l="1"/>
  <c r="AD10" i="25" s="1"/>
  <c r="P10" i="25"/>
  <c r="H10" i="23" s="1"/>
  <c r="AC10" i="25" l="1"/>
  <c r="AE10" i="25" s="1"/>
  <c r="P10" i="23" s="1"/>
  <c r="AD11" i="25"/>
  <c r="AC11" i="25" s="1"/>
  <c r="AE11" i="25" s="1"/>
  <c r="B223" i="13"/>
  <c r="B222" i="13"/>
</calcChain>
</file>

<file path=xl/comments1.xml><?xml version="1.0" encoding="utf-8"?>
<comments xmlns="http://schemas.openxmlformats.org/spreadsheetml/2006/main">
  <authors>
    <author>Usuario</author>
    <author>USUARIO</author>
  </authors>
  <commentList>
    <comment ref="A4" authorId="0" shapeId="0">
      <text>
        <r>
          <rPr>
            <sz val="9"/>
            <color indexed="81"/>
            <rFont val="Tahoma"/>
            <family val="2"/>
          </rPr>
          <t>Seleccionar el NOMBRE del Proceso responsable de los riesgos</t>
        </r>
      </text>
    </comment>
    <comment ref="N4" authorId="1" shapeId="0">
      <text>
        <r>
          <rPr>
            <sz val="9"/>
            <color rgb="FF000000"/>
            <rFont val="Tahoma"/>
            <family val="2"/>
          </rPr>
          <t>Ingresar la VIGENCIA correspondiente al  seguimiento de riesgos</t>
        </r>
      </text>
    </comment>
    <comment ref="A5" authorId="0" shapeId="0">
      <text>
        <r>
          <rPr>
            <sz val="9"/>
            <color indexed="81"/>
            <rFont val="Tahoma"/>
            <family val="2"/>
          </rPr>
          <t>Ingresar DEPENDENCIA, GRUPO u OFICINA responsable de los riesgos</t>
        </r>
      </text>
    </comment>
    <comment ref="N5" authorId="1" shapeId="0">
      <text>
        <r>
          <rPr>
            <sz val="9"/>
            <color rgb="FF000000"/>
            <rFont val="Tahoma"/>
            <family val="2"/>
          </rPr>
          <t xml:space="preserve">Ingresar el nombre y cargo del LÍDER que tiene  responsabilidad  en el  cumplimiento de los riesgos </t>
        </r>
      </text>
    </comment>
    <comment ref="A8" authorId="0" shapeId="0">
      <text>
        <r>
          <rPr>
            <sz val="9"/>
            <color indexed="81"/>
            <rFont val="Tahoma"/>
            <family val="2"/>
          </rPr>
          <t xml:space="preserve">Ingresar el NÚMERO (consecutivo) del riesgo </t>
        </r>
      </text>
    </comment>
    <comment ref="B8" authorId="0" shapeId="0">
      <text>
        <r>
          <rPr>
            <sz val="9"/>
            <color indexed="81"/>
            <rFont val="Tahoma"/>
            <family val="2"/>
          </rPr>
          <t>Seleccionar la CATEGORÍA del riesgo según corresponda</t>
        </r>
      </text>
    </comment>
    <comment ref="C8" authorId="0" shapeId="0">
      <text>
        <r>
          <rPr>
            <sz val="9"/>
            <color indexed="81"/>
            <rFont val="Tahoma"/>
            <family val="2"/>
          </rPr>
          <t>Seleccionar la CLASIFICACIÓN del riesgo según corresponda</t>
        </r>
      </text>
    </comment>
    <comment ref="D8" authorId="0" shapeId="0">
      <text>
        <r>
          <rPr>
            <sz val="9"/>
            <color indexed="81"/>
            <rFont val="Tahoma"/>
            <family val="2"/>
          </rPr>
          <t>Describir el RIESGO presente en el proceso</t>
        </r>
      </text>
    </comment>
    <comment ref="E8" authorId="0" shapeId="0">
      <text>
        <r>
          <rPr>
            <sz val="9"/>
            <color indexed="81"/>
            <rFont val="Tahoma"/>
            <family val="2"/>
          </rPr>
          <t>Seleccionar los FACTORES  (internos o externos) que inciden en el riesgo</t>
        </r>
      </text>
    </comment>
    <comment ref="F8" authorId="0" shapeId="0">
      <text>
        <r>
          <rPr>
            <sz val="9"/>
            <color indexed="81"/>
            <rFont val="Tahoma"/>
            <family val="2"/>
          </rPr>
          <t>Ingresar las CAUSAS que generan el riesgo</t>
        </r>
      </text>
    </comment>
    <comment ref="G8" authorId="0" shapeId="0">
      <text>
        <r>
          <rPr>
            <sz val="9"/>
            <color indexed="81"/>
            <rFont val="Tahoma"/>
            <family val="2"/>
          </rPr>
          <t>Ingresar las CONSECUENCIAS que se generan a partir del riesgo</t>
        </r>
      </text>
    </comment>
    <comment ref="H8" authorId="0" shapeId="0">
      <text>
        <r>
          <rPr>
            <sz val="9"/>
            <color indexed="81"/>
            <rFont val="Tahoma"/>
            <family val="2"/>
          </rPr>
          <t>Ingresar la FRECUENCIA con la que se presenta el riesgo</t>
        </r>
      </text>
    </comment>
    <comment ref="I8" authorId="0" shapeId="0">
      <text>
        <r>
          <rPr>
            <sz val="9"/>
            <color indexed="81"/>
            <rFont val="Tahoma"/>
            <family val="2"/>
          </rPr>
          <t>Visualiza la PROBABILIDAD INHERENTE al riesgo dada la frecuencia con la que se presenta</t>
        </r>
      </text>
    </comment>
    <comment ref="K8" authorId="0" shapeId="0">
      <text>
        <r>
          <rPr>
            <sz val="9"/>
            <color indexed="81"/>
            <rFont val="Tahoma"/>
            <family val="2"/>
          </rPr>
          <t>Seleccionar el IMPACTO que causa el riesgo en la Institución</t>
        </r>
      </text>
    </comment>
    <comment ref="L8" authorId="0" shapeId="0">
      <text>
        <r>
          <rPr>
            <sz val="9"/>
            <color indexed="81"/>
            <rFont val="Tahoma"/>
            <family val="2"/>
          </rPr>
          <t>Seleccionar CRITERIOS que causa el impacto del riesgo en la Institución</t>
        </r>
      </text>
    </comment>
    <comment ref="N8" authorId="0" shapeId="0">
      <text>
        <r>
          <rPr>
            <sz val="9"/>
            <color indexed="81"/>
            <rFont val="Tahoma"/>
            <family val="2"/>
          </rPr>
          <t>Visualiza el IMPACTO INHERENTE al riesgo según los criterios seleccionados</t>
        </r>
      </text>
    </comment>
    <comment ref="P8" authorId="0" shapeId="0">
      <text>
        <r>
          <rPr>
            <sz val="9"/>
            <color indexed="81"/>
            <rFont val="Tahoma"/>
            <family val="2"/>
          </rPr>
          <t>Visualiza la ZONA DE RIESGO INHERENTE según la frecuencia y el impacto con el que se presenta el riesgo</t>
        </r>
      </text>
    </comment>
    <comment ref="Q8" authorId="0" shapeId="0">
      <text>
        <r>
          <rPr>
            <sz val="9"/>
            <color indexed="81"/>
            <rFont val="Tahoma"/>
            <family val="2"/>
          </rPr>
          <t xml:space="preserve">Ingresar el NÚMERO (consecutivo) del control del riesgo </t>
        </r>
      </text>
    </comment>
    <comment ref="R8" authorId="0" shapeId="0">
      <text>
        <r>
          <rPr>
            <sz val="9"/>
            <color indexed="81"/>
            <rFont val="Tahoma"/>
            <family val="2"/>
          </rPr>
          <t>Describir el CONTROL que se realiza según el riesgo</t>
        </r>
      </text>
    </comment>
    <comment ref="AA8" authorId="0" shapeId="0">
      <text>
        <r>
          <rPr>
            <sz val="9"/>
            <color indexed="81"/>
            <rFont val="Tahoma"/>
            <family val="2"/>
          </rPr>
          <t>Visualiza la PROBABILIDAD RESIDUAL del riesgo según los controles efectuados</t>
        </r>
      </text>
    </comment>
    <comment ref="AC8" authorId="0" shapeId="0">
      <text>
        <r>
          <rPr>
            <sz val="9"/>
            <color indexed="81"/>
            <rFont val="Tahoma"/>
            <family val="2"/>
          </rPr>
          <t>Visualiza el IMPACTO RESIDUAL del riesgo según los controles efectuados</t>
        </r>
      </text>
    </comment>
    <comment ref="AE8" authorId="0" shapeId="0">
      <text>
        <r>
          <rPr>
            <sz val="9"/>
            <color indexed="81"/>
            <rFont val="Tahoma"/>
            <family val="2"/>
          </rPr>
          <t>Visualiza la ZONA DE RIESGO RESIDUAL según la probabilidad y el impacto con el que se presenta el riesgo</t>
        </r>
      </text>
    </comment>
    <comment ref="AF8" authorId="0" shapeId="0">
      <text>
        <r>
          <rPr>
            <sz val="9"/>
            <color indexed="81"/>
            <rFont val="Tahoma"/>
            <family val="2"/>
          </rPr>
          <t>Seleccionar el TIPO DE TRATAMIENTO que se le dará al riesgo</t>
        </r>
      </text>
    </comment>
    <comment ref="T9" authorId="0" shapeId="0">
      <text>
        <r>
          <rPr>
            <sz val="9"/>
            <color indexed="81"/>
            <rFont val="Tahoma"/>
            <family val="2"/>
          </rPr>
          <t>Seleccionar el TIPO DE CONTROL que realiza según el riesgo</t>
        </r>
      </text>
    </comment>
    <comment ref="U9" authorId="0" shapeId="0">
      <text>
        <r>
          <rPr>
            <sz val="9"/>
            <color indexed="81"/>
            <rFont val="Tahoma"/>
            <family val="2"/>
          </rPr>
          <t>Seleccionar el TIPO DE IMPLEMENTACIÓN que realiza según el control del riesgo</t>
        </r>
      </text>
    </comment>
    <comment ref="W9" authorId="0" shapeId="0">
      <text>
        <r>
          <rPr>
            <sz val="9"/>
            <color indexed="81"/>
            <rFont val="Tahoma"/>
            <family val="2"/>
          </rPr>
          <t>Seleccionar el TIPO DE DOCUMENTACIÓN que realiza según el control del riesgo</t>
        </r>
      </text>
    </comment>
    <comment ref="X9" authorId="0" shapeId="0">
      <text>
        <r>
          <rPr>
            <sz val="9"/>
            <color indexed="81"/>
            <rFont val="Tahoma"/>
            <family val="2"/>
          </rPr>
          <t>Seleccionar la FRECUENCIA con la que se realiza el control del riesgo</t>
        </r>
      </text>
    </comment>
    <comment ref="Y9" authorId="0" shapeId="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authors>
    <author>Usuario</author>
  </authors>
  <commentList>
    <comment ref="R8" authorId="0" shapeId="0">
      <text>
        <r>
          <rPr>
            <sz val="9"/>
            <color indexed="81"/>
            <rFont val="Tahoma"/>
            <family val="2"/>
          </rPr>
          <t>Ingresar las ACCIONES que realizará para dar tratamiento al riesgo</t>
        </r>
      </text>
    </comment>
    <comment ref="S8" authorId="0" shapeId="0">
      <text>
        <r>
          <rPr>
            <sz val="9"/>
            <color indexed="81"/>
            <rFont val="Tahoma"/>
            <family val="2"/>
          </rPr>
          <t>Ingresar el RESPONSABLE de ejecutar las acciones de tratamiento al riesgo</t>
        </r>
      </text>
    </comment>
    <comment ref="T8" authorId="0" shapeId="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authors>
    <author>Usuario</author>
  </authors>
  <commentList>
    <comment ref="K9" authorId="0" shapeId="0">
      <text>
        <r>
          <rPr>
            <sz val="9"/>
            <color indexed="81"/>
            <rFont val="Tahoma"/>
            <family val="2"/>
          </rPr>
          <t>Indicar si existe MATERIALIZACIÓN del riesgo en el período</t>
        </r>
      </text>
    </comment>
    <comment ref="L9" authorId="0" shapeId="0">
      <text>
        <r>
          <rPr>
            <sz val="9"/>
            <color indexed="81"/>
            <rFont val="Tahoma"/>
            <family val="2"/>
          </rPr>
          <t>Ingresar las ACCIONES ejecutadas en el período para dar tratamiento al riesgo</t>
        </r>
      </text>
    </comment>
    <comment ref="M9" authorId="0" shapeId="0">
      <text>
        <r>
          <rPr>
            <sz val="9"/>
            <color indexed="81"/>
            <rFont val="Tahoma"/>
            <family val="2"/>
          </rPr>
          <t>Ingresar las EVIDENCIAS que soportan las acciones de tratamiento al riesgo</t>
        </r>
      </text>
    </comment>
    <comment ref="N9" authorId="0" shapeId="0">
      <text>
        <r>
          <rPr>
            <sz val="9"/>
            <color indexed="81"/>
            <rFont val="Tahoma"/>
            <family val="2"/>
          </rPr>
          <t>Seleccionar el ESTADO de las acciones realizadas en el período para dar tratamiento al riesgo</t>
        </r>
      </text>
    </comment>
    <comment ref="O9" authorId="0" shapeId="0">
      <text>
        <r>
          <rPr>
            <sz val="9"/>
            <color indexed="81"/>
            <rFont val="Tahoma"/>
            <family val="2"/>
          </rPr>
          <t>Indicar si existe MATERIALIZACIÓN del riesgo en el período</t>
        </r>
      </text>
    </comment>
    <comment ref="P9" authorId="0" shapeId="0">
      <text>
        <r>
          <rPr>
            <sz val="9"/>
            <color indexed="81"/>
            <rFont val="Tahoma"/>
            <family val="2"/>
          </rPr>
          <t>Ingresar las ACCIONES ejecutadas en el período para dar tratamiento al riesgo</t>
        </r>
      </text>
    </comment>
    <comment ref="Q9" authorId="0" shapeId="0">
      <text>
        <r>
          <rPr>
            <sz val="9"/>
            <color indexed="81"/>
            <rFont val="Tahoma"/>
            <family val="2"/>
          </rPr>
          <t>Ingresar las EVIDENCIAS que soportan las acciones de tratamiento al riesgo</t>
        </r>
      </text>
    </comment>
    <comment ref="R9" authorId="0" shapeId="0">
      <text>
        <r>
          <rPr>
            <sz val="9"/>
            <color indexed="81"/>
            <rFont val="Tahoma"/>
            <family val="2"/>
          </rPr>
          <t>Seleccionar el ESTADO de las acciones realizadas en el período para dar tratamiento al riesgo</t>
        </r>
      </text>
    </comment>
    <comment ref="S9" authorId="0" shapeId="0">
      <text>
        <r>
          <rPr>
            <sz val="9"/>
            <color indexed="81"/>
            <rFont val="Tahoma"/>
            <family val="2"/>
          </rPr>
          <t>Indicar si existe MATERIALIZACIÓN del riesgo en el período</t>
        </r>
      </text>
    </comment>
    <comment ref="T9" authorId="0" shapeId="0">
      <text>
        <r>
          <rPr>
            <sz val="9"/>
            <color indexed="81"/>
            <rFont val="Tahoma"/>
            <family val="2"/>
          </rPr>
          <t>Ingresar las ACCIONES ejecutadas en el período para dar tratamiento al riesgo</t>
        </r>
      </text>
    </comment>
    <comment ref="V9" authorId="0" shapeId="0">
      <text>
        <r>
          <rPr>
            <sz val="9"/>
            <color indexed="81"/>
            <rFont val="Tahoma"/>
            <family val="2"/>
          </rPr>
          <t>Ingresar las EVIDENCIAS que soportan las acciones de tratamiento al riesgo</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<sst xmlns="http://schemas.openxmlformats.org/spreadsheetml/2006/main" count="614" uniqueCount="424">
  <si>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</si>
  <si>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</si>
  <si>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</si>
  <si>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</si>
  <si>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</si>
  <si>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</si>
  <si>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</si>
  <si>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</si>
  <si>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</si>
  <si>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</si>
  <si>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</si>
  <si>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</si>
  <si>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</si>
  <si>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</si>
  <si>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</si>
  <si>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</si>
  <si>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</si>
  <si>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</si>
  <si>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</si>
  <si>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</si>
  <si>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</si>
  <si>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</si>
  <si>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</si>
  <si>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</si>
  <si>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</si>
  <si>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</si>
  <si>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</si>
  <si>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</si>
  <si>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</si>
  <si>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</si>
  <si>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</si>
  <si>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</si>
  <si>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</si>
  <si>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</si>
  <si>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</si>
  <si>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</si>
  <si>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</si>
  <si>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</si>
  <si>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</si>
  <si>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</si>
  <si>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</si>
  <si>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</si>
  <si>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</si>
  <si>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</si>
  <si>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</si>
  <si>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</si>
  <si>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</si>
  <si>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</si>
  <si>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</si>
  <si>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</si>
  <si>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</si>
  <si>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</si>
  <si>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</si>
  <si>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</si>
  <si>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</si>
  <si>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</si>
  <si>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</si>
  <si>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</si>
  <si>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</si>
  <si>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</si>
  <si>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</si>
  <si>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</si>
  <si>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</si>
  <si>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</si>
  <si>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</si>
  <si>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</si>
  <si>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</si>
  <si>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</si>
  <si>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</si>
  <si>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</si>
  <si>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</si>
  <si>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</si>
  <si>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</si>
  <si>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</si>
  <si>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</si>
  <si>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</si>
  <si>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</si>
  <si>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</si>
  <si>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</si>
  <si>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</si>
  <si>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</si>
  <si>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</si>
  <si>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</si>
  <si>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</si>
  <si>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</si>
  <si>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</si>
  <si>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</si>
  <si>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</si>
  <si>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</si>
  <si>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</si>
  <si>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</si>
  <si>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</si>
  <si>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</si>
  <si>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</si>
  <si>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</si>
  <si>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</si>
  <si>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</si>
  <si>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</si>
  <si>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</si>
  <si>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</si>
  <si>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</si>
  <si>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</si>
  <si>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</si>
  <si>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</si>
  <si>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</si>
  <si>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</si>
  <si>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</si>
  <si>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</si>
  <si>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</si>
  <si>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</si>
  <si>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</si>
  <si>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</si>
  <si>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</si>
  <si>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</si>
  <si>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</si>
  <si>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</si>
  <si>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</si>
  <si>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</si>
  <si>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</si>
  <si>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</si>
  <si>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</si>
  <si>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</si>
  <si>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</si>
  <si>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</si>
  <si>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</si>
  <si>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</si>
  <si>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</si>
  <si>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</si>
  <si>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</si>
  <si>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</si>
  <si>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</si>
  <si>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</si>
  <si>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</si>
  <si>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</si>
  <si>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</si>
  <si>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</si>
  <si>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</si>
  <si>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</si>
  <si>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</si>
  <si>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</si>
  <si>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</si>
  <si>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</si>
  <si>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</si>
  <si>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</si>
  <si>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</si>
  <si>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</si>
  <si>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</si>
  <si>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</si>
  <si>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</si>
  <si>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</si>
  <si>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</si>
  <si>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</si>
  <si>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</si>
  <si>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</si>
  <si>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</si>
  <si>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</si>
  <si>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</si>
  <si>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</si>
  <si>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</si>
  <si>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</si>
  <si>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</si>
  <si>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</si>
  <si>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</si>
  <si>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</si>
  <si>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</si>
  <si>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</si>
  <si>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</si>
  <si>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</si>
  <si>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</si>
  <si>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</si>
  <si>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</si>
  <si>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</si>
  <si>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</si>
  <si>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</si>
  <si>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</si>
  <si>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</si>
  <si>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</si>
  <si>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</si>
  <si>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</si>
  <si>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</si>
  <si>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</si>
  <si>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</si>
  <si>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</si>
  <si>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</si>
  <si>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</si>
  <si>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Admisiones y Matrículas</t>
  </si>
  <si>
    <t>RESPONSABLE:</t>
  </si>
  <si>
    <t>Coordinador de Admisiones, Registro Y Control Académico</t>
  </si>
  <si>
    <t>FECHA DE ACTUALIZACIÓN:</t>
  </si>
  <si>
    <t>INTERNAS</t>
  </si>
  <si>
    <t>FORTALEZAS</t>
  </si>
  <si>
    <t>DEBILIDADES</t>
  </si>
  <si>
    <t>1. Personal idóneo para el cumplimiento de las actividades</t>
  </si>
  <si>
    <t xml:space="preserve">1. Insumos de papelería deficientes </t>
  </si>
  <si>
    <t xml:space="preserve">2. Equipos de tecnológicos actualizados </t>
  </si>
  <si>
    <t>2. Falta de integración del software académico con el financiero</t>
  </si>
  <si>
    <t>3. Instalaciones locativas eficientes</t>
  </si>
  <si>
    <t>3.</t>
  </si>
  <si>
    <t>4. Personal capacitado constantemente</t>
  </si>
  <si>
    <t>4.</t>
  </si>
  <si>
    <t>5.</t>
  </si>
  <si>
    <t>EXTERNAS</t>
  </si>
  <si>
    <t>OPORTUNIDADES</t>
  </si>
  <si>
    <t>AMENAZAS</t>
  </si>
  <si>
    <t>1. Adquisición de paquete financiero para la integración del software académico</t>
  </si>
  <si>
    <t>1. Perdida de la información por aspectos naturales</t>
  </si>
  <si>
    <t>2. Apoyo de los entes gubernamentales para becas estudiantiles</t>
  </si>
  <si>
    <t>2. Perdida de la población estudiantil por economía</t>
  </si>
  <si>
    <t>3. Convenio con medios de comunicación para la divulgación de temas pertinentes al proceso</t>
  </si>
  <si>
    <t>3. Perdida de la población estudiantil por competencia</t>
  </si>
  <si>
    <t>4. Cortes de energía eléctrica</t>
  </si>
  <si>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</si>
  <si>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</si>
  <si>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</si>
  <si>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</si>
  <si>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</si>
  <si>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</si>
  <si>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</si>
  <si>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</si>
  <si>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</si>
  <si>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</si>
  <si>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</si>
  <si>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ADMISIONES Y MATRÍCULAS</t>
  </si>
  <si>
    <t>VIGENCIA</t>
  </si>
  <si>
    <t>DEPENDENCIA/GRUPO/OFICINA</t>
  </si>
  <si>
    <t>Grupo de Admisiones, Registro y Control Académico</t>
  </si>
  <si>
    <t>NOMBRE Y CARGO DEL LÍDER</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</si>
  <si>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</si>
  <si>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</si>
  <si>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</si>
  <si>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</si>
  <si>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</si>
  <si>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</si>
  <si>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</si>
  <si>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</si>
  <si>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</si>
  <si>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</si>
  <si>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</si>
  <si>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</si>
  <si>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</si>
  <si>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</si>
  <si>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</si>
  <si>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</si>
  <si>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</si>
  <si>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</si>
  <si>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</si>
  <si>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</si>
  <si>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</si>
  <si>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</si>
  <si>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</si>
  <si>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</si>
  <si>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</si>
  <si>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</si>
  <si>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</si>
  <si>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Usuarios, productos y practicas , organizacionales</t>
  </si>
  <si>
    <t>Atención no oportuna durante el proceso de inscripción.</t>
  </si>
  <si>
    <t>Factores Internos (Debilidades)</t>
  </si>
  <si>
    <t>1. Insuficiencia de personal para  la atención.
2. Falta de conocimiento sobre el proceso</t>
  </si>
  <si>
    <t>1. Pérdida de aspirantes
2. Disminución de ingresos económicos</t>
  </si>
  <si>
    <t>Económico y Reputacional</t>
  </si>
  <si>
    <t xml:space="preserve">     Afectación menor a 10 SMLMV .</t>
  </si>
  <si>
    <t>Capacitaciones sobre atención al público y del proceso de inscripción, al personal del grupo de admisiones, registro y control académico</t>
  </si>
  <si>
    <t>Preventivo</t>
  </si>
  <si>
    <t>Manual</t>
  </si>
  <si>
    <t>Documentado</t>
  </si>
  <si>
    <t>Aleatoria</t>
  </si>
  <si>
    <t>Con Registro</t>
  </si>
  <si>
    <t>Reducir (mitigar)</t>
  </si>
  <si>
    <t>SISTEMA INTEGRADO DE GESTIÓN SIG</t>
  </si>
  <si>
    <t>FECHA APROBACIÓN</t>
  </si>
  <si>
    <t>PÁGINA 3
DE 5</t>
  </si>
  <si>
    <t>PLAN DE ACCIÓN</t>
  </si>
  <si>
    <t>Acciones</t>
  </si>
  <si>
    <t>Responsable</t>
  </si>
  <si>
    <t>Periodicidad</t>
  </si>
  <si>
    <t>Realizar las capacitaciones sobre atención al público y del proceso de inscripción, admisión y matrícula al personal del grupo de admisiones, registro y control académico, una vez aprobado el calendario académico de cada periodo</t>
  </si>
  <si>
    <t>Coordinador Grupo de Admisiones, Registro y Control Académico</t>
  </si>
  <si>
    <t xml:space="preserve">Semestral </t>
  </si>
  <si>
    <t>MONITOREO DE RIESGOS</t>
  </si>
  <si>
    <t>1er Monitoreo
Enero-Febrero- Marzo- Abril</t>
  </si>
  <si>
    <t>2do Monitoreo
Mayo- Junio- Julio- Agosto</t>
  </si>
  <si>
    <t>3er Monitoreo
Septiembre- Octubre- Noviembre- Diciembre</t>
  </si>
  <si>
    <t>Materialización del Riesgo</t>
  </si>
  <si>
    <t>Actividades realizadas</t>
  </si>
  <si>
    <t>Evidencias</t>
  </si>
  <si>
    <t xml:space="preserve">Copia del formato F-SIG-08 (Acta de reunión) </t>
  </si>
  <si>
    <t>Finalizado</t>
  </si>
  <si>
    <t>PÁGINA 5
DE 5</t>
  </si>
  <si>
    <t>HISTORIAL DE CAMBIOS</t>
  </si>
  <si>
    <t>FECHA</t>
  </si>
  <si>
    <t>Se eliminan el riesgo 2 y 3, teniendo en cuenta que no son responsabilidad del proceso de Admisiones y Matrículas, sino del Grupo de Recursos Informáticos, los riesgos están relacionados con la configuración de sistema académico y financiero para la generación de las liquidaciones y demás de cada período académico y esta es una función de sistemas.</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</si>
  <si>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</si>
  <si>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</si>
  <si>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</si>
  <si>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</si>
  <si>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</si>
  <si>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</si>
  <si>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</si>
  <si>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</si>
  <si>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</si>
  <si>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</si>
  <si>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</si>
  <si>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</si>
  <si>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</si>
  <si>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</si>
  <si>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</si>
  <si>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</si>
  <si>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</si>
  <si>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</si>
  <si>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</si>
  <si>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</si>
  <si>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</si>
  <si>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</si>
  <si>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</si>
  <si>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</si>
  <si>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</si>
  <si>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</si>
  <si>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</si>
  <si>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</si>
  <si>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</si>
  <si>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</si>
  <si>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</si>
  <si>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</si>
  <si>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</si>
  <si>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</si>
  <si>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</si>
  <si>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</si>
  <si>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</si>
  <si>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</si>
  <si>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</si>
  <si>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</si>
  <si>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</si>
  <si>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</si>
  <si>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</si>
  <si>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</si>
  <si>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</si>
  <si>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</si>
  <si>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</si>
  <si>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</si>
  <si>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</si>
  <si>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</si>
  <si>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</si>
  <si>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</si>
  <si>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</si>
  <si>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</si>
  <si>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El riesgo afecta la imagen de la entidad con algunos usuarios de relevancia frente al logro de los objetivos</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</si>
  <si>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</si>
  <si>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</si>
  <si>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</si>
  <si>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</si>
  <si>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</si>
  <si>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</si>
  <si>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</si>
  <si>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</si>
  <si>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</si>
  <si>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</si>
  <si>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</si>
  <si>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</si>
  <si>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</si>
  <si>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</si>
  <si>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</si>
  <si>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</si>
  <si>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</si>
  <si>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</si>
  <si>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</si>
  <si>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</si>
  <si>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</si>
  <si>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</si>
  <si>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</si>
  <si>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</si>
  <si>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</si>
  <si>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</si>
  <si>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</si>
  <si>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Continua</t>
  </si>
  <si>
    <t>Este atributo identifica a los controles que se ejecutan siempre que se realiza la actividad originadora del riesgo.</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</si>
  <si>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</si>
  <si>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</si>
  <si>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</si>
  <si>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</si>
  <si>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</si>
  <si>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</si>
  <si>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</si>
  <si>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</si>
  <si>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Reputacional</t>
  </si>
  <si>
    <t>Reducir (compartir)</t>
  </si>
  <si>
    <t>Plan de accion (solo para la opción reducir)</t>
  </si>
  <si>
    <t>Materialización del riesgo</t>
  </si>
  <si>
    <t>En curso</t>
  </si>
  <si>
    <t>Factores de Riesgo</t>
  </si>
  <si>
    <t>Daños Activos Fisicos</t>
  </si>
  <si>
    <t>Ejecucion y Administracion de procesos</t>
  </si>
  <si>
    <t>Factores Externos (Amenazas)</t>
  </si>
  <si>
    <t>Fallas Tecnologicas</t>
  </si>
  <si>
    <t>Fraude Externo</t>
  </si>
  <si>
    <t>Fraude Interno</t>
  </si>
  <si>
    <t>Periodicidad - Acciones</t>
  </si>
  <si>
    <t>Relaciones Laborales</t>
  </si>
  <si>
    <t>Semanal</t>
  </si>
  <si>
    <t>Mensual</t>
  </si>
  <si>
    <t>Anual</t>
  </si>
  <si>
    <t>PROCESOS</t>
  </si>
  <si>
    <t>DIRECCIÓN ESTRATÉGICA</t>
  </si>
  <si>
    <t>COMUNICACIÓN INSTITUCIONAL</t>
  </si>
  <si>
    <t>DOCENCIA</t>
  </si>
  <si>
    <t>INVESTIGACIÓN</t>
  </si>
  <si>
    <t>EXTENSIÓN</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</si>
  <si>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</si>
  <si>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</si>
  <si>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</si>
  <si>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</si>
  <si>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</si>
  <si>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</si>
  <si>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</si>
  <si>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</si>
  <si>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</si>
  <si>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</si>
  <si>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</si>
  <si>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</si>
  <si>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</si>
  <si>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</si>
  <si>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</si>
  <si>
    <t>CONTROL INTERNO DISCIPLINARIO</t>
  </si>
  <si>
    <t>LUIS CARLOS JEREZ ARENAS - COORDINADOR GRUPO DE AMISIONES, REGISTRO Y CONTROL ACADÉMICO</t>
  </si>
  <si>
    <t>Capacitar al personal de apoyo del Grupo de Admisiones, Registro y Control Académico acerca de la atención óptima que se debe brindar a los usuarios internos y externos de la institución y el proceso de verificación de documentos de inscripción en el sistema académico Academusoft; y, socializar los calendarios académicos de las modalidades presencial y virtual del período académico 2025-2.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</si>
</sst>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C0A]d\ &quot;de&quot;\ mmmm\ &quot;de&quot;\ yyyy;@"/>
  </numFmts>
  <fonts count="84"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s>
  <fills count="33">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s>
  <borders count="143">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rgb="FF000000"/>
      </bottom>
      <diagonal/>
    </border>
    <border>
      <left style="medium">
        <color indexed="64"/>
      </left>
      <right style="thin">
        <color indexed="64"/>
      </right>
      <top style="thin">
        <color indexed="64"/>
      </top>
      <bottom style="thin">
        <color rgb="FF000000"/>
      </bottom>
      <diagonal/>
    </border>
  </borders>
  <cellStyleXfs count="8">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cellStyleXfs>
  <cellXfs count="731">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9" fontId="1" fillId="0" borderId="112" xfId="0" applyNumberFormat="1" applyFont="1" applyBorder="1" applyAlignment="1" applyProtection="1">
      <alignment horizontal="center" vertical="center" wrapText="1"/>
      <protection hidden="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9" fontId="1" fillId="0" borderId="19" xfId="0" applyNumberFormat="1" applyFont="1" applyBorder="1" applyAlignment="1" applyProtection="1">
      <alignment horizontal="center" vertical="center" wrapText="1"/>
      <protection hidden="1"/>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9" fontId="1" fillId="0" borderId="26" xfId="0" applyNumberFormat="1" applyFont="1" applyBorder="1" applyAlignment="1" applyProtection="1">
      <alignment horizontal="center" vertical="center" wrapText="1"/>
      <protection hidden="1"/>
    </xf>
    <xf numFmtId="0" fontId="1" fillId="0" borderId="26" xfId="0" applyFont="1" applyBorder="1" applyAlignment="1" applyProtection="1">
      <alignment horizontal="center" vertical="center"/>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164" fontId="1" fillId="0" borderId="26" xfId="1" applyNumberFormat="1" applyFont="1" applyBorder="1" applyAlignment="1">
      <alignment horizontal="center" vertical="center"/>
    </xf>
    <xf numFmtId="0" fontId="4" fillId="0" borderId="26"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6"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6"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6"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5"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1" fillId="0" borderId="123"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14" fontId="61" fillId="2" borderId="19" xfId="6" applyNumberFormat="1" applyFont="1" applyFill="1" applyBorder="1" applyAlignment="1">
      <alignment horizontal="center" vertical="center"/>
    </xf>
    <xf numFmtId="14" fontId="1" fillId="29" borderId="116" xfId="0" applyNumberFormat="1" applyFont="1" applyFill="1" applyBorder="1" applyAlignment="1" applyProtection="1">
      <alignment horizontal="center" vertical="center" wrapText="1"/>
      <protection locked="0"/>
    </xf>
    <xf numFmtId="0" fontId="2" fillId="29" borderId="112" xfId="0" applyFont="1" applyFill="1" applyBorder="1" applyAlignment="1" applyProtection="1">
      <alignment horizontal="center" vertical="center" wrapText="1"/>
      <protection locked="0"/>
    </xf>
    <xf numFmtId="14" fontId="1" fillId="29" borderId="19" xfId="0" applyNumberFormat="1" applyFont="1" applyFill="1" applyBorder="1" applyAlignment="1" applyProtection="1">
      <alignment horizontal="center" vertical="center" wrapText="1"/>
      <protection locked="0"/>
    </xf>
    <xf numFmtId="0" fontId="1" fillId="29" borderId="124" xfId="0"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14" fontId="1" fillId="29" borderId="123" xfId="0" applyNumberFormat="1" applyFont="1" applyFill="1" applyBorder="1" applyAlignment="1" applyProtection="1">
      <alignment horizontal="center" vertical="center"/>
      <protection locked="0"/>
    </xf>
    <xf numFmtId="14" fontId="1" fillId="29" borderId="131" xfId="0" applyNumberFormat="1" applyFont="1" applyFill="1" applyBorder="1" applyAlignment="1" applyProtection="1">
      <alignment horizontal="center" vertical="center"/>
      <protection locked="0"/>
    </xf>
    <xf numFmtId="14" fontId="1" fillId="29" borderId="140" xfId="0" applyNumberFormat="1" applyFont="1" applyFill="1" applyBorder="1" applyAlignment="1" applyProtection="1">
      <alignment horizontal="center" vertical="center"/>
      <protection locked="0"/>
    </xf>
    <xf numFmtId="0" fontId="57" fillId="15" borderId="0" xfId="5" applyFill="1"/>
    <xf numFmtId="0" fontId="1" fillId="29" borderId="141" xfId="0" applyFont="1" applyFill="1" applyBorder="1" applyAlignment="1" applyProtection="1">
      <alignment horizontal="center" vertical="center"/>
      <protection locked="0"/>
    </xf>
    <xf numFmtId="0" fontId="1" fillId="29" borderId="142" xfId="0" applyFont="1" applyFill="1" applyBorder="1" applyAlignment="1" applyProtection="1">
      <alignment horizontal="center" vertical="center"/>
      <protection locked="0"/>
    </xf>
    <xf numFmtId="0" fontId="60" fillId="16" borderId="66" xfId="5" applyFont="1" applyFill="1" applyBorder="1" applyAlignment="1">
      <alignment horizontal="center"/>
    </xf>
    <xf numFmtId="0" fontId="61" fillId="0" borderId="67" xfId="5" applyFont="1" applyBorder="1"/>
    <xf numFmtId="0" fontId="61" fillId="0" borderId="68" xfId="5" applyFont="1" applyBorder="1"/>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61" fillId="0" borderId="72" xfId="5" applyFont="1" applyBorder="1"/>
    <xf numFmtId="0" fontId="61" fillId="0" borderId="73" xfId="5" applyFont="1" applyBorder="1"/>
    <xf numFmtId="0" fontId="61" fillId="0" borderId="74" xfId="5" applyFont="1" applyBorder="1"/>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1" fillId="0" borderId="79" xfId="5" applyFont="1" applyBorder="1"/>
    <xf numFmtId="0" fontId="65" fillId="15" borderId="78" xfId="5" applyFont="1" applyFill="1" applyBorder="1" applyAlignment="1">
      <alignment horizontal="center" vertical="center" wrapText="1"/>
    </xf>
    <xf numFmtId="0" fontId="61" fillId="0" borderId="80" xfId="5" applyFont="1" applyBorder="1"/>
    <xf numFmtId="0" fontId="61" fillId="0" borderId="81" xfId="5" applyFont="1" applyBorder="1"/>
    <xf numFmtId="0" fontId="60" fillId="15" borderId="0" xfId="5" applyFont="1" applyFill="1" applyAlignment="1">
      <alignment horizontal="center"/>
    </xf>
    <xf numFmtId="0" fontId="61" fillId="0" borderId="0" xfId="5" applyFont="1"/>
    <xf numFmtId="0" fontId="58" fillId="0" borderId="92" xfId="5" applyFont="1" applyBorder="1" applyAlignment="1">
      <alignment horizontal="center" vertical="center" wrapText="1"/>
    </xf>
    <xf numFmtId="0" fontId="61" fillId="0" borderId="97" xfId="5" applyFont="1" applyBorder="1"/>
    <xf numFmtId="0" fontId="61" fillId="0" borderId="100" xfId="5" applyFont="1" applyBorder="1"/>
    <xf numFmtId="0" fontId="58" fillId="0" borderId="93" xfId="5" applyFont="1" applyBorder="1" applyAlignment="1">
      <alignment horizontal="left" vertical="center" wrapText="1"/>
    </xf>
    <xf numFmtId="0" fontId="61" fillId="0" borderId="94" xfId="5" applyFont="1" applyBorder="1"/>
    <xf numFmtId="0" fontId="61" fillId="0" borderId="95" xfId="5" applyFont="1" applyBorder="1"/>
    <xf numFmtId="0" fontId="61" fillId="0" borderId="98" xfId="5" applyFont="1" applyBorder="1"/>
    <xf numFmtId="0" fontId="57" fillId="0" borderId="0" xfId="5"/>
    <xf numFmtId="0" fontId="61" fillId="0" borderId="69" xfId="5" applyFont="1" applyBorder="1"/>
    <xf numFmtId="0" fontId="61" fillId="0" borderId="102" xfId="5" applyFont="1" applyBorder="1"/>
    <xf numFmtId="0" fontId="61" fillId="0" borderId="103" xfId="5" applyFont="1" applyBorder="1"/>
    <xf numFmtId="0" fontId="61" fillId="0" borderId="104" xfId="5" applyFont="1" applyBorder="1"/>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1" fillId="0" borderId="99" xfId="5" applyFont="1" applyBorder="1"/>
    <xf numFmtId="0" fontId="61" fillId="0" borderId="101" xfId="5" applyFont="1" applyBorder="1"/>
    <xf numFmtId="0" fontId="61" fillId="0" borderId="84" xfId="5" applyFont="1" applyBorder="1"/>
    <xf numFmtId="0" fontId="61" fillId="0" borderId="105" xfId="5" applyFont="1" applyBorder="1"/>
    <xf numFmtId="0" fontId="61" fillId="0" borderId="87" xfId="5" applyFont="1" applyBorder="1"/>
    <xf numFmtId="0" fontId="61" fillId="0" borderId="88" xfId="5" applyFont="1" applyBorder="1"/>
    <xf numFmtId="0" fontId="61" fillId="0" borderId="85" xfId="5" applyFont="1" applyBorder="1"/>
    <xf numFmtId="0" fontId="60" fillId="17" borderId="66" xfId="5" applyFont="1" applyFill="1" applyBorder="1" applyAlignment="1">
      <alignment horizontal="center"/>
    </xf>
    <xf numFmtId="0" fontId="61" fillId="0" borderId="106" xfId="5" applyFont="1" applyBorder="1"/>
    <xf numFmtId="0" fontId="60" fillId="17" borderId="107" xfId="5" applyFont="1" applyFill="1" applyBorder="1" applyAlignment="1">
      <alignment horizontal="center"/>
    </xf>
    <xf numFmtId="0" fontId="68" fillId="22" borderId="66" xfId="5" applyFont="1" applyFill="1" applyBorder="1" applyAlignment="1">
      <alignment horizontal="center" vertical="center" wrapText="1"/>
    </xf>
    <xf numFmtId="0" fontId="58" fillId="0" borderId="108" xfId="5" applyFont="1" applyBorder="1" applyAlignment="1">
      <alignment horizontal="center" vertical="center"/>
    </xf>
    <xf numFmtId="0" fontId="58" fillId="15" borderId="71" xfId="5" applyFont="1" applyFill="1" applyBorder="1" applyAlignment="1">
      <alignment horizontal="left" vertical="center" wrapText="1"/>
    </xf>
    <xf numFmtId="0" fontId="68" fillId="22" borderId="71" xfId="5" applyFont="1" applyFill="1" applyBorder="1" applyAlignment="1">
      <alignment horizontal="center" vertical="center" wrapText="1"/>
    </xf>
    <xf numFmtId="0" fontId="69" fillId="0" borderId="71" xfId="5" applyFont="1" applyBorder="1" applyAlignment="1">
      <alignment horizontal="center" vertical="center" wrapText="1"/>
    </xf>
    <xf numFmtId="0" fontId="61" fillId="0" borderId="73" xfId="5" applyFont="1" applyBorder="1" applyAlignment="1">
      <alignment vertical="center"/>
    </xf>
    <xf numFmtId="0" fontId="61" fillId="0" borderId="74" xfId="5" applyFont="1" applyBorder="1" applyAlignment="1">
      <alignment vertical="center"/>
    </xf>
    <xf numFmtId="0" fontId="58" fillId="15" borderId="0" xfId="5" applyFont="1" applyFill="1" applyAlignment="1">
      <alignment horizontal="center"/>
    </xf>
    <xf numFmtId="0" fontId="58" fillId="0" borderId="109" xfId="5" applyFont="1" applyBorder="1" applyAlignment="1">
      <alignment horizontal="center" vertical="center"/>
    </xf>
    <xf numFmtId="0" fontId="58" fillId="15" borderId="78" xfId="5" applyFont="1" applyFill="1" applyBorder="1" applyAlignment="1">
      <alignment horizontal="left" vertical="center" wrapText="1"/>
    </xf>
    <xf numFmtId="0" fontId="58" fillId="0" borderId="0" xfId="5" applyFont="1" applyAlignment="1">
      <alignment horizontal="center"/>
    </xf>
    <xf numFmtId="0" fontId="69" fillId="0" borderId="78" xfId="5" applyFont="1" applyBorder="1" applyAlignment="1">
      <alignment horizontal="center"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80" fillId="15" borderId="123" xfId="5" applyFont="1" applyFill="1" applyBorder="1" applyAlignment="1">
      <alignment horizontal="center" vertical="center" wrapText="1"/>
    </xf>
    <xf numFmtId="0" fontId="80" fillId="15" borderId="129"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1"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2"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3" xfId="0" applyFont="1" applyFill="1" applyBorder="1" applyAlignment="1">
      <alignment horizontal="center" vertical="center"/>
    </xf>
    <xf numFmtId="0" fontId="79" fillId="31" borderId="116" xfId="0" applyFont="1" applyFill="1" applyBorder="1" applyAlignment="1">
      <alignment horizontal="center" vertical="center"/>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70" fillId="32" borderId="133" xfId="5" applyFont="1" applyFill="1" applyBorder="1" applyAlignment="1">
      <alignment horizontal="left" vertical="center" textRotation="90" wrapText="1"/>
    </xf>
    <xf numFmtId="0" fontId="76" fillId="0" borderId="134" xfId="5" applyFont="1" applyBorder="1" applyAlignment="1">
      <alignment horizontal="left" vertical="center"/>
    </xf>
    <xf numFmtId="0" fontId="76" fillId="0" borderId="135" xfId="5" applyFont="1" applyBorder="1" applyAlignment="1">
      <alignment horizontal="left"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6" xfId="0" applyFont="1" applyFill="1" applyBorder="1" applyAlignment="1">
      <alignment horizontal="center" vertical="center"/>
    </xf>
    <xf numFmtId="0" fontId="57" fillId="2" borderId="19" xfId="0" applyFont="1" applyFill="1" applyBorder="1" applyAlignment="1">
      <alignment horizontal="left" vertical="center" wrapText="1"/>
    </xf>
    <xf numFmtId="0" fontId="76" fillId="23" borderId="19" xfId="0" applyFont="1" applyFill="1" applyBorder="1" applyAlignment="1">
      <alignment horizontal="center" vertical="center"/>
    </xf>
    <xf numFmtId="14" fontId="57" fillId="15" borderId="123" xfId="5" applyNumberFormat="1" applyFill="1" applyBorder="1" applyAlignment="1">
      <alignment horizontal="center" vertical="center" wrapText="1"/>
    </xf>
    <xf numFmtId="14" fontId="57" fillId="15" borderId="129"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3" xfId="0" applyFont="1" applyFill="1" applyBorder="1" applyAlignment="1">
      <alignment horizontal="center" vertical="center"/>
    </xf>
    <xf numFmtId="0" fontId="76" fillId="23" borderId="129" xfId="0" applyFont="1" applyFill="1" applyBorder="1" applyAlignment="1">
      <alignment horizontal="center" vertical="center"/>
    </xf>
    <xf numFmtId="0" fontId="76" fillId="23" borderId="116" xfId="0" applyFont="1" applyFill="1" applyBorder="1" applyAlignment="1">
      <alignment horizontal="center" vertical="center"/>
    </xf>
    <xf numFmtId="0" fontId="57" fillId="2" borderId="19" xfId="5" applyFill="1" applyBorder="1" applyAlignment="1">
      <alignment horizontal="left" vertical="center" wrapText="1"/>
    </xf>
    <xf numFmtId="0" fontId="61" fillId="0" borderId="123" xfId="5" applyFont="1" applyBorder="1" applyAlignment="1">
      <alignment horizontal="center" vertical="center"/>
    </xf>
    <xf numFmtId="0" fontId="61" fillId="0" borderId="129" xfId="5" applyFont="1" applyBorder="1" applyAlignment="1">
      <alignment horizontal="center" vertical="center"/>
    </xf>
    <xf numFmtId="0" fontId="61" fillId="0" borderId="116" xfId="5" applyFont="1" applyBorder="1" applyAlignment="1">
      <alignment horizontal="center" vertical="center"/>
    </xf>
    <xf numFmtId="0" fontId="57" fillId="15" borderId="71" xfId="5"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wrapText="1"/>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1" fillId="0" borderId="55" xfId="0"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0" fontId="4" fillId="0" borderId="19" xfId="0" applyFont="1" applyBorder="1" applyAlignment="1">
      <alignment horizontal="center" vertical="center" wrapText="1"/>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9" xfId="0" applyFont="1" applyFill="1" applyBorder="1" applyAlignment="1">
      <alignment horizontal="center" vertical="center"/>
    </xf>
    <xf numFmtId="0" fontId="4" fillId="23" borderId="110" xfId="0" applyFont="1" applyFill="1" applyBorder="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3" xfId="0" applyFont="1" applyFill="1" applyBorder="1" applyAlignment="1">
      <alignment horizontal="center" vertical="center"/>
    </xf>
    <xf numFmtId="0" fontId="4" fillId="27" borderId="129"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3" xfId="0" applyFont="1" applyFill="1" applyBorder="1" applyAlignment="1">
      <alignment horizontal="center" vertical="center"/>
    </xf>
    <xf numFmtId="0" fontId="4" fillId="25" borderId="129" xfId="0" applyFont="1" applyFill="1" applyBorder="1" applyAlignment="1">
      <alignment horizontal="center" vertical="center"/>
    </xf>
    <xf numFmtId="0" fontId="4" fillId="25" borderId="116" xfId="0" applyFont="1" applyFill="1" applyBorder="1" applyAlignment="1">
      <alignment horizontal="center" vertical="center"/>
    </xf>
    <xf numFmtId="0" fontId="4" fillId="23" borderId="12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left" vertical="center" indent="2"/>
      <protection locked="0"/>
    </xf>
    <xf numFmtId="0" fontId="61" fillId="0" borderId="19" xfId="0" applyFont="1" applyBorder="1" applyAlignment="1">
      <alignment horizontal="left" vertical="center" wrapText="1" indent="2"/>
    </xf>
    <xf numFmtId="0" fontId="61" fillId="0" borderId="19" xfId="0" applyFont="1" applyBorder="1" applyAlignment="1">
      <alignment horizontal="left" vertical="center" indent="2"/>
    </xf>
    <xf numFmtId="0" fontId="76" fillId="0" borderId="19" xfId="0" applyFont="1" applyBorder="1" applyAlignment="1">
      <alignment horizontal="left" vertical="center"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1"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2" xfId="0" applyFont="1" applyBorder="1" applyAlignment="1">
      <alignment horizontal="center" vertical="center"/>
    </xf>
    <xf numFmtId="0" fontId="46" fillId="0" borderId="55" xfId="0" applyFont="1" applyBorder="1" applyAlignment="1">
      <alignment horizontal="center" vertical="center"/>
    </xf>
    <xf numFmtId="0" fontId="46" fillId="0" borderId="130" xfId="0" applyFont="1" applyBorder="1" applyAlignment="1">
      <alignment horizontal="center" vertical="center"/>
    </xf>
    <xf numFmtId="0" fontId="46" fillId="0" borderId="19" xfId="0" applyFont="1" applyBorder="1" applyAlignment="1">
      <alignment horizontal="center" vertical="center"/>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23" borderId="20"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1"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2" xfId="0" applyFont="1" applyBorder="1" applyAlignment="1">
      <alignment horizontal="center" vertical="center"/>
    </xf>
    <xf numFmtId="0" fontId="80" fillId="0" borderId="55" xfId="0" applyFont="1" applyBorder="1" applyAlignment="1">
      <alignment horizontal="center" vertical="center"/>
    </xf>
    <xf numFmtId="0" fontId="80" fillId="0" borderId="130"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83" fillId="2" borderId="0" xfId="0" applyFont="1" applyFill="1" applyAlignment="1">
      <alignment horizontal="center" vertical="center"/>
    </xf>
    <xf numFmtId="0" fontId="1" fillId="29" borderId="124" xfId="0"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0" borderId="124" xfId="0" applyFont="1" applyBorder="1" applyAlignment="1">
      <alignment horizontal="center" vertical="center"/>
    </xf>
    <xf numFmtId="0" fontId="1" fillId="0" borderId="110" xfId="0" applyFont="1" applyBorder="1" applyAlignment="1">
      <alignment horizontal="center" vertical="center" wrapText="1"/>
    </xf>
    <xf numFmtId="0" fontId="2" fillId="0" borderId="110" xfId="0" applyFont="1" applyBorder="1" applyAlignment="1">
      <alignment horizontal="center" vertical="center" wrapText="1"/>
    </xf>
    <xf numFmtId="0" fontId="4" fillId="23" borderId="112" xfId="0" applyFont="1" applyFill="1" applyBorder="1" applyAlignment="1">
      <alignment horizontal="center" vertical="center" wrapText="1"/>
    </xf>
    <xf numFmtId="0" fontId="76" fillId="0" borderId="19" xfId="0" applyFont="1" applyBorder="1" applyAlignment="1">
      <alignment horizontal="left" vertical="center" wrapText="1" indent="2"/>
    </xf>
    <xf numFmtId="0" fontId="72" fillId="0" borderId="111" xfId="0" applyFont="1" applyBorder="1" applyAlignment="1">
      <alignment horizontal="center" vertical="center" wrapText="1"/>
    </xf>
    <xf numFmtId="0" fontId="72" fillId="0" borderId="128" xfId="0" applyFont="1" applyBorder="1" applyAlignment="1">
      <alignment horizontal="center" vertical="center" wrapText="1"/>
    </xf>
    <xf numFmtId="0" fontId="72" fillId="0" borderId="112" xfId="0" applyFont="1" applyBorder="1" applyAlignment="1">
      <alignment horizontal="center" vertical="center" wrapText="1"/>
    </xf>
    <xf numFmtId="0" fontId="4" fillId="27" borderId="121"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72" fillId="0" borderId="113" xfId="0" applyFont="1" applyBorder="1" applyAlignment="1">
      <alignment horizontal="center" vertical="center" wrapText="1"/>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4" fillId="23" borderId="119" xfId="0" applyFont="1" applyFill="1" applyBorder="1" applyAlignment="1">
      <alignment horizontal="center" vertical="center" wrapText="1"/>
    </xf>
    <xf numFmtId="0" fontId="80" fillId="0" borderId="123" xfId="0" applyFont="1" applyBorder="1" applyAlignment="1">
      <alignment horizontal="center" vertical="center"/>
    </xf>
    <xf numFmtId="0" fontId="80" fillId="0" borderId="129" xfId="0" applyFont="1" applyBorder="1" applyAlignment="1">
      <alignment horizontal="center" vertical="center"/>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2" xfId="0" applyFont="1" applyFill="1" applyBorder="1" applyAlignment="1">
      <alignment horizontal="center" vertical="center" wrapText="1"/>
    </xf>
    <xf numFmtId="0" fontId="4" fillId="23" borderId="123" xfId="0" applyFont="1" applyFill="1" applyBorder="1" applyAlignment="1">
      <alignment horizontal="center" vertical="center" wrapText="1"/>
    </xf>
    <xf numFmtId="165" fontId="61" fillId="2" borderId="123" xfId="6" applyNumberFormat="1" applyFont="1" applyFill="1" applyBorder="1" applyAlignment="1">
      <alignment horizontal="center" vertical="center" wrapText="1"/>
    </xf>
    <xf numFmtId="165" fontId="61" fillId="2" borderId="129"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3" xfId="6" applyFont="1" applyFill="1" applyBorder="1" applyAlignment="1">
      <alignment horizontal="center" vertical="center"/>
    </xf>
    <xf numFmtId="0" fontId="76" fillId="23" borderId="129" xfId="6" applyFont="1" applyFill="1" applyBorder="1" applyAlignment="1">
      <alignment horizontal="center" vertical="center"/>
    </xf>
    <xf numFmtId="0" fontId="76" fillId="23" borderId="116" xfId="6" applyFont="1" applyFill="1" applyBorder="1" applyAlignment="1">
      <alignment horizontal="center" vertical="center"/>
    </xf>
    <xf numFmtId="165" fontId="61" fillId="2" borderId="123" xfId="6" applyNumberFormat="1" applyFont="1" applyFill="1" applyBorder="1" applyAlignment="1">
      <alignment horizontal="left" vertical="center" wrapText="1"/>
    </xf>
    <xf numFmtId="165" fontId="61" fillId="2" borderId="129" xfId="6" applyNumberFormat="1" applyFont="1" applyFill="1" applyBorder="1" applyAlignment="1">
      <alignment horizontal="left" vertical="center" wrapText="1"/>
    </xf>
    <xf numFmtId="165" fontId="61" fillId="2" borderId="116" xfId="6" applyNumberFormat="1" applyFont="1" applyFill="1" applyBorder="1" applyAlignment="1">
      <alignment horizontal="left"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1" xfId="7" applyFont="1" applyBorder="1" applyAlignment="1">
      <alignment horizontal="center" vertical="center"/>
    </xf>
    <xf numFmtId="0" fontId="80" fillId="0" borderId="132" xfId="7" applyFont="1" applyBorder="1" applyAlignment="1">
      <alignment horizontal="center" vertical="center"/>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10" xfId="0" applyFont="1" applyBorder="1" applyAlignment="1">
      <alignment horizontal="center" vertical="center" wrapText="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5"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5" fillId="0" borderId="0" xfId="0" applyFont="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5" xfId="0" applyFont="1" applyBorder="1" applyAlignment="1">
      <alignment horizontal="center" vertical="center" wrapText="1"/>
    </xf>
    <xf numFmtId="0" fontId="42" fillId="0" borderId="0" xfId="0" applyFont="1" applyAlignment="1">
      <alignment horizontal="center" vertical="center"/>
    </xf>
    <xf numFmtId="0" fontId="42" fillId="0" borderId="5"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2" fillId="0" borderId="4" xfId="0" applyFont="1" applyBorder="1" applyAlignment="1">
      <alignment horizontal="center" vertical="center"/>
    </xf>
    <xf numFmtId="0" fontId="42" fillId="0" borderId="6" xfId="0" applyFont="1" applyBorder="1" applyAlignment="1">
      <alignment horizontal="center" vertical="center"/>
    </xf>
    <xf numFmtId="0" fontId="42" fillId="0" borderId="8" xfId="0" applyFont="1" applyBorder="1" applyAlignment="1">
      <alignment horizontal="center" vertical="center"/>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42" fillId="0" borderId="10" xfId="0" applyFont="1" applyBorder="1" applyAlignment="1">
      <alignment horizontal="center" vertical="center" wrapText="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cellXfs>
  <cellStyles count="8">
    <cellStyle name="Normal" xfId="0" builtinId="0"/>
    <cellStyle name="Normal - Style1 2" xfId="2"/>
    <cellStyle name="Normal 10 2" xfId="6"/>
    <cellStyle name="Normal 2" xfId="4"/>
    <cellStyle name="Normal 2 2" xfId="3"/>
    <cellStyle name="Normal 3" xfId="5"/>
    <cellStyle name="Normal 4" xfId="7"/>
    <cellStyle name="Porcentaje" xfId="1" builtinId="5"/>
  </cellStyles>
  <dxfs count="41">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s>
  <tableStyles count="0" defaultTableStyle="TableStyleMedium2" defaultPivotStyle="PivotStyleLight16"/>
  <colors>
    <mruColors>
      <color rgb="FF375623"/>
      <color rgb="FFFFCC00"/>
      <color rgb="FFFFFFEB"/>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21061"/>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397454" y="8825593"/>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INSTRUCTIVO"/>
      <sheetName val="INSTRUCTIVO P.I"/>
      <sheetName val="Opciones Tratamiento"/>
    </sheetNames>
    <sheetDataSet>
      <sheetData sheetId="0"/>
      <sheetData sheetId="1">
        <row r="1">
          <cell r="J1" t="str">
            <v>ALTA</v>
          </cell>
        </row>
        <row r="2">
          <cell r="J2" t="str">
            <v>BAJA</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row r="5">
          <cell r="B5">
            <v>1</v>
          </cell>
          <cell r="N5">
            <v>1</v>
          </cell>
        </row>
        <row r="6">
          <cell r="B6">
            <v>2</v>
          </cell>
          <cell r="N6">
            <v>2</v>
          </cell>
        </row>
        <row r="7">
          <cell r="B7">
            <v>3</v>
          </cell>
          <cell r="N7">
            <v>3</v>
          </cell>
        </row>
        <row r="8">
          <cell r="B8">
            <v>4</v>
          </cell>
          <cell r="N8">
            <v>4</v>
          </cell>
        </row>
        <row r="9">
          <cell r="B9">
            <v>5</v>
          </cell>
          <cell r="N9">
            <v>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es Marin" refreshedDate="44186.276661689815" createdVersion="6" refreshedVersion="6" minRefreshableVersion="3" recordCount="1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1" name="Tabla1" displayName="Tabla1" ref="B209:C219" totalsRowShown="0" headerRowDxfId="3" dataDxfId="2">
  <autoFilter ref="B209:C219"/>
  <tableColumns count="2">
    <tableColumn id="1" name="Criterios" dataDxfId="1"/>
    <tableColumn id="2" name="Subcriterio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zoomScale="70" zoomScaleNormal="70" workbookViewId="0">
      <selection activeCell="Q16" sqref="Q16"/>
    </sheetView>
  </sheetViews>
  <sheetFormatPr baseColWidth="10" defaultColWidth="14.42578125" defaultRowHeight="15" customHeight="1" x14ac:dyDescent="0.2"/>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x14ac:dyDescent="0.3">
      <c r="D1" s="114"/>
      <c r="F1" s="114"/>
      <c r="H1" s="114"/>
      <c r="J1" s="114"/>
    </row>
    <row r="2" spans="1:26" ht="15.75" thickBot="1" x14ac:dyDescent="0.3">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x14ac:dyDescent="0.25">
      <c r="A3" s="121"/>
      <c r="B3" s="302" t="s">
        <v>0</v>
      </c>
      <c r="C3" s="303"/>
      <c r="D3" s="303"/>
      <c r="E3" s="303"/>
      <c r="F3" s="303"/>
      <c r="G3" s="303"/>
      <c r="H3" s="303"/>
      <c r="I3" s="303"/>
      <c r="J3" s="303"/>
      <c r="K3" s="304"/>
      <c r="L3" s="114"/>
      <c r="M3" s="121"/>
      <c r="N3" s="305" t="s">
        <v>1</v>
      </c>
      <c r="O3" s="303"/>
      <c r="P3" s="304"/>
      <c r="Q3" s="122"/>
      <c r="R3" s="123"/>
      <c r="S3" s="124"/>
      <c r="T3" s="306" t="s">
        <v>2</v>
      </c>
      <c r="U3" s="304"/>
      <c r="V3" s="122"/>
      <c r="W3" s="123"/>
    </row>
    <row r="4" spans="1:26" x14ac:dyDescent="0.25">
      <c r="A4" s="121"/>
      <c r="B4" s="125" t="s">
        <v>3</v>
      </c>
      <c r="C4" s="307" t="s">
        <v>4</v>
      </c>
      <c r="D4" s="308"/>
      <c r="E4" s="307" t="s">
        <v>5</v>
      </c>
      <c r="F4" s="309"/>
      <c r="G4" s="308"/>
      <c r="H4" s="307" t="s">
        <v>6</v>
      </c>
      <c r="I4" s="309"/>
      <c r="J4" s="309"/>
      <c r="K4" s="310"/>
      <c r="L4" s="114"/>
      <c r="M4" s="121"/>
      <c r="N4" s="126" t="s">
        <v>3</v>
      </c>
      <c r="O4" s="127" t="s">
        <v>4</v>
      </c>
      <c r="P4" s="128" t="s">
        <v>5</v>
      </c>
      <c r="Q4" s="122"/>
      <c r="R4" s="123"/>
      <c r="S4" s="124"/>
      <c r="T4" s="126" t="s">
        <v>7</v>
      </c>
      <c r="U4" s="128" t="s">
        <v>8</v>
      </c>
      <c r="V4" s="122"/>
      <c r="W4" s="123"/>
    </row>
    <row r="5" spans="1:26" ht="43.5" customHeight="1" x14ac:dyDescent="0.25">
      <c r="A5" s="121"/>
      <c r="B5" s="129">
        <v>1</v>
      </c>
      <c r="C5" s="311" t="s">
        <v>9</v>
      </c>
      <c r="D5" s="308"/>
      <c r="E5" s="312" t="s">
        <v>10</v>
      </c>
      <c r="F5" s="309"/>
      <c r="G5" s="308"/>
      <c r="H5" s="312" t="s">
        <v>11</v>
      </c>
      <c r="I5" s="309"/>
      <c r="J5" s="309"/>
      <c r="K5" s="310"/>
      <c r="L5" s="114"/>
      <c r="M5" s="121"/>
      <c r="N5" s="130">
        <v>1</v>
      </c>
      <c r="O5" s="131" t="s">
        <v>12</v>
      </c>
      <c r="P5" s="132" t="s">
        <v>13</v>
      </c>
      <c r="Q5" s="122"/>
      <c r="R5" s="123"/>
      <c r="S5" s="124"/>
      <c r="T5" s="133" t="s">
        <v>14</v>
      </c>
      <c r="U5" s="134" t="s">
        <v>15</v>
      </c>
      <c r="V5" s="122"/>
      <c r="W5" s="123"/>
    </row>
    <row r="6" spans="1:26" ht="30" customHeight="1" x14ac:dyDescent="0.25">
      <c r="A6" s="121"/>
      <c r="B6" s="129">
        <v>2</v>
      </c>
      <c r="C6" s="311" t="s">
        <v>16</v>
      </c>
      <c r="D6" s="308"/>
      <c r="E6" s="312" t="s">
        <v>17</v>
      </c>
      <c r="F6" s="309"/>
      <c r="G6" s="308"/>
      <c r="H6" s="312" t="s">
        <v>18</v>
      </c>
      <c r="I6" s="309"/>
      <c r="J6" s="309"/>
      <c r="K6" s="310"/>
      <c r="L6" s="114"/>
      <c r="M6" s="121"/>
      <c r="N6" s="130">
        <v>2</v>
      </c>
      <c r="O6" s="131" t="s">
        <v>19</v>
      </c>
      <c r="P6" s="132" t="s">
        <v>20</v>
      </c>
      <c r="Q6" s="122"/>
      <c r="R6" s="123"/>
      <c r="S6" s="124"/>
      <c r="T6" s="133" t="s">
        <v>21</v>
      </c>
      <c r="U6" s="134" t="s">
        <v>22</v>
      </c>
      <c r="V6" s="122"/>
      <c r="W6" s="123"/>
    </row>
    <row r="7" spans="1:26" ht="35.25" customHeight="1" x14ac:dyDescent="0.25">
      <c r="A7" s="121"/>
      <c r="B7" s="129">
        <v>3</v>
      </c>
      <c r="C7" s="311" t="s">
        <v>23</v>
      </c>
      <c r="D7" s="308"/>
      <c r="E7" s="312" t="s">
        <v>24</v>
      </c>
      <c r="F7" s="309"/>
      <c r="G7" s="308"/>
      <c r="H7" s="312" t="s">
        <v>25</v>
      </c>
      <c r="I7" s="309"/>
      <c r="J7" s="309"/>
      <c r="K7" s="310"/>
      <c r="L7" s="114"/>
      <c r="M7" s="121"/>
      <c r="N7" s="130">
        <v>3</v>
      </c>
      <c r="O7" s="131" t="s">
        <v>26</v>
      </c>
      <c r="P7" s="132" t="s">
        <v>27</v>
      </c>
      <c r="Q7" s="122"/>
      <c r="R7" s="123"/>
      <c r="S7" s="124"/>
      <c r="T7" s="133" t="s">
        <v>28</v>
      </c>
      <c r="U7" s="134" t="s">
        <v>29</v>
      </c>
      <c r="V7" s="122"/>
      <c r="W7" s="123"/>
    </row>
    <row r="8" spans="1:26" ht="35.25" customHeight="1" x14ac:dyDescent="0.25">
      <c r="A8" s="121"/>
      <c r="B8" s="129">
        <v>4</v>
      </c>
      <c r="C8" s="311" t="s">
        <v>30</v>
      </c>
      <c r="D8" s="308"/>
      <c r="E8" s="312" t="s">
        <v>31</v>
      </c>
      <c r="F8" s="309"/>
      <c r="G8" s="308"/>
      <c r="H8" s="312" t="s">
        <v>32</v>
      </c>
      <c r="I8" s="309"/>
      <c r="J8" s="309"/>
      <c r="K8" s="310"/>
      <c r="L8" s="114"/>
      <c r="M8" s="121"/>
      <c r="N8" s="130">
        <v>4</v>
      </c>
      <c r="O8" s="131" t="s">
        <v>33</v>
      </c>
      <c r="P8" s="132" t="s">
        <v>34</v>
      </c>
      <c r="Q8" s="122"/>
      <c r="R8" s="123"/>
      <c r="S8" s="124"/>
      <c r="T8" s="133" t="s">
        <v>35</v>
      </c>
      <c r="U8" s="134" t="s">
        <v>36</v>
      </c>
      <c r="V8" s="122"/>
      <c r="W8" s="123"/>
    </row>
    <row r="9" spans="1:26" ht="39.75" customHeight="1" thickBot="1" x14ac:dyDescent="0.3">
      <c r="A9" s="121"/>
      <c r="B9" s="135">
        <v>5</v>
      </c>
      <c r="C9" s="313" t="s">
        <v>37</v>
      </c>
      <c r="D9" s="314"/>
      <c r="E9" s="315" t="s">
        <v>38</v>
      </c>
      <c r="F9" s="316"/>
      <c r="G9" s="314"/>
      <c r="H9" s="313" t="s">
        <v>39</v>
      </c>
      <c r="I9" s="316"/>
      <c r="J9" s="316"/>
      <c r="K9" s="317"/>
      <c r="L9" s="114"/>
      <c r="M9" s="121"/>
      <c r="N9" s="136">
        <v>5</v>
      </c>
      <c r="O9" s="137" t="s">
        <v>40</v>
      </c>
      <c r="P9" s="138" t="s">
        <v>41</v>
      </c>
      <c r="Q9" s="122"/>
      <c r="R9" s="123"/>
      <c r="S9" s="124"/>
      <c r="T9" s="133" t="s">
        <v>42</v>
      </c>
      <c r="U9" s="134" t="s">
        <v>43</v>
      </c>
      <c r="V9" s="122"/>
      <c r="W9" s="123"/>
    </row>
    <row r="10" spans="1:26" ht="31.5" customHeight="1" thickBot="1" x14ac:dyDescent="0.3">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x14ac:dyDescent="0.3">
      <c r="A11" s="121"/>
      <c r="B11" s="114"/>
      <c r="C11" s="114"/>
      <c r="D11" s="114"/>
      <c r="E11" s="114"/>
      <c r="F11" s="114"/>
      <c r="G11" s="114"/>
      <c r="H11" s="114"/>
      <c r="I11" s="114"/>
      <c r="J11" s="114"/>
      <c r="K11" s="114"/>
      <c r="L11" s="299"/>
      <c r="M11" s="121"/>
      <c r="N11" s="114"/>
      <c r="O11" s="114"/>
      <c r="P11" s="114"/>
      <c r="Q11" s="122"/>
      <c r="R11" s="123"/>
      <c r="S11" s="124"/>
      <c r="T11" s="141" t="s">
        <v>46</v>
      </c>
      <c r="U11" s="142" t="s">
        <v>47</v>
      </c>
      <c r="V11" s="122"/>
      <c r="W11" s="123"/>
    </row>
    <row r="12" spans="1:26" x14ac:dyDescent="0.25">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x14ac:dyDescent="0.25">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x14ac:dyDescent="0.3">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x14ac:dyDescent="0.25">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x14ac:dyDescent="0.3">
      <c r="A16" s="121"/>
      <c r="B16" s="318" t="s">
        <v>49</v>
      </c>
      <c r="C16" s="319"/>
      <c r="D16" s="319"/>
      <c r="E16" s="319"/>
      <c r="F16" s="319"/>
      <c r="G16" s="319"/>
      <c r="H16" s="319"/>
      <c r="I16" s="319"/>
      <c r="J16" s="319"/>
      <c r="K16" s="319"/>
      <c r="L16" s="149"/>
      <c r="M16" s="114"/>
      <c r="N16" s="114"/>
      <c r="O16" s="114"/>
      <c r="P16" s="114"/>
      <c r="Q16" s="122"/>
      <c r="R16" s="123"/>
      <c r="S16" s="124"/>
      <c r="T16" s="122"/>
      <c r="U16" s="122"/>
      <c r="V16" s="122"/>
      <c r="W16" s="123"/>
      <c r="X16" s="122"/>
      <c r="Y16" s="122"/>
      <c r="Z16" s="122"/>
    </row>
    <row r="17" spans="1:26" ht="15.75" thickBot="1" x14ac:dyDescent="0.3">
      <c r="A17" s="121"/>
      <c r="B17" s="114"/>
      <c r="C17" s="114"/>
      <c r="D17" s="114"/>
      <c r="E17" s="114"/>
      <c r="F17" s="114"/>
      <c r="G17" s="114"/>
      <c r="H17" s="114"/>
      <c r="I17" s="114"/>
      <c r="J17" s="114"/>
      <c r="K17" s="114"/>
      <c r="L17" s="149"/>
      <c r="M17" s="122"/>
      <c r="N17" s="302" t="s">
        <v>50</v>
      </c>
      <c r="O17" s="303"/>
      <c r="P17" s="303"/>
      <c r="Q17" s="304"/>
      <c r="R17" s="150"/>
      <c r="S17" s="124"/>
      <c r="T17" s="302" t="s">
        <v>51</v>
      </c>
      <c r="U17" s="304"/>
      <c r="V17" s="122"/>
      <c r="W17" s="123"/>
      <c r="X17" s="122"/>
      <c r="Y17" s="122"/>
      <c r="Z17" s="122"/>
    </row>
    <row r="18" spans="1:26" ht="45.75" customHeight="1" x14ac:dyDescent="0.25">
      <c r="A18" s="121"/>
      <c r="B18" s="151" t="s">
        <v>52</v>
      </c>
      <c r="C18" s="152" t="s">
        <v>53</v>
      </c>
      <c r="D18" s="116"/>
      <c r="E18" s="153" t="s">
        <v>53</v>
      </c>
      <c r="F18" s="116"/>
      <c r="G18" s="154" t="s">
        <v>54</v>
      </c>
      <c r="H18" s="116"/>
      <c r="I18" s="154" t="s">
        <v>54</v>
      </c>
      <c r="J18" s="116"/>
      <c r="K18" s="155" t="s">
        <v>54</v>
      </c>
      <c r="L18" s="123"/>
      <c r="M18" s="122"/>
      <c r="N18" s="320" t="s">
        <v>55</v>
      </c>
      <c r="O18" s="323" t="s">
        <v>56</v>
      </c>
      <c r="P18" s="324"/>
      <c r="Q18" s="325"/>
      <c r="R18" s="156"/>
      <c r="S18" s="157"/>
      <c r="T18" s="332" t="s">
        <v>57</v>
      </c>
      <c r="U18" s="333" t="s">
        <v>58</v>
      </c>
      <c r="V18" s="158"/>
      <c r="W18" s="159"/>
      <c r="X18" s="158"/>
      <c r="Y18" s="158"/>
      <c r="Z18" s="122"/>
    </row>
    <row r="19" spans="1:26" ht="5.25" customHeight="1" x14ac:dyDescent="0.25">
      <c r="A19" s="121"/>
      <c r="B19" s="160"/>
      <c r="C19" s="121"/>
      <c r="D19" s="114"/>
      <c r="E19" s="114"/>
      <c r="F19" s="114"/>
      <c r="G19" s="114"/>
      <c r="H19" s="114"/>
      <c r="I19" s="114"/>
      <c r="J19" s="114"/>
      <c r="K19" s="149"/>
      <c r="L19" s="149"/>
      <c r="M19" s="114"/>
      <c r="N19" s="321"/>
      <c r="O19" s="326"/>
      <c r="P19" s="327"/>
      <c r="Q19" s="328"/>
      <c r="R19" s="156"/>
      <c r="S19" s="161"/>
      <c r="T19" s="321"/>
      <c r="U19" s="334"/>
      <c r="V19" s="158"/>
      <c r="W19" s="159"/>
      <c r="X19" s="158"/>
      <c r="Y19" s="158"/>
      <c r="Z19" s="114"/>
    </row>
    <row r="20" spans="1:26" ht="45.75" customHeight="1" x14ac:dyDescent="0.25">
      <c r="A20" s="121"/>
      <c r="B20" s="151" t="s">
        <v>59</v>
      </c>
      <c r="C20" s="162" t="s">
        <v>60</v>
      </c>
      <c r="D20" s="114"/>
      <c r="E20" s="163" t="s">
        <v>53</v>
      </c>
      <c r="F20" s="114"/>
      <c r="G20" s="163" t="s">
        <v>53</v>
      </c>
      <c r="H20" s="114"/>
      <c r="I20" s="164" t="s">
        <v>54</v>
      </c>
      <c r="J20" s="114"/>
      <c r="K20" s="165" t="s">
        <v>54</v>
      </c>
      <c r="L20" s="123"/>
      <c r="M20" s="122"/>
      <c r="N20" s="321"/>
      <c r="O20" s="326"/>
      <c r="P20" s="327"/>
      <c r="Q20" s="328"/>
      <c r="R20" s="156"/>
      <c r="S20" s="157"/>
      <c r="T20" s="322"/>
      <c r="U20" s="335"/>
      <c r="V20" s="158"/>
      <c r="W20" s="159"/>
      <c r="X20" s="158"/>
      <c r="Y20" s="158"/>
      <c r="Z20" s="122"/>
    </row>
    <row r="21" spans="1:26" ht="5.25" customHeight="1" x14ac:dyDescent="0.25">
      <c r="A21" s="121"/>
      <c r="B21" s="160"/>
      <c r="C21" s="121"/>
      <c r="D21" s="114"/>
      <c r="E21" s="114"/>
      <c r="F21" s="114"/>
      <c r="G21" s="114"/>
      <c r="H21" s="114"/>
      <c r="I21" s="114"/>
      <c r="J21" s="114"/>
      <c r="K21" s="149"/>
      <c r="L21" s="149"/>
      <c r="M21" s="114"/>
      <c r="N21" s="322"/>
      <c r="O21" s="329"/>
      <c r="P21" s="330"/>
      <c r="Q21" s="331"/>
      <c r="R21" s="156"/>
      <c r="S21" s="121"/>
      <c r="T21" s="332" t="s">
        <v>57</v>
      </c>
      <c r="U21" s="333" t="s">
        <v>61</v>
      </c>
      <c r="V21" s="158"/>
      <c r="W21" s="159"/>
      <c r="X21" s="158"/>
      <c r="Y21" s="158"/>
      <c r="Z21" s="114"/>
    </row>
    <row r="22" spans="1:26" ht="45.75" customHeight="1" x14ac:dyDescent="0.25">
      <c r="A22" s="121"/>
      <c r="B22" s="151" t="s">
        <v>62</v>
      </c>
      <c r="C22" s="166" t="s">
        <v>63</v>
      </c>
      <c r="D22" s="114"/>
      <c r="E22" s="167" t="s">
        <v>60</v>
      </c>
      <c r="F22" s="114"/>
      <c r="G22" s="163" t="s">
        <v>53</v>
      </c>
      <c r="H22" s="114"/>
      <c r="I22" s="164" t="s">
        <v>54</v>
      </c>
      <c r="J22" s="114"/>
      <c r="K22" s="165" t="s">
        <v>54</v>
      </c>
      <c r="L22" s="123"/>
      <c r="M22" s="122"/>
      <c r="N22" s="320" t="s">
        <v>64</v>
      </c>
      <c r="O22" s="323" t="s">
        <v>65</v>
      </c>
      <c r="P22" s="324"/>
      <c r="Q22" s="325"/>
      <c r="R22" s="156"/>
      <c r="S22" s="124"/>
      <c r="T22" s="321"/>
      <c r="U22" s="334"/>
      <c r="V22" s="158"/>
      <c r="W22" s="159"/>
      <c r="X22" s="158"/>
      <c r="Y22" s="158"/>
      <c r="Z22" s="122"/>
    </row>
    <row r="23" spans="1:26" ht="5.25" customHeight="1" x14ac:dyDescent="0.25">
      <c r="A23" s="121"/>
      <c r="B23" s="160"/>
      <c r="C23" s="121"/>
      <c r="D23" s="114"/>
      <c r="E23" s="114"/>
      <c r="F23" s="114"/>
      <c r="G23" s="114"/>
      <c r="H23" s="114"/>
      <c r="I23" s="114"/>
      <c r="J23" s="114"/>
      <c r="K23" s="149"/>
      <c r="L23" s="149"/>
      <c r="M23" s="114"/>
      <c r="N23" s="321"/>
      <c r="O23" s="326"/>
      <c r="P23" s="327"/>
      <c r="Q23" s="328"/>
      <c r="R23" s="156"/>
      <c r="S23" s="121"/>
      <c r="T23" s="321"/>
      <c r="U23" s="334"/>
      <c r="V23" s="158"/>
      <c r="W23" s="159"/>
      <c r="X23" s="158"/>
      <c r="Y23" s="158"/>
      <c r="Z23" s="114"/>
    </row>
    <row r="24" spans="1:26" ht="45.75" customHeight="1" x14ac:dyDescent="0.25">
      <c r="A24" s="121"/>
      <c r="B24" s="151" t="s">
        <v>66</v>
      </c>
      <c r="C24" s="166" t="s">
        <v>63</v>
      </c>
      <c r="D24" s="114"/>
      <c r="E24" s="168" t="s">
        <v>63</v>
      </c>
      <c r="F24" s="114"/>
      <c r="G24" s="167" t="s">
        <v>60</v>
      </c>
      <c r="H24" s="114"/>
      <c r="I24" s="163" t="s">
        <v>53</v>
      </c>
      <c r="J24" s="114"/>
      <c r="K24" s="165" t="s">
        <v>54</v>
      </c>
      <c r="L24" s="123"/>
      <c r="M24" s="122"/>
      <c r="N24" s="321"/>
      <c r="O24" s="326"/>
      <c r="P24" s="327"/>
      <c r="Q24" s="328"/>
      <c r="R24" s="156"/>
      <c r="S24" s="124"/>
      <c r="T24" s="321"/>
      <c r="U24" s="334"/>
      <c r="V24" s="158"/>
      <c r="W24" s="159"/>
      <c r="X24" s="158"/>
      <c r="Y24" s="158"/>
      <c r="Z24" s="122"/>
    </row>
    <row r="25" spans="1:26" ht="5.25" customHeight="1" x14ac:dyDescent="0.25">
      <c r="A25" s="121"/>
      <c r="B25" s="160"/>
      <c r="C25" s="121"/>
      <c r="D25" s="114"/>
      <c r="E25" s="114"/>
      <c r="F25" s="114"/>
      <c r="G25" s="114"/>
      <c r="H25" s="114"/>
      <c r="I25" s="114"/>
      <c r="J25" s="114"/>
      <c r="K25" s="149"/>
      <c r="L25" s="149"/>
      <c r="M25" s="114"/>
      <c r="N25" s="322"/>
      <c r="O25" s="329"/>
      <c r="P25" s="330"/>
      <c r="Q25" s="331"/>
      <c r="R25" s="156"/>
      <c r="S25" s="121"/>
      <c r="T25" s="321"/>
      <c r="U25" s="334"/>
      <c r="V25" s="114"/>
      <c r="W25" s="149"/>
      <c r="X25" s="114"/>
      <c r="Y25" s="114"/>
      <c r="Z25" s="114"/>
    </row>
    <row r="26" spans="1:26" ht="45.75" customHeight="1" thickBot="1" x14ac:dyDescent="0.3">
      <c r="A26" s="121"/>
      <c r="B26" s="151" t="s">
        <v>67</v>
      </c>
      <c r="C26" s="169" t="s">
        <v>63</v>
      </c>
      <c r="D26" s="144"/>
      <c r="E26" s="170" t="s">
        <v>63</v>
      </c>
      <c r="F26" s="144"/>
      <c r="G26" s="171" t="s">
        <v>60</v>
      </c>
      <c r="H26" s="144"/>
      <c r="I26" s="172" t="s">
        <v>53</v>
      </c>
      <c r="J26" s="144"/>
      <c r="K26" s="173" t="s">
        <v>53</v>
      </c>
      <c r="L26" s="123"/>
      <c r="M26" s="122"/>
      <c r="N26" s="320" t="s">
        <v>68</v>
      </c>
      <c r="O26" s="323" t="s">
        <v>69</v>
      </c>
      <c r="P26" s="324"/>
      <c r="Q26" s="325"/>
      <c r="R26" s="156"/>
      <c r="S26" s="124"/>
      <c r="T26" s="321"/>
      <c r="U26" s="334"/>
      <c r="V26" s="122"/>
      <c r="W26" s="123"/>
      <c r="X26" s="122"/>
      <c r="Y26" s="122"/>
      <c r="Z26" s="122"/>
    </row>
    <row r="27" spans="1:26" ht="33.75" customHeight="1" x14ac:dyDescent="0.25">
      <c r="A27" s="121"/>
      <c r="B27" s="114"/>
      <c r="C27" s="151" t="s">
        <v>70</v>
      </c>
      <c r="D27" s="160"/>
      <c r="E27" s="151" t="s">
        <v>71</v>
      </c>
      <c r="F27" s="160"/>
      <c r="G27" s="151" t="s">
        <v>72</v>
      </c>
      <c r="H27" s="160"/>
      <c r="I27" s="151" t="s">
        <v>73</v>
      </c>
      <c r="J27" s="160"/>
      <c r="K27" s="151" t="s">
        <v>74</v>
      </c>
      <c r="L27" s="149"/>
      <c r="M27" s="122"/>
      <c r="N27" s="322"/>
      <c r="O27" s="329"/>
      <c r="P27" s="330"/>
      <c r="Q27" s="331"/>
      <c r="R27" s="156"/>
      <c r="S27" s="124"/>
      <c r="T27" s="321"/>
      <c r="U27" s="334"/>
      <c r="V27" s="122"/>
      <c r="W27" s="123"/>
    </row>
    <row r="28" spans="1:26" ht="24.75" customHeight="1" x14ac:dyDescent="0.25">
      <c r="A28" s="121"/>
      <c r="B28" s="114"/>
      <c r="C28" s="114"/>
      <c r="D28" s="114"/>
      <c r="E28" s="114"/>
      <c r="F28" s="114"/>
      <c r="G28" s="114"/>
      <c r="H28" s="114"/>
      <c r="I28" s="114"/>
      <c r="J28" s="114"/>
      <c r="K28" s="114"/>
      <c r="L28" s="149"/>
      <c r="M28" s="122"/>
      <c r="N28" s="320" t="s">
        <v>75</v>
      </c>
      <c r="O28" s="323" t="s">
        <v>76</v>
      </c>
      <c r="P28" s="324"/>
      <c r="Q28" s="325"/>
      <c r="R28" s="156"/>
      <c r="S28" s="124"/>
      <c r="T28" s="322"/>
      <c r="U28" s="335"/>
      <c r="V28" s="122"/>
      <c r="W28" s="123"/>
    </row>
    <row r="29" spans="1:26" ht="15.75" customHeight="1" x14ac:dyDescent="0.25">
      <c r="A29" s="124"/>
      <c r="B29" s="122"/>
      <c r="C29" s="114"/>
      <c r="D29" s="114"/>
      <c r="E29" s="114"/>
      <c r="F29" s="114"/>
      <c r="G29" s="114"/>
      <c r="H29" s="114"/>
      <c r="I29" s="114"/>
      <c r="J29" s="114"/>
      <c r="K29" s="114"/>
      <c r="L29" s="149"/>
      <c r="M29" s="122"/>
      <c r="N29" s="321"/>
      <c r="O29" s="326"/>
      <c r="P29" s="327"/>
      <c r="Q29" s="328"/>
      <c r="R29" s="156"/>
      <c r="S29" s="124"/>
      <c r="T29" s="332" t="s">
        <v>77</v>
      </c>
      <c r="U29" s="333" t="s">
        <v>78</v>
      </c>
      <c r="V29" s="122"/>
      <c r="W29" s="123"/>
    </row>
    <row r="30" spans="1:26" ht="15.75" customHeight="1" x14ac:dyDescent="0.25">
      <c r="A30" s="124"/>
      <c r="B30" s="122"/>
      <c r="C30" s="122"/>
      <c r="D30" s="114"/>
      <c r="E30" s="122"/>
      <c r="F30" s="114"/>
      <c r="G30" s="122"/>
      <c r="H30" s="114"/>
      <c r="I30" s="122"/>
      <c r="J30" s="114"/>
      <c r="K30" s="122"/>
      <c r="L30" s="123"/>
      <c r="M30" s="122"/>
      <c r="N30" s="321"/>
      <c r="O30" s="326"/>
      <c r="P30" s="327"/>
      <c r="Q30" s="328"/>
      <c r="R30" s="156"/>
      <c r="S30" s="124"/>
      <c r="T30" s="321"/>
      <c r="U30" s="334"/>
      <c r="V30" s="122"/>
      <c r="W30" s="123"/>
    </row>
    <row r="31" spans="1:26" ht="15.75" customHeight="1" thickBot="1" x14ac:dyDescent="0.3">
      <c r="A31" s="124"/>
      <c r="B31" s="122"/>
      <c r="C31" s="122"/>
      <c r="D31" s="114"/>
      <c r="E31" s="122"/>
      <c r="F31" s="114"/>
      <c r="G31" s="122"/>
      <c r="H31" s="114"/>
      <c r="I31" s="122"/>
      <c r="J31" s="114"/>
      <c r="K31" s="122"/>
      <c r="L31" s="123"/>
      <c r="M31" s="122"/>
      <c r="N31" s="336"/>
      <c r="O31" s="337"/>
      <c r="P31" s="338"/>
      <c r="Q31" s="339"/>
      <c r="R31" s="156"/>
      <c r="S31" s="124"/>
      <c r="T31" s="336"/>
      <c r="U31" s="340"/>
      <c r="V31" s="122"/>
      <c r="W31" s="123"/>
    </row>
    <row r="32" spans="1:26" ht="15.75" customHeight="1" x14ac:dyDescent="0.25">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x14ac:dyDescent="0.25">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x14ac:dyDescent="0.25">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x14ac:dyDescent="0.25">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x14ac:dyDescent="0.3">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x14ac:dyDescent="0.25">
      <c r="A37" s="119"/>
      <c r="B37" s="117"/>
      <c r="C37" s="117"/>
      <c r="D37" s="116"/>
      <c r="E37" s="117"/>
      <c r="F37" s="116"/>
      <c r="G37" s="117"/>
      <c r="H37" s="116"/>
      <c r="I37" s="117"/>
      <c r="J37" s="116"/>
      <c r="K37" s="117"/>
      <c r="L37" s="118"/>
      <c r="M37" s="119"/>
      <c r="N37" s="117"/>
      <c r="O37" s="117"/>
      <c r="P37" s="117"/>
      <c r="Q37" s="117"/>
      <c r="R37" s="118"/>
    </row>
    <row r="38" spans="1:23" ht="15.75" customHeight="1" thickBot="1" x14ac:dyDescent="0.3">
      <c r="A38" s="124"/>
      <c r="B38" s="122"/>
      <c r="C38" s="122"/>
      <c r="D38" s="114"/>
      <c r="E38" s="122"/>
      <c r="F38" s="114"/>
      <c r="G38" s="122"/>
      <c r="H38" s="114"/>
      <c r="I38" s="122"/>
      <c r="J38" s="114"/>
      <c r="K38" s="122"/>
      <c r="L38" s="123"/>
      <c r="M38" s="124"/>
      <c r="N38" s="122"/>
      <c r="O38" s="122"/>
      <c r="P38" s="122"/>
      <c r="Q38" s="122"/>
      <c r="R38" s="123"/>
    </row>
    <row r="39" spans="1:23" ht="15.75" customHeight="1" x14ac:dyDescent="0.25">
      <c r="A39" s="124"/>
      <c r="B39" s="341" t="s">
        <v>79</v>
      </c>
      <c r="C39" s="342"/>
      <c r="D39" s="343" t="s">
        <v>5</v>
      </c>
      <c r="E39" s="303"/>
      <c r="F39" s="303"/>
      <c r="G39" s="303"/>
      <c r="H39" s="303"/>
      <c r="I39" s="303"/>
      <c r="J39" s="303"/>
      <c r="K39" s="304"/>
      <c r="L39" s="123"/>
      <c r="M39" s="124"/>
      <c r="N39" s="344" t="s">
        <v>80</v>
      </c>
      <c r="O39" s="303"/>
      <c r="P39" s="304"/>
      <c r="Q39" s="174"/>
      <c r="R39" s="123"/>
    </row>
    <row r="40" spans="1:23" ht="110.25" customHeight="1" x14ac:dyDescent="0.25">
      <c r="A40" s="124"/>
      <c r="B40" s="345" t="s">
        <v>81</v>
      </c>
      <c r="C40" s="308"/>
      <c r="D40" s="346" t="s">
        <v>82</v>
      </c>
      <c r="E40" s="309"/>
      <c r="F40" s="309"/>
      <c r="G40" s="309"/>
      <c r="H40" s="309"/>
      <c r="I40" s="309"/>
      <c r="J40" s="309"/>
      <c r="K40" s="310"/>
      <c r="L40" s="123"/>
      <c r="M40" s="124"/>
      <c r="N40" s="175" t="s">
        <v>83</v>
      </c>
      <c r="O40" s="347" t="s">
        <v>84</v>
      </c>
      <c r="P40" s="310"/>
      <c r="Q40" s="122"/>
      <c r="R40" s="123"/>
    </row>
    <row r="41" spans="1:23" ht="62.25" customHeight="1" x14ac:dyDescent="0.25">
      <c r="A41" s="124"/>
      <c r="B41" s="345" t="s">
        <v>85</v>
      </c>
      <c r="C41" s="308"/>
      <c r="D41" s="346" t="s">
        <v>86</v>
      </c>
      <c r="E41" s="309"/>
      <c r="F41" s="309"/>
      <c r="G41" s="309"/>
      <c r="H41" s="309"/>
      <c r="I41" s="309"/>
      <c r="J41" s="309"/>
      <c r="K41" s="310"/>
      <c r="L41" s="123"/>
      <c r="M41" s="124"/>
      <c r="N41" s="176" t="s">
        <v>87</v>
      </c>
      <c r="O41" s="348" t="s">
        <v>88</v>
      </c>
      <c r="P41" s="310"/>
      <c r="Q41" s="122"/>
      <c r="R41" s="123"/>
    </row>
    <row r="42" spans="1:23" ht="78" customHeight="1" x14ac:dyDescent="0.25">
      <c r="A42" s="124"/>
      <c r="B42" s="345" t="s">
        <v>89</v>
      </c>
      <c r="C42" s="308"/>
      <c r="D42" s="346" t="s">
        <v>90</v>
      </c>
      <c r="E42" s="349"/>
      <c r="F42" s="349"/>
      <c r="G42" s="349"/>
      <c r="H42" s="349"/>
      <c r="I42" s="349"/>
      <c r="J42" s="349"/>
      <c r="K42" s="350"/>
      <c r="L42" s="123"/>
      <c r="M42" s="124"/>
      <c r="N42" s="176" t="s">
        <v>60</v>
      </c>
      <c r="O42" s="348" t="s">
        <v>91</v>
      </c>
      <c r="P42" s="310"/>
      <c r="Q42" s="122"/>
      <c r="R42" s="123"/>
    </row>
    <row r="43" spans="1:23" ht="75.75" customHeight="1" thickBot="1" x14ac:dyDescent="0.3">
      <c r="A43" s="124"/>
      <c r="B43" s="352" t="s">
        <v>92</v>
      </c>
      <c r="C43" s="314"/>
      <c r="D43" s="353" t="s">
        <v>93</v>
      </c>
      <c r="E43" s="316"/>
      <c r="F43" s="316"/>
      <c r="G43" s="316"/>
      <c r="H43" s="316"/>
      <c r="I43" s="316"/>
      <c r="J43" s="316"/>
      <c r="K43" s="317"/>
      <c r="L43" s="123"/>
      <c r="M43" s="124"/>
      <c r="N43" s="176" t="s">
        <v>94</v>
      </c>
      <c r="O43" s="348" t="s">
        <v>95</v>
      </c>
      <c r="P43" s="310"/>
      <c r="Q43" s="122"/>
      <c r="R43" s="123"/>
    </row>
    <row r="44" spans="1:23" ht="32.25" customHeight="1" thickBot="1" x14ac:dyDescent="0.3">
      <c r="A44" s="124"/>
      <c r="B44" s="354"/>
      <c r="C44" s="327"/>
      <c r="D44" s="351"/>
      <c r="E44" s="319"/>
      <c r="F44" s="319"/>
      <c r="G44" s="319"/>
      <c r="H44" s="319"/>
      <c r="I44" s="319"/>
      <c r="J44" s="319"/>
      <c r="K44" s="319"/>
      <c r="L44" s="123"/>
      <c r="M44" s="124"/>
      <c r="N44" s="177" t="s">
        <v>96</v>
      </c>
      <c r="O44" s="355" t="s">
        <v>97</v>
      </c>
      <c r="P44" s="317"/>
      <c r="Q44" s="122"/>
      <c r="R44" s="123"/>
    </row>
    <row r="45" spans="1:23" ht="15.75" customHeight="1" x14ac:dyDescent="0.25">
      <c r="A45" s="124"/>
      <c r="B45" s="122"/>
      <c r="C45" s="122"/>
      <c r="D45" s="351"/>
      <c r="E45" s="319"/>
      <c r="F45" s="319"/>
      <c r="G45" s="319"/>
      <c r="H45" s="319"/>
      <c r="I45" s="319"/>
      <c r="J45" s="319"/>
      <c r="K45" s="319"/>
      <c r="L45" s="123"/>
      <c r="M45" s="124"/>
      <c r="N45" s="122"/>
      <c r="O45" s="122"/>
      <c r="P45" s="122"/>
      <c r="Q45" s="122"/>
      <c r="R45" s="123"/>
    </row>
    <row r="46" spans="1:23" ht="15.75" customHeight="1" x14ac:dyDescent="0.25">
      <c r="A46" s="124"/>
      <c r="B46" s="122"/>
      <c r="C46" s="122"/>
      <c r="D46" s="351"/>
      <c r="E46" s="319"/>
      <c r="F46" s="319"/>
      <c r="G46" s="319"/>
      <c r="H46" s="319"/>
      <c r="I46" s="319"/>
      <c r="J46" s="319"/>
      <c r="K46" s="319"/>
      <c r="L46" s="123"/>
      <c r="M46" s="124"/>
      <c r="N46" s="122"/>
      <c r="O46" s="122"/>
      <c r="P46" s="122"/>
      <c r="Q46" s="122"/>
      <c r="R46" s="123"/>
    </row>
    <row r="47" spans="1:23" ht="15.75" customHeight="1" x14ac:dyDescent="0.25">
      <c r="A47" s="124"/>
      <c r="B47" s="122"/>
      <c r="C47" s="122"/>
      <c r="D47" s="114"/>
      <c r="E47" s="122"/>
      <c r="F47" s="114"/>
      <c r="G47" s="122"/>
      <c r="H47" s="114"/>
      <c r="I47" s="122"/>
      <c r="J47" s="114"/>
      <c r="K47" s="122"/>
      <c r="L47" s="123"/>
      <c r="M47" s="124"/>
      <c r="N47" s="122"/>
      <c r="O47" s="122"/>
      <c r="P47" s="122"/>
      <c r="Q47" s="122"/>
      <c r="R47" s="123"/>
    </row>
    <row r="48" spans="1:23" ht="15.75" customHeight="1" thickBot="1" x14ac:dyDescent="0.3">
      <c r="A48" s="147"/>
      <c r="B48" s="145"/>
      <c r="C48" s="145"/>
      <c r="D48" s="144"/>
      <c r="E48" s="145"/>
      <c r="F48" s="144"/>
      <c r="G48" s="145"/>
      <c r="H48" s="144"/>
      <c r="I48" s="145"/>
      <c r="J48" s="144"/>
      <c r="K48" s="145"/>
      <c r="L48" s="146"/>
      <c r="M48" s="147"/>
      <c r="N48" s="145"/>
      <c r="O48" s="178"/>
      <c r="P48" s="145"/>
      <c r="Q48" s="145"/>
      <c r="R48" s="146"/>
    </row>
    <row r="49" spans="2:17" ht="15.75" customHeight="1" x14ac:dyDescent="0.25">
      <c r="D49" s="114"/>
      <c r="F49" s="114"/>
      <c r="H49" s="114"/>
      <c r="J49" s="114"/>
      <c r="O49" s="179"/>
    </row>
    <row r="50" spans="2:17" ht="15.75" customHeight="1" x14ac:dyDescent="0.25">
      <c r="D50" s="114"/>
      <c r="F50" s="114"/>
      <c r="H50" s="114"/>
      <c r="J50" s="114"/>
      <c r="O50" s="179"/>
    </row>
    <row r="51" spans="2:17" ht="15.75" customHeight="1" x14ac:dyDescent="0.25">
      <c r="D51" s="114"/>
      <c r="F51" s="114"/>
      <c r="H51" s="114"/>
      <c r="J51" s="114"/>
      <c r="O51" s="179"/>
    </row>
    <row r="52" spans="2:17" ht="15.75" customHeight="1" x14ac:dyDescent="0.25">
      <c r="D52" s="114"/>
      <c r="F52" s="114"/>
      <c r="H52" s="114"/>
      <c r="J52" s="114"/>
      <c r="O52" s="180"/>
    </row>
    <row r="53" spans="2:17" ht="15.75" customHeight="1" x14ac:dyDescent="0.25">
      <c r="D53" s="114"/>
      <c r="F53" s="114"/>
      <c r="H53" s="114"/>
      <c r="J53" s="114"/>
      <c r="O53" s="122"/>
    </row>
    <row r="54" spans="2:17" ht="15.75" customHeight="1" x14ac:dyDescent="0.25">
      <c r="B54" s="181" t="s">
        <v>98</v>
      </c>
      <c r="D54" s="114"/>
      <c r="F54" s="114"/>
      <c r="H54" s="114"/>
      <c r="I54" s="181" t="s">
        <v>99</v>
      </c>
      <c r="J54" s="114"/>
      <c r="M54" s="181" t="s">
        <v>100</v>
      </c>
      <c r="P54" s="181" t="s">
        <v>101</v>
      </c>
      <c r="Q54" s="181" t="s">
        <v>102</v>
      </c>
    </row>
    <row r="55" spans="2:17" ht="15.75" customHeight="1" x14ac:dyDescent="0.25">
      <c r="B55" s="113" t="s">
        <v>103</v>
      </c>
      <c r="D55" s="114"/>
      <c r="F55" s="114"/>
      <c r="H55" s="114"/>
      <c r="I55" s="182" t="s">
        <v>104</v>
      </c>
      <c r="J55" s="114"/>
      <c r="M55" s="113" t="s">
        <v>105</v>
      </c>
      <c r="P55" s="113" t="s">
        <v>106</v>
      </c>
      <c r="Q55" s="113" t="s">
        <v>107</v>
      </c>
    </row>
    <row r="56" spans="2:17" ht="15.75" customHeight="1" x14ac:dyDescent="0.25">
      <c r="B56" s="113" t="s">
        <v>108</v>
      </c>
      <c r="D56" s="114"/>
      <c r="F56" s="114"/>
      <c r="H56" s="114"/>
      <c r="I56" s="182" t="s">
        <v>109</v>
      </c>
      <c r="J56" s="114"/>
      <c r="M56" s="113" t="s">
        <v>110</v>
      </c>
      <c r="P56" s="113" t="s">
        <v>111</v>
      </c>
      <c r="Q56" s="113" t="s">
        <v>112</v>
      </c>
    </row>
    <row r="57" spans="2:17" ht="15.75" customHeight="1" x14ac:dyDescent="0.25">
      <c r="B57" s="113" t="s">
        <v>113</v>
      </c>
      <c r="D57" s="114"/>
      <c r="F57" s="114"/>
      <c r="H57" s="114"/>
      <c r="I57" s="182" t="s">
        <v>114</v>
      </c>
      <c r="J57" s="114"/>
    </row>
    <row r="58" spans="2:17" ht="15.75" customHeight="1" x14ac:dyDescent="0.25">
      <c r="D58" s="114"/>
      <c r="F58" s="114"/>
      <c r="H58" s="114"/>
      <c r="I58" s="182" t="s">
        <v>115</v>
      </c>
      <c r="J58" s="114"/>
    </row>
    <row r="59" spans="2:17" ht="15.75" customHeight="1" x14ac:dyDescent="0.25">
      <c r="D59" s="114"/>
      <c r="F59" s="114"/>
      <c r="H59" s="114"/>
      <c r="I59" s="182" t="s">
        <v>116</v>
      </c>
      <c r="J59" s="114"/>
    </row>
    <row r="60" spans="2:17" ht="15.75" customHeight="1" x14ac:dyDescent="0.25">
      <c r="D60" s="114"/>
      <c r="F60" s="114"/>
      <c r="H60" s="114"/>
      <c r="I60" s="182" t="s">
        <v>117</v>
      </c>
      <c r="J60" s="114"/>
    </row>
    <row r="61" spans="2:17" ht="15.75" customHeight="1" x14ac:dyDescent="0.25">
      <c r="D61" s="114"/>
      <c r="F61" s="114"/>
      <c r="H61" s="114"/>
      <c r="I61" s="182" t="s">
        <v>118</v>
      </c>
      <c r="J61" s="114"/>
    </row>
    <row r="62" spans="2:17" ht="15.75" customHeight="1" x14ac:dyDescent="0.25">
      <c r="D62" s="114"/>
      <c r="F62" s="114"/>
      <c r="H62" s="114"/>
      <c r="J62" s="114"/>
    </row>
    <row r="63" spans="2:17" ht="15.75" customHeight="1" x14ac:dyDescent="0.25">
      <c r="D63" s="114"/>
      <c r="F63" s="114"/>
      <c r="H63" s="114"/>
      <c r="J63" s="114"/>
    </row>
    <row r="64" spans="2:17" ht="15.75" customHeight="1" x14ac:dyDescent="0.25">
      <c r="D64" s="114"/>
      <c r="F64" s="114"/>
      <c r="H64" s="114"/>
      <c r="J64" s="114"/>
    </row>
    <row r="65" spans="4:10" ht="15.75" customHeight="1" x14ac:dyDescent="0.25">
      <c r="D65" s="114"/>
      <c r="F65" s="114"/>
      <c r="H65" s="114"/>
      <c r="J65" s="114"/>
    </row>
    <row r="66" spans="4:10" ht="15.75" customHeight="1" x14ac:dyDescent="0.25">
      <c r="D66" s="114"/>
      <c r="F66" s="114"/>
      <c r="H66" s="114"/>
      <c r="J66" s="114"/>
    </row>
    <row r="67" spans="4:10" ht="15.75" customHeight="1" x14ac:dyDescent="0.25">
      <c r="D67" s="114"/>
      <c r="F67" s="114"/>
      <c r="H67" s="114"/>
      <c r="J67" s="114"/>
    </row>
    <row r="68" spans="4:10" ht="15.75" customHeight="1" x14ac:dyDescent="0.25">
      <c r="D68" s="114"/>
      <c r="F68" s="114"/>
      <c r="H68" s="114"/>
      <c r="J68" s="114"/>
    </row>
    <row r="69" spans="4:10" ht="15.75" customHeight="1" x14ac:dyDescent="0.25">
      <c r="D69" s="114"/>
      <c r="F69" s="114"/>
      <c r="H69" s="114"/>
      <c r="J69" s="114"/>
    </row>
    <row r="70" spans="4:10" ht="15.75" customHeight="1" x14ac:dyDescent="0.25">
      <c r="D70" s="114"/>
      <c r="F70" s="114"/>
      <c r="H70" s="114"/>
      <c r="J70" s="114"/>
    </row>
    <row r="71" spans="4:10" ht="15.75" customHeight="1" x14ac:dyDescent="0.25">
      <c r="D71" s="114"/>
      <c r="F71" s="114"/>
      <c r="H71" s="114"/>
      <c r="J71" s="114"/>
    </row>
    <row r="72" spans="4:10" ht="15.75" customHeight="1" x14ac:dyDescent="0.25">
      <c r="D72" s="114"/>
      <c r="F72" s="114"/>
      <c r="H72" s="114"/>
      <c r="J72" s="114"/>
    </row>
    <row r="73" spans="4:10" ht="15.75" customHeight="1" x14ac:dyDescent="0.25">
      <c r="D73" s="114"/>
      <c r="F73" s="114"/>
      <c r="H73" s="114"/>
      <c r="J73" s="114"/>
    </row>
    <row r="74" spans="4:10" ht="15.75" customHeight="1" x14ac:dyDescent="0.25">
      <c r="D74" s="114"/>
      <c r="F74" s="114"/>
      <c r="H74" s="114"/>
      <c r="J74" s="114"/>
    </row>
    <row r="75" spans="4:10" ht="15.75" customHeight="1" x14ac:dyDescent="0.25">
      <c r="D75" s="114"/>
      <c r="F75" s="114"/>
      <c r="H75" s="114"/>
      <c r="J75" s="114"/>
    </row>
    <row r="76" spans="4:10" ht="15.75" customHeight="1" x14ac:dyDescent="0.25">
      <c r="D76" s="114"/>
      <c r="F76" s="114"/>
      <c r="H76" s="114"/>
      <c r="J76" s="114"/>
    </row>
    <row r="77" spans="4:10" ht="15.75" customHeight="1" x14ac:dyDescent="0.25">
      <c r="D77" s="114"/>
      <c r="F77" s="114"/>
      <c r="H77" s="114"/>
      <c r="J77" s="114"/>
    </row>
    <row r="78" spans="4:10" ht="15.75" customHeight="1" x14ac:dyDescent="0.25">
      <c r="D78" s="114"/>
      <c r="F78" s="114"/>
      <c r="H78" s="114"/>
      <c r="J78" s="114"/>
    </row>
    <row r="79" spans="4:10" ht="15.75" customHeight="1" x14ac:dyDescent="0.25">
      <c r="D79" s="114"/>
      <c r="F79" s="114"/>
      <c r="H79" s="114"/>
      <c r="J79" s="114"/>
    </row>
    <row r="80" spans="4:10" ht="15.75" customHeight="1" x14ac:dyDescent="0.25">
      <c r="D80" s="114"/>
      <c r="F80" s="114"/>
      <c r="H80" s="114"/>
      <c r="J80" s="114"/>
    </row>
    <row r="81" spans="4:10" ht="15.75" customHeight="1" x14ac:dyDescent="0.25">
      <c r="D81" s="114"/>
      <c r="F81" s="114"/>
      <c r="H81" s="114"/>
      <c r="J81" s="114"/>
    </row>
    <row r="82" spans="4:10" ht="15.75" customHeight="1" x14ac:dyDescent="0.25">
      <c r="D82" s="114"/>
      <c r="F82" s="114"/>
      <c r="H82" s="114"/>
      <c r="J82" s="114"/>
    </row>
    <row r="83" spans="4:10" ht="15.75" customHeight="1" x14ac:dyDescent="0.25">
      <c r="D83" s="114"/>
      <c r="F83" s="114"/>
      <c r="H83" s="114"/>
      <c r="J83" s="114"/>
    </row>
    <row r="84" spans="4:10" ht="15.75" customHeight="1" x14ac:dyDescent="0.25">
      <c r="D84" s="114"/>
      <c r="F84" s="114"/>
      <c r="H84" s="114"/>
      <c r="J84" s="114"/>
    </row>
    <row r="85" spans="4:10" ht="15.75" customHeight="1" x14ac:dyDescent="0.25">
      <c r="D85" s="114"/>
      <c r="F85" s="114"/>
      <c r="H85" s="114"/>
      <c r="J85" s="114"/>
    </row>
    <row r="86" spans="4:10" ht="15.75" customHeight="1" x14ac:dyDescent="0.25">
      <c r="D86" s="114"/>
      <c r="F86" s="114"/>
      <c r="H86" s="114"/>
      <c r="J86" s="114"/>
    </row>
    <row r="87" spans="4:10" ht="15.75" customHeight="1" x14ac:dyDescent="0.25">
      <c r="D87" s="114"/>
      <c r="F87" s="114"/>
      <c r="H87" s="114"/>
      <c r="J87" s="114"/>
    </row>
    <row r="88" spans="4:10" ht="15.75" customHeight="1" x14ac:dyDescent="0.25">
      <c r="D88" s="114"/>
      <c r="F88" s="114"/>
      <c r="H88" s="114"/>
      <c r="J88" s="114"/>
    </row>
    <row r="89" spans="4:10" ht="15.75" customHeight="1" x14ac:dyDescent="0.25">
      <c r="D89" s="114"/>
      <c r="F89" s="114"/>
      <c r="H89" s="114"/>
      <c r="J89" s="114"/>
    </row>
    <row r="90" spans="4:10" ht="15.75" customHeight="1" x14ac:dyDescent="0.25">
      <c r="D90" s="114"/>
      <c r="F90" s="114"/>
      <c r="H90" s="114"/>
      <c r="J90" s="114"/>
    </row>
    <row r="91" spans="4:10" ht="15.75" customHeight="1" x14ac:dyDescent="0.25">
      <c r="D91" s="114"/>
      <c r="F91" s="114"/>
      <c r="H91" s="114"/>
      <c r="J91" s="114"/>
    </row>
    <row r="92" spans="4:10" ht="15.75" customHeight="1" x14ac:dyDescent="0.25">
      <c r="D92" s="114"/>
      <c r="F92" s="114"/>
      <c r="H92" s="114"/>
      <c r="J92" s="114"/>
    </row>
    <row r="93" spans="4:10" ht="15.75" customHeight="1" x14ac:dyDescent="0.25">
      <c r="D93" s="114"/>
      <c r="F93" s="114"/>
      <c r="H93" s="114"/>
      <c r="J93" s="114"/>
    </row>
    <row r="94" spans="4:10" ht="15.75" customHeight="1" x14ac:dyDescent="0.25">
      <c r="D94" s="114"/>
      <c r="F94" s="114"/>
      <c r="H94" s="114"/>
      <c r="J94" s="114"/>
    </row>
    <row r="95" spans="4:10" ht="15.75" customHeight="1" x14ac:dyDescent="0.25">
      <c r="D95" s="114"/>
      <c r="F95" s="114"/>
      <c r="H95" s="114"/>
      <c r="J95" s="114"/>
    </row>
    <row r="96" spans="4:10" ht="15.75" customHeight="1" x14ac:dyDescent="0.25">
      <c r="D96" s="114"/>
      <c r="F96" s="114"/>
      <c r="H96" s="114"/>
      <c r="J96" s="114"/>
    </row>
    <row r="97" spans="4:10" ht="15.75" customHeight="1" x14ac:dyDescent="0.25">
      <c r="D97" s="114"/>
      <c r="F97" s="114"/>
      <c r="H97" s="114"/>
      <c r="J97" s="114"/>
    </row>
    <row r="98" spans="4:10" ht="15.75" customHeight="1" x14ac:dyDescent="0.25">
      <c r="D98" s="114"/>
      <c r="F98" s="114"/>
      <c r="H98" s="114"/>
      <c r="J98" s="114"/>
    </row>
    <row r="99" spans="4:10" ht="15.75" customHeight="1" x14ac:dyDescent="0.25">
      <c r="D99" s="114"/>
      <c r="F99" s="114"/>
      <c r="H99" s="114"/>
      <c r="J99" s="114"/>
    </row>
    <row r="100" spans="4:10" ht="15.75" customHeight="1" x14ac:dyDescent="0.25">
      <c r="D100" s="114"/>
      <c r="F100" s="114"/>
      <c r="H100" s="114"/>
      <c r="J100" s="114"/>
    </row>
    <row r="101" spans="4:10" ht="15.75" customHeight="1" x14ac:dyDescent="0.25">
      <c r="D101" s="114"/>
      <c r="F101" s="114"/>
      <c r="H101" s="114"/>
      <c r="J101" s="114"/>
    </row>
    <row r="102" spans="4:10" ht="15.75" customHeight="1" x14ac:dyDescent="0.25">
      <c r="D102" s="114"/>
      <c r="F102" s="114"/>
      <c r="H102" s="114"/>
      <c r="J102" s="114"/>
    </row>
    <row r="103" spans="4:10" ht="15.75" customHeight="1" x14ac:dyDescent="0.25">
      <c r="D103" s="114"/>
      <c r="F103" s="114"/>
      <c r="H103" s="114"/>
      <c r="J103" s="114"/>
    </row>
    <row r="104" spans="4:10" ht="15.75" customHeight="1" x14ac:dyDescent="0.25">
      <c r="D104" s="114"/>
      <c r="F104" s="114"/>
      <c r="H104" s="114"/>
      <c r="J104" s="114"/>
    </row>
    <row r="105" spans="4:10" ht="15.75" customHeight="1" x14ac:dyDescent="0.25">
      <c r="D105" s="114"/>
      <c r="F105" s="114"/>
      <c r="H105" s="114"/>
      <c r="J105" s="114"/>
    </row>
    <row r="106" spans="4:10" ht="15.75" customHeight="1" x14ac:dyDescent="0.25">
      <c r="D106" s="114"/>
      <c r="F106" s="114"/>
      <c r="H106" s="114"/>
      <c r="J106" s="114"/>
    </row>
    <row r="107" spans="4:10" ht="15.75" customHeight="1" x14ac:dyDescent="0.25">
      <c r="D107" s="114"/>
      <c r="F107" s="114"/>
      <c r="H107" s="114"/>
      <c r="J107" s="114"/>
    </row>
    <row r="108" spans="4:10" ht="15.75" customHeight="1" x14ac:dyDescent="0.25">
      <c r="D108" s="114"/>
      <c r="F108" s="114"/>
      <c r="H108" s="114"/>
      <c r="J108" s="114"/>
    </row>
    <row r="109" spans="4:10" ht="15.75" customHeight="1" x14ac:dyDescent="0.25">
      <c r="D109" s="114"/>
      <c r="F109" s="114"/>
      <c r="H109" s="114"/>
      <c r="J109" s="114"/>
    </row>
    <row r="110" spans="4:10" ht="15.75" customHeight="1" x14ac:dyDescent="0.25">
      <c r="D110" s="114"/>
      <c r="F110" s="114"/>
      <c r="H110" s="114"/>
      <c r="J110" s="114"/>
    </row>
    <row r="111" spans="4:10" ht="15.75" customHeight="1" x14ac:dyDescent="0.25">
      <c r="D111" s="114"/>
      <c r="F111" s="114"/>
      <c r="H111" s="114"/>
      <c r="J111" s="114"/>
    </row>
    <row r="112" spans="4:10" ht="15.75" customHeight="1" x14ac:dyDescent="0.25">
      <c r="D112" s="114"/>
      <c r="F112" s="114"/>
      <c r="H112" s="114"/>
      <c r="J112" s="114"/>
    </row>
    <row r="113" spans="4:10" ht="15.75" customHeight="1" x14ac:dyDescent="0.25">
      <c r="D113" s="114"/>
      <c r="F113" s="114"/>
      <c r="H113" s="114"/>
      <c r="J113" s="114"/>
    </row>
    <row r="114" spans="4:10" ht="15.75" customHeight="1" x14ac:dyDescent="0.25">
      <c r="D114" s="114"/>
      <c r="F114" s="114"/>
      <c r="H114" s="114"/>
      <c r="J114" s="114"/>
    </row>
    <row r="115" spans="4:10" ht="15.75" customHeight="1" x14ac:dyDescent="0.25">
      <c r="D115" s="114"/>
      <c r="F115" s="114"/>
      <c r="H115" s="114"/>
      <c r="J115" s="114"/>
    </row>
    <row r="116" spans="4:10" ht="15.75" customHeight="1" x14ac:dyDescent="0.25">
      <c r="D116" s="114"/>
      <c r="F116" s="114"/>
      <c r="H116" s="114"/>
      <c r="J116" s="114"/>
    </row>
    <row r="117" spans="4:10" ht="15.75" customHeight="1" x14ac:dyDescent="0.25">
      <c r="D117" s="114"/>
      <c r="F117" s="114"/>
      <c r="H117" s="114"/>
      <c r="J117" s="114"/>
    </row>
    <row r="118" spans="4:10" ht="15.75" customHeight="1" x14ac:dyDescent="0.25">
      <c r="D118" s="114"/>
      <c r="F118" s="114"/>
      <c r="H118" s="114"/>
      <c r="J118" s="114"/>
    </row>
    <row r="119" spans="4:10" ht="15.75" customHeight="1" x14ac:dyDescent="0.25">
      <c r="D119" s="114"/>
      <c r="F119" s="114"/>
      <c r="H119" s="114"/>
      <c r="J119" s="114"/>
    </row>
    <row r="120" spans="4:10" ht="15.75" customHeight="1" x14ac:dyDescent="0.25">
      <c r="D120" s="114"/>
      <c r="F120" s="114"/>
      <c r="H120" s="114"/>
      <c r="J120" s="114"/>
    </row>
    <row r="121" spans="4:10" ht="15.75" customHeight="1" x14ac:dyDescent="0.25">
      <c r="D121" s="114"/>
      <c r="F121" s="114"/>
      <c r="H121" s="114"/>
      <c r="J121" s="114"/>
    </row>
    <row r="122" spans="4:10" ht="15.75" customHeight="1" x14ac:dyDescent="0.25">
      <c r="D122" s="114"/>
      <c r="F122" s="114"/>
      <c r="H122" s="114"/>
      <c r="J122" s="114"/>
    </row>
    <row r="123" spans="4:10" ht="15.75" customHeight="1" x14ac:dyDescent="0.25">
      <c r="D123" s="114"/>
      <c r="F123" s="114"/>
      <c r="H123" s="114"/>
      <c r="J123" s="114"/>
    </row>
    <row r="124" spans="4:10" ht="15.75" customHeight="1" x14ac:dyDescent="0.25">
      <c r="D124" s="114"/>
      <c r="F124" s="114"/>
      <c r="H124" s="114"/>
      <c r="J124" s="114"/>
    </row>
    <row r="125" spans="4:10" ht="15.75" customHeight="1" x14ac:dyDescent="0.25">
      <c r="D125" s="114"/>
      <c r="F125" s="114"/>
      <c r="H125" s="114"/>
      <c r="J125" s="114"/>
    </row>
    <row r="126" spans="4:10" ht="15.75" customHeight="1" x14ac:dyDescent="0.25">
      <c r="D126" s="114"/>
      <c r="F126" s="114"/>
      <c r="H126" s="114"/>
      <c r="J126" s="114"/>
    </row>
    <row r="127" spans="4:10" ht="15.75" customHeight="1" x14ac:dyDescent="0.25">
      <c r="D127" s="114"/>
      <c r="F127" s="114"/>
      <c r="H127" s="114"/>
      <c r="J127" s="114"/>
    </row>
    <row r="128" spans="4:10" ht="15.75" customHeight="1" x14ac:dyDescent="0.25">
      <c r="D128" s="114"/>
      <c r="F128" s="114"/>
      <c r="H128" s="114"/>
      <c r="J128" s="114"/>
    </row>
    <row r="129" spans="4:10" ht="15.75" customHeight="1" x14ac:dyDescent="0.25">
      <c r="D129" s="114"/>
      <c r="F129" s="114"/>
      <c r="H129" s="114"/>
      <c r="J129" s="114"/>
    </row>
    <row r="130" spans="4:10" ht="15.75" customHeight="1" x14ac:dyDescent="0.25">
      <c r="D130" s="114"/>
      <c r="F130" s="114"/>
      <c r="H130" s="114"/>
      <c r="J130" s="114"/>
    </row>
    <row r="131" spans="4:10" ht="15.75" customHeight="1" x14ac:dyDescent="0.25">
      <c r="D131" s="114"/>
      <c r="F131" s="114"/>
      <c r="H131" s="114"/>
      <c r="J131" s="114"/>
    </row>
    <row r="132" spans="4:10" ht="15.75" customHeight="1" x14ac:dyDescent="0.25">
      <c r="D132" s="114"/>
      <c r="F132" s="114"/>
      <c r="H132" s="114"/>
      <c r="J132" s="114"/>
    </row>
    <row r="133" spans="4:10" ht="15.75" customHeight="1" x14ac:dyDescent="0.25">
      <c r="D133" s="114"/>
      <c r="F133" s="114"/>
      <c r="H133" s="114"/>
      <c r="J133" s="114"/>
    </row>
    <row r="134" spans="4:10" ht="15.75" customHeight="1" x14ac:dyDescent="0.25">
      <c r="D134" s="114"/>
      <c r="F134" s="114"/>
      <c r="H134" s="114"/>
      <c r="J134" s="114"/>
    </row>
    <row r="135" spans="4:10" ht="15.75" customHeight="1" x14ac:dyDescent="0.25">
      <c r="D135" s="114"/>
      <c r="F135" s="114"/>
      <c r="H135" s="114"/>
      <c r="J135" s="114"/>
    </row>
    <row r="136" spans="4:10" ht="15.75" customHeight="1" x14ac:dyDescent="0.25">
      <c r="D136" s="114"/>
      <c r="F136" s="114"/>
      <c r="H136" s="114"/>
      <c r="J136" s="114"/>
    </row>
    <row r="137" spans="4:10" ht="15.75" customHeight="1" x14ac:dyDescent="0.25">
      <c r="D137" s="114"/>
      <c r="F137" s="114"/>
      <c r="H137" s="114"/>
      <c r="J137" s="114"/>
    </row>
    <row r="138" spans="4:10" ht="15.75" customHeight="1" x14ac:dyDescent="0.25">
      <c r="D138" s="114"/>
      <c r="F138" s="114"/>
      <c r="H138" s="114"/>
      <c r="J138" s="114"/>
    </row>
    <row r="139" spans="4:10" ht="15.75" customHeight="1" x14ac:dyDescent="0.25">
      <c r="D139" s="114"/>
      <c r="F139" s="114"/>
      <c r="H139" s="114"/>
      <c r="J139" s="114"/>
    </row>
    <row r="140" spans="4:10" ht="15.75" customHeight="1" x14ac:dyDescent="0.25">
      <c r="D140" s="114"/>
      <c r="F140" s="114"/>
      <c r="H140" s="114"/>
      <c r="J140" s="114"/>
    </row>
    <row r="141" spans="4:10" ht="15.75" customHeight="1" x14ac:dyDescent="0.25">
      <c r="D141" s="114"/>
      <c r="F141" s="114"/>
      <c r="H141" s="114"/>
      <c r="J141" s="114"/>
    </row>
    <row r="142" spans="4:10" ht="15.75" customHeight="1" x14ac:dyDescent="0.25">
      <c r="D142" s="114"/>
      <c r="F142" s="114"/>
      <c r="H142" s="114"/>
      <c r="J142" s="114"/>
    </row>
    <row r="143" spans="4:10" ht="15.75" customHeight="1" x14ac:dyDescent="0.25">
      <c r="D143" s="114"/>
      <c r="F143" s="114"/>
      <c r="H143" s="114"/>
      <c r="J143" s="114"/>
    </row>
    <row r="144" spans="4:10" ht="15.75" customHeight="1" x14ac:dyDescent="0.25">
      <c r="D144" s="114"/>
      <c r="F144" s="114"/>
      <c r="H144" s="114"/>
      <c r="J144" s="114"/>
    </row>
    <row r="145" spans="4:10" ht="15.75" customHeight="1" x14ac:dyDescent="0.25">
      <c r="D145" s="114"/>
      <c r="F145" s="114"/>
      <c r="H145" s="114"/>
      <c r="J145" s="114"/>
    </row>
    <row r="146" spans="4:10" ht="15.75" customHeight="1" x14ac:dyDescent="0.25">
      <c r="D146" s="114"/>
      <c r="F146" s="114"/>
      <c r="H146" s="114"/>
      <c r="J146" s="114"/>
    </row>
    <row r="147" spans="4:10" ht="15.75" customHeight="1" x14ac:dyDescent="0.25">
      <c r="D147" s="114"/>
      <c r="F147" s="114"/>
      <c r="H147" s="114"/>
      <c r="J147" s="114"/>
    </row>
    <row r="148" spans="4:10" ht="15.75" customHeight="1" x14ac:dyDescent="0.25">
      <c r="D148" s="114"/>
      <c r="F148" s="114"/>
      <c r="H148" s="114"/>
      <c r="J148" s="114"/>
    </row>
    <row r="149" spans="4:10" ht="15.75" customHeight="1" x14ac:dyDescent="0.25">
      <c r="D149" s="114"/>
      <c r="F149" s="114"/>
      <c r="H149" s="114"/>
      <c r="J149" s="114"/>
    </row>
    <row r="150" spans="4:10" ht="15.75" customHeight="1" x14ac:dyDescent="0.25">
      <c r="D150" s="114"/>
      <c r="F150" s="114"/>
      <c r="H150" s="114"/>
      <c r="J150" s="114"/>
    </row>
    <row r="151" spans="4:10" ht="15.75" customHeight="1" x14ac:dyDescent="0.25">
      <c r="D151" s="114"/>
      <c r="F151" s="114"/>
      <c r="H151" s="114"/>
      <c r="J151" s="114"/>
    </row>
    <row r="152" spans="4:10" ht="15.75" customHeight="1" x14ac:dyDescent="0.25">
      <c r="D152" s="114"/>
      <c r="F152" s="114"/>
      <c r="H152" s="114"/>
      <c r="J152" s="114"/>
    </row>
    <row r="153" spans="4:10" ht="15.75" customHeight="1" x14ac:dyDescent="0.25">
      <c r="D153" s="114"/>
      <c r="F153" s="114"/>
      <c r="H153" s="114"/>
      <c r="J153" s="114"/>
    </row>
    <row r="154" spans="4:10" ht="15.75" customHeight="1" x14ac:dyDescent="0.25">
      <c r="D154" s="114"/>
      <c r="F154" s="114"/>
      <c r="H154" s="114"/>
      <c r="J154" s="114"/>
    </row>
    <row r="155" spans="4:10" ht="15.75" customHeight="1" x14ac:dyDescent="0.25">
      <c r="D155" s="114"/>
      <c r="F155" s="114"/>
      <c r="H155" s="114"/>
      <c r="J155" s="114"/>
    </row>
    <row r="156" spans="4:10" ht="15.75" customHeight="1" x14ac:dyDescent="0.25">
      <c r="D156" s="114"/>
      <c r="F156" s="114"/>
      <c r="H156" s="114"/>
      <c r="J156" s="114"/>
    </row>
    <row r="157" spans="4:10" ht="15.75" customHeight="1" x14ac:dyDescent="0.25">
      <c r="D157" s="114"/>
      <c r="F157" s="114"/>
      <c r="H157" s="114"/>
      <c r="J157" s="114"/>
    </row>
    <row r="158" spans="4:10" ht="15.75" customHeight="1" x14ac:dyDescent="0.25">
      <c r="D158" s="114"/>
      <c r="F158" s="114"/>
      <c r="H158" s="114"/>
      <c r="J158" s="114"/>
    </row>
    <row r="159" spans="4:10" ht="15.75" customHeight="1" x14ac:dyDescent="0.25">
      <c r="D159" s="114"/>
      <c r="F159" s="114"/>
      <c r="H159" s="114"/>
      <c r="J159" s="114"/>
    </row>
    <row r="160" spans="4:10" ht="15.75" customHeight="1" x14ac:dyDescent="0.25">
      <c r="D160" s="114"/>
      <c r="F160" s="114"/>
      <c r="H160" s="114"/>
      <c r="J160" s="114"/>
    </row>
    <row r="161" spans="4:10" ht="15.75" customHeight="1" x14ac:dyDescent="0.25">
      <c r="D161" s="114"/>
      <c r="F161" s="114"/>
      <c r="H161" s="114"/>
      <c r="J161" s="114"/>
    </row>
    <row r="162" spans="4:10" ht="15.75" customHeight="1" x14ac:dyDescent="0.25">
      <c r="D162" s="114"/>
      <c r="F162" s="114"/>
      <c r="H162" s="114"/>
      <c r="J162" s="114"/>
    </row>
    <row r="163" spans="4:10" ht="15.75" customHeight="1" x14ac:dyDescent="0.25">
      <c r="D163" s="114"/>
      <c r="F163" s="114"/>
      <c r="H163" s="114"/>
      <c r="J163" s="114"/>
    </row>
    <row r="164" spans="4:10" ht="15.75" customHeight="1" x14ac:dyDescent="0.25">
      <c r="D164" s="114"/>
      <c r="F164" s="114"/>
      <c r="H164" s="114"/>
      <c r="J164" s="114"/>
    </row>
    <row r="165" spans="4:10" ht="15.75" customHeight="1" x14ac:dyDescent="0.25">
      <c r="D165" s="114"/>
      <c r="F165" s="114"/>
      <c r="H165" s="114"/>
      <c r="J165" s="114"/>
    </row>
    <row r="166" spans="4:10" ht="15.75" customHeight="1" x14ac:dyDescent="0.25">
      <c r="D166" s="114"/>
      <c r="F166" s="114"/>
      <c r="H166" s="114"/>
      <c r="J166" s="114"/>
    </row>
    <row r="167" spans="4:10" ht="15.75" customHeight="1" x14ac:dyDescent="0.25">
      <c r="D167" s="114"/>
      <c r="F167" s="114"/>
      <c r="H167" s="114"/>
      <c r="J167" s="114"/>
    </row>
    <row r="168" spans="4:10" ht="15.75" customHeight="1" x14ac:dyDescent="0.25">
      <c r="D168" s="114"/>
      <c r="F168" s="114"/>
      <c r="H168" s="114"/>
      <c r="J168" s="114"/>
    </row>
    <row r="169" spans="4:10" ht="15.75" customHeight="1" x14ac:dyDescent="0.25">
      <c r="D169" s="114"/>
      <c r="F169" s="114"/>
      <c r="H169" s="114"/>
      <c r="J169" s="114"/>
    </row>
    <row r="170" spans="4:10" ht="15.75" customHeight="1" x14ac:dyDescent="0.25">
      <c r="D170" s="114"/>
      <c r="F170" s="114"/>
      <c r="H170" s="114"/>
      <c r="J170" s="114"/>
    </row>
    <row r="171" spans="4:10" ht="15.75" customHeight="1" x14ac:dyDescent="0.25">
      <c r="D171" s="114"/>
      <c r="F171" s="114"/>
      <c r="H171" s="114"/>
      <c r="J171" s="114"/>
    </row>
    <row r="172" spans="4:10" ht="15.75" customHeight="1" x14ac:dyDescent="0.25">
      <c r="D172" s="114"/>
      <c r="F172" s="114"/>
      <c r="H172" s="114"/>
      <c r="J172" s="114"/>
    </row>
    <row r="173" spans="4:10" ht="15.75" customHeight="1" x14ac:dyDescent="0.25">
      <c r="D173" s="114"/>
      <c r="F173" s="114"/>
      <c r="H173" s="114"/>
      <c r="J173" s="114"/>
    </row>
    <row r="174" spans="4:10" ht="15.75" customHeight="1" x14ac:dyDescent="0.25">
      <c r="D174" s="114"/>
      <c r="F174" s="114"/>
      <c r="H174" s="114"/>
      <c r="J174" s="114"/>
    </row>
    <row r="175" spans="4:10" ht="15.75" customHeight="1" x14ac:dyDescent="0.25">
      <c r="D175" s="114"/>
      <c r="F175" s="114"/>
      <c r="H175" s="114"/>
      <c r="J175" s="114"/>
    </row>
    <row r="176" spans="4:10" ht="15.75" customHeight="1" x14ac:dyDescent="0.25">
      <c r="D176" s="114"/>
      <c r="F176" s="114"/>
      <c r="H176" s="114"/>
      <c r="J176" s="114"/>
    </row>
    <row r="177" spans="4:10" ht="15.75" customHeight="1" x14ac:dyDescent="0.25">
      <c r="D177" s="114"/>
      <c r="F177" s="114"/>
      <c r="H177" s="114"/>
      <c r="J177" s="114"/>
    </row>
    <row r="178" spans="4:10" ht="15.75" customHeight="1" x14ac:dyDescent="0.25">
      <c r="D178" s="114"/>
      <c r="F178" s="114"/>
      <c r="H178" s="114"/>
      <c r="J178" s="114"/>
    </row>
    <row r="179" spans="4:10" ht="15.75" customHeight="1" x14ac:dyDescent="0.25">
      <c r="D179" s="114"/>
      <c r="F179" s="114"/>
      <c r="H179" s="114"/>
      <c r="J179" s="114"/>
    </row>
    <row r="180" spans="4:10" ht="15.75" customHeight="1" x14ac:dyDescent="0.25">
      <c r="D180" s="114"/>
      <c r="F180" s="114"/>
      <c r="H180" s="114"/>
      <c r="J180" s="114"/>
    </row>
    <row r="181" spans="4:10" ht="15.75" customHeight="1" x14ac:dyDescent="0.25">
      <c r="D181" s="114"/>
      <c r="F181" s="114"/>
      <c r="H181" s="114"/>
      <c r="J181" s="114"/>
    </row>
    <row r="182" spans="4:10" ht="15.75" customHeight="1" x14ac:dyDescent="0.25">
      <c r="D182" s="114"/>
      <c r="F182" s="114"/>
      <c r="H182" s="114"/>
      <c r="J182" s="114"/>
    </row>
    <row r="183" spans="4:10" ht="15.75" customHeight="1" x14ac:dyDescent="0.25">
      <c r="D183" s="114"/>
      <c r="F183" s="114"/>
      <c r="H183" s="114"/>
      <c r="J183" s="114"/>
    </row>
    <row r="184" spans="4:10" ht="15.75" customHeight="1" x14ac:dyDescent="0.25">
      <c r="D184" s="114"/>
      <c r="F184" s="114"/>
      <c r="H184" s="114"/>
      <c r="J184" s="114"/>
    </row>
    <row r="185" spans="4:10" ht="15.75" customHeight="1" x14ac:dyDescent="0.25">
      <c r="D185" s="114"/>
      <c r="F185" s="114"/>
      <c r="H185" s="114"/>
      <c r="J185" s="114"/>
    </row>
    <row r="186" spans="4:10" ht="15.75" customHeight="1" x14ac:dyDescent="0.25">
      <c r="D186" s="114"/>
      <c r="F186" s="114"/>
      <c r="H186" s="114"/>
      <c r="J186" s="114"/>
    </row>
    <row r="187" spans="4:10" ht="15.75" customHeight="1" x14ac:dyDescent="0.25">
      <c r="D187" s="114"/>
      <c r="F187" s="114"/>
      <c r="H187" s="114"/>
      <c r="J187" s="114"/>
    </row>
    <row r="188" spans="4:10" ht="15.75" customHeight="1" x14ac:dyDescent="0.25">
      <c r="D188" s="114"/>
      <c r="F188" s="114"/>
      <c r="H188" s="114"/>
      <c r="J188" s="114"/>
    </row>
    <row r="189" spans="4:10" ht="15.75" customHeight="1" x14ac:dyDescent="0.25">
      <c r="D189" s="114"/>
      <c r="F189" s="114"/>
      <c r="H189" s="114"/>
      <c r="J189" s="114"/>
    </row>
    <row r="190" spans="4:10" ht="15.75" customHeight="1" x14ac:dyDescent="0.25">
      <c r="D190" s="114"/>
      <c r="F190" s="114"/>
      <c r="H190" s="114"/>
      <c r="J190" s="114"/>
    </row>
    <row r="191" spans="4:10" ht="15.75" customHeight="1" x14ac:dyDescent="0.25">
      <c r="D191" s="114"/>
      <c r="F191" s="114"/>
      <c r="H191" s="114"/>
      <c r="J191" s="114"/>
    </row>
    <row r="192" spans="4:10" ht="15.75" customHeight="1" x14ac:dyDescent="0.25">
      <c r="D192" s="114"/>
      <c r="F192" s="114"/>
      <c r="H192" s="114"/>
      <c r="J192" s="114"/>
    </row>
    <row r="193" spans="4:10" ht="15.75" customHeight="1" x14ac:dyDescent="0.25">
      <c r="D193" s="114"/>
      <c r="F193" s="114"/>
      <c r="H193" s="114"/>
      <c r="J193" s="114"/>
    </row>
    <row r="194" spans="4:10" ht="15.75" customHeight="1" x14ac:dyDescent="0.25">
      <c r="D194" s="114"/>
      <c r="F194" s="114"/>
      <c r="H194" s="114"/>
      <c r="J194" s="114"/>
    </row>
    <row r="195" spans="4:10" ht="15.75" customHeight="1" x14ac:dyDescent="0.25">
      <c r="D195" s="114"/>
      <c r="F195" s="114"/>
      <c r="H195" s="114"/>
      <c r="J195" s="114"/>
    </row>
    <row r="196" spans="4:10" ht="15.75" customHeight="1" x14ac:dyDescent="0.25">
      <c r="D196" s="114"/>
      <c r="F196" s="114"/>
      <c r="H196" s="114"/>
      <c r="J196" s="114"/>
    </row>
    <row r="197" spans="4:10" ht="15.75" customHeight="1" x14ac:dyDescent="0.25">
      <c r="D197" s="114"/>
      <c r="F197" s="114"/>
      <c r="H197" s="114"/>
      <c r="J197" s="114"/>
    </row>
    <row r="198" spans="4:10" ht="15.75" customHeight="1" x14ac:dyDescent="0.25">
      <c r="D198" s="114"/>
      <c r="F198" s="114"/>
      <c r="H198" s="114"/>
      <c r="J198" s="114"/>
    </row>
    <row r="199" spans="4:10" ht="15.75" customHeight="1" x14ac:dyDescent="0.25">
      <c r="D199" s="114"/>
      <c r="F199" s="114"/>
      <c r="H199" s="114"/>
      <c r="J199" s="114"/>
    </row>
    <row r="200" spans="4:10" ht="15.75" customHeight="1" x14ac:dyDescent="0.25">
      <c r="D200" s="114"/>
      <c r="F200" s="114"/>
      <c r="H200" s="114"/>
      <c r="J200" s="114"/>
    </row>
    <row r="201" spans="4:10" ht="15.75" customHeight="1" x14ac:dyDescent="0.25">
      <c r="D201" s="114"/>
      <c r="F201" s="114"/>
      <c r="H201" s="114"/>
      <c r="J201" s="114"/>
    </row>
    <row r="202" spans="4:10" ht="15.75" customHeight="1" x14ac:dyDescent="0.25">
      <c r="D202" s="114"/>
      <c r="F202" s="114"/>
      <c r="H202" s="114"/>
      <c r="J202" s="114"/>
    </row>
    <row r="203" spans="4:10" ht="15.75" customHeight="1" x14ac:dyDescent="0.25">
      <c r="D203" s="114"/>
      <c r="F203" s="114"/>
      <c r="H203" s="114"/>
      <c r="J203" s="114"/>
    </row>
    <row r="204" spans="4:10" ht="15.75" customHeight="1" x14ac:dyDescent="0.25">
      <c r="D204" s="114"/>
      <c r="F204" s="114"/>
      <c r="H204" s="114"/>
      <c r="J204" s="114"/>
    </row>
    <row r="205" spans="4:10" ht="15.75" customHeight="1" x14ac:dyDescent="0.25">
      <c r="D205" s="114"/>
      <c r="F205" s="114"/>
      <c r="H205" s="114"/>
      <c r="J205" s="114"/>
    </row>
    <row r="206" spans="4:10" ht="15.75" customHeight="1" x14ac:dyDescent="0.25">
      <c r="D206" s="114"/>
      <c r="F206" s="114"/>
      <c r="H206" s="114"/>
      <c r="J206" s="114"/>
    </row>
    <row r="207" spans="4:10" ht="15.75" customHeight="1" x14ac:dyDescent="0.25">
      <c r="D207" s="114"/>
      <c r="F207" s="114"/>
      <c r="H207" s="114"/>
      <c r="J207" s="114"/>
    </row>
    <row r="208" spans="4:10" ht="15.75" customHeight="1" x14ac:dyDescent="0.25">
      <c r="D208" s="114"/>
      <c r="F208" s="114"/>
      <c r="H208" s="114"/>
      <c r="J208" s="114"/>
    </row>
    <row r="209" spans="4:10" ht="15.75" customHeight="1" x14ac:dyDescent="0.25">
      <c r="D209" s="114"/>
      <c r="F209" s="114"/>
      <c r="H209" s="114"/>
      <c r="J209" s="114"/>
    </row>
    <row r="210" spans="4:10" ht="15.75" customHeight="1" x14ac:dyDescent="0.25">
      <c r="D210" s="114"/>
      <c r="F210" s="114"/>
      <c r="H210" s="114"/>
      <c r="J210" s="114"/>
    </row>
    <row r="211" spans="4:10" ht="15.75" customHeight="1" x14ac:dyDescent="0.25">
      <c r="D211" s="114"/>
      <c r="F211" s="114"/>
      <c r="H211" s="114"/>
      <c r="J211" s="114"/>
    </row>
    <row r="212" spans="4:10" ht="15.75" customHeight="1" x14ac:dyDescent="0.25">
      <c r="D212" s="114"/>
      <c r="F212" s="114"/>
      <c r="H212" s="114"/>
      <c r="J212" s="114"/>
    </row>
    <row r="213" spans="4:10" ht="15.75" customHeight="1" x14ac:dyDescent="0.25">
      <c r="D213" s="114"/>
      <c r="F213" s="114"/>
      <c r="H213" s="114"/>
      <c r="J213" s="114"/>
    </row>
    <row r="214" spans="4:10" ht="15.75" customHeight="1" x14ac:dyDescent="0.25">
      <c r="D214" s="114"/>
      <c r="F214" s="114"/>
      <c r="H214" s="114"/>
      <c r="J214" s="114"/>
    </row>
    <row r="215" spans="4:10" ht="15.75" customHeight="1" x14ac:dyDescent="0.25">
      <c r="D215" s="114"/>
      <c r="F215" s="114"/>
      <c r="H215" s="114"/>
      <c r="J215" s="114"/>
    </row>
    <row r="216" spans="4:10" ht="15.75" customHeight="1" x14ac:dyDescent="0.25">
      <c r="D216" s="114"/>
      <c r="F216" s="114"/>
      <c r="H216" s="114"/>
      <c r="J216" s="114"/>
    </row>
    <row r="217" spans="4:10" ht="15.75" customHeight="1" x14ac:dyDescent="0.25">
      <c r="D217" s="114"/>
      <c r="F217" s="114"/>
      <c r="H217" s="114"/>
      <c r="J217" s="114"/>
    </row>
    <row r="218" spans="4:10" ht="15.75" customHeight="1" x14ac:dyDescent="0.25">
      <c r="D218" s="114"/>
      <c r="F218" s="114"/>
      <c r="H218" s="114"/>
      <c r="J218" s="114"/>
    </row>
    <row r="219" spans="4:10" ht="15.75" customHeight="1" x14ac:dyDescent="0.25">
      <c r="D219" s="114"/>
      <c r="F219" s="114"/>
      <c r="H219" s="114"/>
      <c r="J219" s="114"/>
    </row>
    <row r="220" spans="4:10" ht="15.75" customHeight="1" x14ac:dyDescent="0.25">
      <c r="D220" s="114"/>
      <c r="F220" s="114"/>
      <c r="H220" s="114"/>
      <c r="J220" s="114"/>
    </row>
    <row r="221" spans="4:10" ht="15.75" customHeight="1" x14ac:dyDescent="0.25">
      <c r="D221" s="114"/>
      <c r="F221" s="114"/>
      <c r="H221" s="114"/>
      <c r="J221" s="114"/>
    </row>
    <row r="222" spans="4:10" ht="15.75" customHeight="1" x14ac:dyDescent="0.25">
      <c r="D222" s="114"/>
      <c r="F222" s="114"/>
      <c r="H222" s="114"/>
      <c r="J222" s="114"/>
    </row>
    <row r="223" spans="4:10" ht="15.75" customHeight="1" x14ac:dyDescent="0.25">
      <c r="D223" s="114"/>
      <c r="F223" s="114"/>
      <c r="H223" s="114"/>
      <c r="J223" s="114"/>
    </row>
    <row r="224" spans="4:10" ht="15.75" customHeight="1" x14ac:dyDescent="0.25">
      <c r="D224" s="114"/>
      <c r="F224" s="114"/>
      <c r="H224" s="114"/>
      <c r="J224" s="114"/>
    </row>
    <row r="225" spans="4:10" ht="15.75" customHeight="1" x14ac:dyDescent="0.25">
      <c r="D225" s="114"/>
      <c r="F225" s="114"/>
      <c r="H225" s="114"/>
      <c r="J225" s="114"/>
    </row>
    <row r="226" spans="4:10" ht="15.75" customHeight="1" x14ac:dyDescent="0.25">
      <c r="D226" s="114"/>
      <c r="F226" s="114"/>
      <c r="H226" s="114"/>
      <c r="J226" s="114"/>
    </row>
    <row r="227" spans="4:10" ht="15.75" customHeight="1" x14ac:dyDescent="0.25">
      <c r="D227" s="114"/>
      <c r="F227" s="114"/>
      <c r="H227" s="114"/>
      <c r="J227" s="114"/>
    </row>
    <row r="228" spans="4:10" ht="15.75" customHeight="1" x14ac:dyDescent="0.25">
      <c r="D228" s="114"/>
      <c r="F228" s="114"/>
      <c r="H228" s="114"/>
      <c r="J228" s="114"/>
    </row>
    <row r="229" spans="4:10" ht="15.75" customHeight="1" x14ac:dyDescent="0.25">
      <c r="D229" s="114"/>
      <c r="F229" s="114"/>
      <c r="H229" s="114"/>
      <c r="J229" s="114"/>
    </row>
    <row r="230" spans="4:10" ht="15.75" customHeight="1" x14ac:dyDescent="0.25">
      <c r="D230" s="114"/>
      <c r="F230" s="114"/>
      <c r="H230" s="114"/>
      <c r="J230" s="114"/>
    </row>
    <row r="231" spans="4:10" ht="15.75" customHeight="1" x14ac:dyDescent="0.25">
      <c r="D231" s="114"/>
      <c r="F231" s="114"/>
      <c r="H231" s="114"/>
      <c r="J231" s="114"/>
    </row>
    <row r="232" spans="4:10" ht="15.75" customHeight="1" x14ac:dyDescent="0.25">
      <c r="D232" s="114"/>
      <c r="F232" s="114"/>
      <c r="H232" s="114"/>
      <c r="J232" s="114"/>
    </row>
    <row r="233" spans="4:10" ht="15.75" customHeight="1" x14ac:dyDescent="0.25">
      <c r="D233" s="114"/>
      <c r="F233" s="114"/>
      <c r="H233" s="114"/>
      <c r="J233" s="114"/>
    </row>
    <row r="234" spans="4:10" ht="15.75" customHeight="1" x14ac:dyDescent="0.25">
      <c r="D234" s="114"/>
      <c r="F234" s="114"/>
      <c r="H234" s="114"/>
      <c r="J234" s="114"/>
    </row>
    <row r="235" spans="4:10" ht="15.75" customHeight="1" x14ac:dyDescent="0.25">
      <c r="D235" s="114"/>
      <c r="F235" s="114"/>
      <c r="H235" s="114"/>
      <c r="J235" s="114"/>
    </row>
    <row r="236" spans="4:10" ht="15.75" customHeight="1" x14ac:dyDescent="0.25">
      <c r="D236" s="114"/>
      <c r="F236" s="114"/>
      <c r="H236" s="114"/>
      <c r="J236" s="114"/>
    </row>
    <row r="237" spans="4:10" ht="15.75" customHeight="1" x14ac:dyDescent="0.25">
      <c r="D237" s="114"/>
      <c r="F237" s="114"/>
      <c r="H237" s="114"/>
      <c r="J237" s="114"/>
    </row>
    <row r="238" spans="4:10" ht="15.75" customHeight="1" x14ac:dyDescent="0.25">
      <c r="D238" s="114"/>
      <c r="F238" s="114"/>
      <c r="H238" s="114"/>
      <c r="J238" s="114"/>
    </row>
    <row r="239" spans="4:10" ht="15.75" customHeight="1" x14ac:dyDescent="0.25">
      <c r="D239" s="114"/>
      <c r="F239" s="114"/>
      <c r="H239" s="114"/>
      <c r="J239" s="114"/>
    </row>
    <row r="240" spans="4:10" ht="15.75" customHeight="1" x14ac:dyDescent="0.25">
      <c r="D240" s="114"/>
      <c r="F240" s="114"/>
      <c r="H240" s="114"/>
      <c r="J240" s="114"/>
    </row>
    <row r="241" spans="4:10" ht="15.75" customHeight="1" x14ac:dyDescent="0.25">
      <c r="D241" s="114"/>
      <c r="F241" s="114"/>
      <c r="H241" s="114"/>
      <c r="J241" s="114"/>
    </row>
    <row r="242" spans="4:10" ht="15.75" customHeight="1" x14ac:dyDescent="0.25">
      <c r="D242" s="114"/>
      <c r="F242" s="114"/>
      <c r="H242" s="114"/>
      <c r="J242" s="114"/>
    </row>
    <row r="243" spans="4:10" ht="15.75" customHeight="1" x14ac:dyDescent="0.25">
      <c r="D243" s="114"/>
      <c r="F243" s="114"/>
      <c r="H243" s="114"/>
      <c r="J243" s="114"/>
    </row>
    <row r="244" spans="4:10" ht="15.75" customHeight="1" x14ac:dyDescent="0.25">
      <c r="D244" s="114"/>
      <c r="F244" s="114"/>
      <c r="H244" s="114"/>
      <c r="J244" s="114"/>
    </row>
    <row r="245" spans="4:10" ht="15.75" customHeight="1" x14ac:dyDescent="0.25">
      <c r="D245" s="114"/>
      <c r="F245" s="114"/>
      <c r="H245" s="114"/>
      <c r="J245" s="114"/>
    </row>
    <row r="246" spans="4:10" ht="15.75" customHeight="1" x14ac:dyDescent="0.25">
      <c r="D246" s="114"/>
      <c r="F246" s="114"/>
      <c r="H246" s="114"/>
      <c r="J246" s="114"/>
    </row>
    <row r="247" spans="4:10" ht="15.75" customHeight="1" x14ac:dyDescent="0.25">
      <c r="D247" s="114"/>
      <c r="F247" s="114"/>
      <c r="H247" s="114"/>
      <c r="J247" s="114"/>
    </row>
    <row r="248" spans="4:10" ht="15.75" customHeight="1" x14ac:dyDescent="0.25">
      <c r="D248" s="114"/>
      <c r="F248" s="114"/>
      <c r="H248" s="114"/>
      <c r="J248" s="114"/>
    </row>
    <row r="249" spans="4:10" ht="15.75" customHeight="1" x14ac:dyDescent="0.25">
      <c r="D249" s="114"/>
      <c r="F249" s="114"/>
      <c r="H249" s="114"/>
      <c r="J249" s="114"/>
    </row>
    <row r="250" spans="4:10" ht="15.75" customHeight="1" x14ac:dyDescent="0.25">
      <c r="D250" s="114"/>
      <c r="F250" s="114"/>
      <c r="H250" s="114"/>
      <c r="J250" s="114"/>
    </row>
    <row r="251" spans="4:10" ht="15.75" customHeight="1" x14ac:dyDescent="0.25">
      <c r="D251" s="114"/>
      <c r="F251" s="114"/>
      <c r="H251" s="114"/>
      <c r="J251" s="114"/>
    </row>
    <row r="252" spans="4:10" ht="15.75" customHeight="1" x14ac:dyDescent="0.25">
      <c r="D252" s="114"/>
      <c r="F252" s="114"/>
      <c r="H252" s="114"/>
      <c r="J252" s="114"/>
    </row>
    <row r="253" spans="4:10" ht="15.75" customHeight="1" x14ac:dyDescent="0.25">
      <c r="D253" s="114"/>
      <c r="F253" s="114"/>
      <c r="H253" s="114"/>
      <c r="J253" s="114"/>
    </row>
    <row r="254" spans="4:10" ht="15.75" customHeight="1" x14ac:dyDescent="0.25">
      <c r="D254" s="114"/>
      <c r="F254" s="114"/>
      <c r="H254" s="114"/>
      <c r="J254" s="114"/>
    </row>
    <row r="255" spans="4:10" ht="15.75" customHeight="1" x14ac:dyDescent="0.25">
      <c r="D255" s="114"/>
      <c r="F255" s="114"/>
      <c r="H255" s="114"/>
      <c r="J255" s="114"/>
    </row>
    <row r="256" spans="4:10" ht="15.75" customHeight="1" x14ac:dyDescent="0.25">
      <c r="D256" s="114"/>
      <c r="F256" s="114"/>
      <c r="H256" s="114"/>
      <c r="J256" s="114"/>
    </row>
    <row r="257" spans="4:10" ht="15.75" customHeight="1" x14ac:dyDescent="0.25">
      <c r="D257" s="114"/>
      <c r="F257" s="114"/>
      <c r="H257" s="114"/>
      <c r="J257" s="114"/>
    </row>
    <row r="258" spans="4:10" ht="15.75" customHeight="1" x14ac:dyDescent="0.25">
      <c r="D258" s="114"/>
      <c r="F258" s="114"/>
      <c r="H258" s="114"/>
      <c r="J258" s="114"/>
    </row>
    <row r="259" spans="4:10" ht="15.75" customHeight="1" x14ac:dyDescent="0.25">
      <c r="D259" s="114"/>
      <c r="F259" s="114"/>
      <c r="H259" s="114"/>
      <c r="J259" s="114"/>
    </row>
    <row r="260" spans="4:10" ht="15.75" customHeight="1" x14ac:dyDescent="0.25">
      <c r="D260" s="114"/>
      <c r="F260" s="114"/>
      <c r="H260" s="114"/>
      <c r="J260" s="114"/>
    </row>
    <row r="261" spans="4:10" ht="15.75" customHeight="1" x14ac:dyDescent="0.25">
      <c r="D261" s="114"/>
      <c r="F261" s="114"/>
      <c r="H261" s="114"/>
      <c r="J261" s="114"/>
    </row>
    <row r="262" spans="4:10" ht="15.75" customHeight="1" x14ac:dyDescent="0.25">
      <c r="D262" s="114"/>
      <c r="F262" s="114"/>
      <c r="H262" s="114"/>
      <c r="J262" s="114"/>
    </row>
    <row r="263" spans="4:10" ht="15.75" customHeight="1" x14ac:dyDescent="0.25">
      <c r="D263" s="114"/>
      <c r="F263" s="114"/>
      <c r="H263" s="114"/>
      <c r="J263" s="114"/>
    </row>
    <row r="264" spans="4:10" ht="15.75" customHeight="1" x14ac:dyDescent="0.25">
      <c r="D264" s="114"/>
      <c r="F264" s="114"/>
      <c r="H264" s="114"/>
      <c r="J264" s="114"/>
    </row>
    <row r="265" spans="4:10" ht="15.75" customHeight="1" x14ac:dyDescent="0.25">
      <c r="D265" s="114"/>
      <c r="F265" s="114"/>
      <c r="H265" s="114"/>
      <c r="J265" s="114"/>
    </row>
    <row r="266" spans="4:10" ht="15.75" customHeight="1" x14ac:dyDescent="0.25">
      <c r="D266" s="114"/>
      <c r="F266" s="114"/>
      <c r="H266" s="114"/>
      <c r="J266" s="114"/>
    </row>
    <row r="267" spans="4:10" ht="15.75" customHeight="1" x14ac:dyDescent="0.25">
      <c r="D267" s="114"/>
      <c r="F267" s="114"/>
      <c r="H267" s="114"/>
      <c r="J267" s="114"/>
    </row>
    <row r="268" spans="4:10" ht="15.75" customHeight="1" x14ac:dyDescent="0.25">
      <c r="D268" s="114"/>
      <c r="F268" s="114"/>
      <c r="H268" s="114"/>
      <c r="J268" s="114"/>
    </row>
    <row r="269" spans="4:10" ht="15.75" customHeight="1" x14ac:dyDescent="0.25">
      <c r="D269" s="114"/>
      <c r="F269" s="114"/>
      <c r="H269" s="114"/>
      <c r="J269" s="114"/>
    </row>
    <row r="270" spans="4:10" ht="15.75" customHeight="1" x14ac:dyDescent="0.25">
      <c r="D270" s="114"/>
      <c r="F270" s="114"/>
      <c r="H270" s="114"/>
      <c r="J270" s="114"/>
    </row>
    <row r="271" spans="4:10" ht="15.75" customHeight="1" x14ac:dyDescent="0.25">
      <c r="D271" s="114"/>
      <c r="F271" s="114"/>
      <c r="H271" s="114"/>
      <c r="J271" s="114"/>
    </row>
    <row r="272" spans="4:10" ht="15.75" customHeight="1" x14ac:dyDescent="0.25">
      <c r="D272" s="114"/>
      <c r="F272" s="114"/>
      <c r="H272" s="114"/>
      <c r="J272" s="114"/>
    </row>
    <row r="273" spans="4:10" ht="15.75" customHeight="1" x14ac:dyDescent="0.25">
      <c r="D273" s="114"/>
      <c r="F273" s="114"/>
      <c r="H273" s="114"/>
      <c r="J273" s="114"/>
    </row>
    <row r="274" spans="4:10" ht="15.75" customHeight="1" x14ac:dyDescent="0.25">
      <c r="D274" s="114"/>
      <c r="F274" s="114"/>
      <c r="H274" s="114"/>
      <c r="J274" s="114"/>
    </row>
    <row r="275" spans="4:10" ht="15.75" customHeight="1" x14ac:dyDescent="0.25">
      <c r="D275" s="114"/>
      <c r="F275" s="114"/>
      <c r="H275" s="114"/>
      <c r="J275" s="114"/>
    </row>
    <row r="276" spans="4:10" ht="15.75" customHeight="1" x14ac:dyDescent="0.25">
      <c r="D276" s="114"/>
      <c r="F276" s="114"/>
      <c r="H276" s="114"/>
      <c r="J276" s="114"/>
    </row>
    <row r="277" spans="4:10" ht="15.75" customHeight="1" x14ac:dyDescent="0.25">
      <c r="D277" s="114"/>
      <c r="F277" s="114"/>
      <c r="H277" s="114"/>
      <c r="J277" s="114"/>
    </row>
    <row r="278" spans="4:10" ht="15.75" customHeight="1" x14ac:dyDescent="0.25">
      <c r="D278" s="114"/>
      <c r="F278" s="114"/>
      <c r="H278" s="114"/>
      <c r="J278" s="114"/>
    </row>
    <row r="279" spans="4:10" ht="15.75" customHeight="1" x14ac:dyDescent="0.25">
      <c r="D279" s="114"/>
      <c r="F279" s="114"/>
      <c r="H279" s="114"/>
      <c r="J279" s="114"/>
    </row>
    <row r="280" spans="4:10" ht="15.75" customHeight="1" x14ac:dyDescent="0.25">
      <c r="D280" s="114"/>
      <c r="F280" s="114"/>
      <c r="H280" s="114"/>
      <c r="J280" s="114"/>
    </row>
    <row r="281" spans="4:10" ht="15.75" customHeight="1" x14ac:dyDescent="0.25">
      <c r="D281" s="114"/>
      <c r="F281" s="114"/>
      <c r="H281" s="114"/>
      <c r="J281" s="114"/>
    </row>
    <row r="282" spans="4:10" ht="15.75" customHeight="1" x14ac:dyDescent="0.25">
      <c r="D282" s="114"/>
      <c r="F282" s="114"/>
      <c r="H282" s="114"/>
      <c r="J282" s="114"/>
    </row>
    <row r="283" spans="4:10" ht="15.75" customHeight="1" x14ac:dyDescent="0.25">
      <c r="D283" s="114"/>
      <c r="F283" s="114"/>
      <c r="H283" s="114"/>
      <c r="J283" s="114"/>
    </row>
    <row r="284" spans="4:10" ht="15.75" customHeight="1" x14ac:dyDescent="0.25">
      <c r="D284" s="114"/>
      <c r="F284" s="114"/>
      <c r="H284" s="114"/>
      <c r="J284" s="114"/>
    </row>
    <row r="285" spans="4:10" ht="15.75" customHeight="1" x14ac:dyDescent="0.25">
      <c r="D285" s="114"/>
      <c r="F285" s="114"/>
      <c r="H285" s="114"/>
      <c r="J285" s="114"/>
    </row>
    <row r="286" spans="4:10" ht="15.75" customHeight="1" x14ac:dyDescent="0.25">
      <c r="D286" s="114"/>
      <c r="F286" s="114"/>
      <c r="H286" s="114"/>
      <c r="J286" s="114"/>
    </row>
    <row r="287" spans="4:10" ht="15.75" customHeight="1" x14ac:dyDescent="0.25">
      <c r="D287" s="114"/>
      <c r="F287" s="114"/>
      <c r="H287" s="114"/>
      <c r="J287" s="114"/>
    </row>
    <row r="288" spans="4:10" ht="15.75" customHeight="1" x14ac:dyDescent="0.25">
      <c r="D288" s="114"/>
      <c r="F288" s="114"/>
      <c r="H288" s="114"/>
      <c r="J288" s="114"/>
    </row>
    <row r="289" spans="4:10" ht="15.75" customHeight="1" x14ac:dyDescent="0.25">
      <c r="D289" s="114"/>
      <c r="F289" s="114"/>
      <c r="H289" s="114"/>
      <c r="J289" s="114"/>
    </row>
    <row r="290" spans="4:10" ht="15.75" customHeight="1" x14ac:dyDescent="0.25">
      <c r="D290" s="114"/>
      <c r="F290" s="114"/>
      <c r="H290" s="114"/>
      <c r="J290" s="114"/>
    </row>
    <row r="291" spans="4:10" ht="15.75" customHeight="1" x14ac:dyDescent="0.25">
      <c r="D291" s="114"/>
      <c r="F291" s="114"/>
      <c r="H291" s="114"/>
      <c r="J291" s="114"/>
    </row>
    <row r="292" spans="4:10" ht="15.75" customHeight="1" x14ac:dyDescent="0.25">
      <c r="D292" s="114"/>
      <c r="F292" s="114"/>
      <c r="H292" s="114"/>
      <c r="J292" s="114"/>
    </row>
    <row r="293" spans="4:10" ht="15.75" customHeight="1" x14ac:dyDescent="0.25">
      <c r="D293" s="114"/>
      <c r="F293" s="114"/>
      <c r="H293" s="114"/>
      <c r="J293" s="114"/>
    </row>
    <row r="294" spans="4:10" ht="15.75" customHeight="1" x14ac:dyDescent="0.25">
      <c r="D294" s="114"/>
      <c r="F294" s="114"/>
      <c r="H294" s="114"/>
      <c r="J294" s="114"/>
    </row>
    <row r="295" spans="4:10" ht="15.75" customHeight="1" x14ac:dyDescent="0.25">
      <c r="D295" s="114"/>
      <c r="F295" s="114"/>
      <c r="H295" s="114"/>
      <c r="J295" s="114"/>
    </row>
    <row r="296" spans="4:10" ht="15.75" customHeight="1" x14ac:dyDescent="0.25">
      <c r="D296" s="114"/>
      <c r="F296" s="114"/>
      <c r="H296" s="114"/>
      <c r="J296" s="114"/>
    </row>
    <row r="297" spans="4:10" ht="15.75" customHeight="1" x14ac:dyDescent="0.25">
      <c r="D297" s="114"/>
      <c r="F297" s="114"/>
      <c r="H297" s="114"/>
      <c r="J297" s="114"/>
    </row>
    <row r="298" spans="4:10" ht="15.75" customHeight="1" x14ac:dyDescent="0.25">
      <c r="D298" s="114"/>
      <c r="F298" s="114"/>
      <c r="H298" s="114"/>
      <c r="J298" s="114"/>
    </row>
    <row r="299" spans="4:10" ht="15.75" customHeight="1" x14ac:dyDescent="0.25">
      <c r="D299" s="114"/>
      <c r="F299" s="114"/>
      <c r="H299" s="114"/>
      <c r="J299" s="114"/>
    </row>
    <row r="300" spans="4:10" ht="15.75" customHeight="1" x14ac:dyDescent="0.25">
      <c r="D300" s="114"/>
      <c r="F300" s="114"/>
      <c r="H300" s="114"/>
      <c r="J300" s="114"/>
    </row>
    <row r="301" spans="4:10" ht="15.75" customHeight="1" x14ac:dyDescent="0.25">
      <c r="D301" s="114"/>
      <c r="F301" s="114"/>
      <c r="H301" s="114"/>
      <c r="J301" s="114"/>
    </row>
    <row r="302" spans="4:10" ht="15.75" customHeight="1" x14ac:dyDescent="0.25">
      <c r="D302" s="114"/>
      <c r="F302" s="114"/>
      <c r="H302" s="114"/>
      <c r="J302" s="114"/>
    </row>
    <row r="303" spans="4:10" ht="15.75" customHeight="1" x14ac:dyDescent="0.25">
      <c r="D303" s="114"/>
      <c r="F303" s="114"/>
      <c r="H303" s="114"/>
      <c r="J303" s="114"/>
    </row>
    <row r="304" spans="4:10" ht="15.75" customHeight="1" x14ac:dyDescent="0.25">
      <c r="D304" s="114"/>
      <c r="F304" s="114"/>
      <c r="H304" s="114"/>
      <c r="J304" s="114"/>
    </row>
    <row r="305" spans="4:10" ht="15.75" customHeight="1" x14ac:dyDescent="0.25">
      <c r="D305" s="114"/>
      <c r="F305" s="114"/>
      <c r="H305" s="114"/>
      <c r="J305" s="114"/>
    </row>
    <row r="306" spans="4:10" ht="15.75" customHeight="1" x14ac:dyDescent="0.25">
      <c r="D306" s="114"/>
      <c r="F306" s="114"/>
      <c r="H306" s="114"/>
      <c r="J306" s="114"/>
    </row>
    <row r="307" spans="4:10" ht="15.75" customHeight="1" x14ac:dyDescent="0.25">
      <c r="D307" s="114"/>
      <c r="F307" s="114"/>
      <c r="H307" s="114"/>
      <c r="J307" s="114"/>
    </row>
    <row r="308" spans="4:10" ht="15.75" customHeight="1" x14ac:dyDescent="0.25">
      <c r="D308" s="114"/>
      <c r="F308" s="114"/>
      <c r="H308" s="114"/>
      <c r="J308" s="114"/>
    </row>
    <row r="309" spans="4:10" ht="15.75" customHeight="1" x14ac:dyDescent="0.25">
      <c r="D309" s="114"/>
      <c r="F309" s="114"/>
      <c r="H309" s="114"/>
      <c r="J309" s="114"/>
    </row>
    <row r="310" spans="4:10" ht="15.75" customHeight="1" x14ac:dyDescent="0.25">
      <c r="D310" s="114"/>
      <c r="F310" s="114"/>
      <c r="H310" s="114"/>
      <c r="J310" s="114"/>
    </row>
    <row r="311" spans="4:10" ht="15.75" customHeight="1" x14ac:dyDescent="0.25">
      <c r="D311" s="114"/>
      <c r="F311" s="114"/>
      <c r="H311" s="114"/>
      <c r="J311" s="114"/>
    </row>
    <row r="312" spans="4:10" ht="15.75" customHeight="1" x14ac:dyDescent="0.25">
      <c r="D312" s="114"/>
      <c r="F312" s="114"/>
      <c r="H312" s="114"/>
      <c r="J312" s="114"/>
    </row>
    <row r="313" spans="4:10" ht="15.75" customHeight="1" x14ac:dyDescent="0.25">
      <c r="D313" s="114"/>
      <c r="F313" s="114"/>
      <c r="H313" s="114"/>
      <c r="J313" s="114"/>
    </row>
    <row r="314" spans="4:10" ht="15.75" customHeight="1" x14ac:dyDescent="0.25">
      <c r="D314" s="114"/>
      <c r="F314" s="114"/>
      <c r="H314" s="114"/>
      <c r="J314" s="114"/>
    </row>
    <row r="315" spans="4:10" ht="15.75" customHeight="1" x14ac:dyDescent="0.25">
      <c r="D315" s="114"/>
      <c r="F315" s="114"/>
      <c r="H315" s="114"/>
      <c r="J315" s="114"/>
    </row>
    <row r="316" spans="4:10" ht="15.75" customHeight="1" x14ac:dyDescent="0.25">
      <c r="D316" s="114"/>
      <c r="F316" s="114"/>
      <c r="H316" s="114"/>
      <c r="J316" s="114"/>
    </row>
    <row r="317" spans="4:10" ht="15.75" customHeight="1" x14ac:dyDescent="0.25">
      <c r="D317" s="114"/>
      <c r="F317" s="114"/>
      <c r="H317" s="114"/>
      <c r="J317" s="114"/>
    </row>
    <row r="318" spans="4:10" ht="15.75" customHeight="1" x14ac:dyDescent="0.25">
      <c r="D318" s="114"/>
      <c r="F318" s="114"/>
      <c r="H318" s="114"/>
      <c r="J318" s="114"/>
    </row>
    <row r="319" spans="4:10" ht="15.75" customHeight="1" x14ac:dyDescent="0.25">
      <c r="D319" s="114"/>
      <c r="F319" s="114"/>
      <c r="H319" s="114"/>
      <c r="J319" s="114"/>
    </row>
    <row r="320" spans="4:10" ht="15.75" customHeight="1" x14ac:dyDescent="0.25">
      <c r="D320" s="114"/>
      <c r="F320" s="114"/>
      <c r="H320" s="114"/>
      <c r="J320" s="114"/>
    </row>
    <row r="321" spans="4:10" ht="15.75" customHeight="1" x14ac:dyDescent="0.25">
      <c r="D321" s="114"/>
      <c r="F321" s="114"/>
      <c r="H321" s="114"/>
      <c r="J321" s="114"/>
    </row>
    <row r="322" spans="4:10" ht="15.75" customHeight="1" x14ac:dyDescent="0.25">
      <c r="D322" s="114"/>
      <c r="F322" s="114"/>
      <c r="H322" s="114"/>
      <c r="J322" s="114"/>
    </row>
    <row r="323" spans="4:10" ht="15.75" customHeight="1" x14ac:dyDescent="0.25">
      <c r="D323" s="114"/>
      <c r="F323" s="114"/>
      <c r="H323" s="114"/>
      <c r="J323" s="114"/>
    </row>
    <row r="324" spans="4:10" ht="15.75" customHeight="1" x14ac:dyDescent="0.25">
      <c r="D324" s="114"/>
      <c r="F324" s="114"/>
      <c r="H324" s="114"/>
      <c r="J324" s="114"/>
    </row>
    <row r="325" spans="4:10" ht="15.75" customHeight="1" x14ac:dyDescent="0.25">
      <c r="D325" s="114"/>
      <c r="F325" s="114"/>
      <c r="H325" s="114"/>
      <c r="J325" s="114"/>
    </row>
    <row r="326" spans="4:10" ht="15.75" customHeight="1" x14ac:dyDescent="0.25">
      <c r="D326" s="114"/>
      <c r="F326" s="114"/>
      <c r="H326" s="114"/>
      <c r="J326" s="114"/>
    </row>
    <row r="327" spans="4:10" ht="15.75" customHeight="1" x14ac:dyDescent="0.25">
      <c r="D327" s="114"/>
      <c r="F327" s="114"/>
      <c r="H327" s="114"/>
      <c r="J327" s="114"/>
    </row>
    <row r="328" spans="4:10" ht="15.75" customHeight="1" x14ac:dyDescent="0.25">
      <c r="D328" s="114"/>
      <c r="F328" s="114"/>
      <c r="H328" s="114"/>
      <c r="J328" s="114"/>
    </row>
    <row r="329" spans="4:10" ht="15.75" customHeight="1" x14ac:dyDescent="0.25">
      <c r="D329" s="114"/>
      <c r="F329" s="114"/>
      <c r="H329" s="114"/>
      <c r="J329" s="114"/>
    </row>
    <row r="330" spans="4:10" ht="15.75" customHeight="1" x14ac:dyDescent="0.25">
      <c r="D330" s="114"/>
      <c r="F330" s="114"/>
      <c r="H330" s="114"/>
      <c r="J330" s="114"/>
    </row>
    <row r="331" spans="4:10" ht="15.75" customHeight="1" x14ac:dyDescent="0.25">
      <c r="D331" s="114"/>
      <c r="F331" s="114"/>
      <c r="H331" s="114"/>
      <c r="J331" s="114"/>
    </row>
    <row r="332" spans="4:10" ht="15.75" customHeight="1" x14ac:dyDescent="0.25">
      <c r="D332" s="114"/>
      <c r="F332" s="114"/>
      <c r="H332" s="114"/>
      <c r="J332" s="114"/>
    </row>
    <row r="333" spans="4:10" ht="15.75" customHeight="1" x14ac:dyDescent="0.25">
      <c r="D333" s="114"/>
      <c r="F333" s="114"/>
      <c r="H333" s="114"/>
      <c r="J333" s="114"/>
    </row>
    <row r="334" spans="4:10" ht="15.75" customHeight="1" x14ac:dyDescent="0.25">
      <c r="D334" s="114"/>
      <c r="F334" s="114"/>
      <c r="H334" s="114"/>
      <c r="J334" s="114"/>
    </row>
    <row r="335" spans="4:10" ht="15.75" customHeight="1" x14ac:dyDescent="0.25">
      <c r="D335" s="114"/>
      <c r="F335" s="114"/>
      <c r="H335" s="114"/>
      <c r="J335" s="114"/>
    </row>
    <row r="336" spans="4:10" ht="15.75" customHeight="1" x14ac:dyDescent="0.25">
      <c r="D336" s="114"/>
      <c r="F336" s="114"/>
      <c r="H336" s="114"/>
      <c r="J336" s="114"/>
    </row>
    <row r="337" spans="4:10" ht="15.75" customHeight="1" x14ac:dyDescent="0.25">
      <c r="D337" s="114"/>
      <c r="F337" s="114"/>
      <c r="H337" s="114"/>
      <c r="J337" s="114"/>
    </row>
    <row r="338" spans="4:10" ht="15.75" customHeight="1" x14ac:dyDescent="0.25">
      <c r="D338" s="114"/>
      <c r="F338" s="114"/>
      <c r="H338" s="114"/>
      <c r="J338" s="114"/>
    </row>
    <row r="339" spans="4:10" ht="15.75" customHeight="1" x14ac:dyDescent="0.25">
      <c r="D339" s="114"/>
      <c r="F339" s="114"/>
      <c r="H339" s="114"/>
      <c r="J339" s="114"/>
    </row>
    <row r="340" spans="4:10" ht="15.75" customHeight="1" x14ac:dyDescent="0.25">
      <c r="D340" s="114"/>
      <c r="F340" s="114"/>
      <c r="H340" s="114"/>
      <c r="J340" s="114"/>
    </row>
    <row r="341" spans="4:10" ht="15.75" customHeight="1" x14ac:dyDescent="0.25">
      <c r="D341" s="114"/>
      <c r="F341" s="114"/>
      <c r="H341" s="114"/>
      <c r="J341" s="114"/>
    </row>
    <row r="342" spans="4:10" ht="15.75" customHeight="1" x14ac:dyDescent="0.25">
      <c r="D342" s="114"/>
      <c r="F342" s="114"/>
      <c r="H342" s="114"/>
      <c r="J342" s="114"/>
    </row>
    <row r="343" spans="4:10" ht="15.75" customHeight="1" x14ac:dyDescent="0.25">
      <c r="D343" s="114"/>
      <c r="F343" s="114"/>
      <c r="H343" s="114"/>
      <c r="J343" s="114"/>
    </row>
    <row r="344" spans="4:10" ht="15.75" customHeight="1" x14ac:dyDescent="0.25">
      <c r="D344" s="114"/>
      <c r="F344" s="114"/>
      <c r="H344" s="114"/>
      <c r="J344" s="114"/>
    </row>
    <row r="345" spans="4:10" ht="15.75" customHeight="1" x14ac:dyDescent="0.25">
      <c r="D345" s="114"/>
      <c r="F345" s="114"/>
      <c r="H345" s="114"/>
      <c r="J345" s="114"/>
    </row>
    <row r="346" spans="4:10" ht="15.75" customHeight="1" x14ac:dyDescent="0.25">
      <c r="D346" s="114"/>
      <c r="F346" s="114"/>
      <c r="H346" s="114"/>
      <c r="J346" s="114"/>
    </row>
    <row r="347" spans="4:10" ht="15.75" customHeight="1" x14ac:dyDescent="0.25">
      <c r="D347" s="114"/>
      <c r="F347" s="114"/>
      <c r="H347" s="114"/>
      <c r="J347" s="114"/>
    </row>
    <row r="348" spans="4:10" ht="15.75" customHeight="1" x14ac:dyDescent="0.25">
      <c r="D348" s="114"/>
      <c r="F348" s="114"/>
      <c r="H348" s="114"/>
      <c r="J348" s="114"/>
    </row>
    <row r="349" spans="4:10" ht="15.75" customHeight="1" x14ac:dyDescent="0.25">
      <c r="D349" s="114"/>
      <c r="F349" s="114"/>
      <c r="H349" s="114"/>
      <c r="J349" s="114"/>
    </row>
    <row r="350" spans="4:10" ht="15.75" customHeight="1" x14ac:dyDescent="0.25">
      <c r="D350" s="114"/>
      <c r="F350" s="114"/>
      <c r="H350" s="114"/>
      <c r="J350" s="114"/>
    </row>
    <row r="351" spans="4:10" ht="15.75" customHeight="1" x14ac:dyDescent="0.25">
      <c r="D351" s="114"/>
      <c r="F351" s="114"/>
      <c r="H351" s="114"/>
      <c r="J351" s="114"/>
    </row>
    <row r="352" spans="4:10" ht="15.75" customHeight="1" x14ac:dyDescent="0.25">
      <c r="D352" s="114"/>
      <c r="F352" s="114"/>
      <c r="H352" s="114"/>
      <c r="J352" s="114"/>
    </row>
    <row r="353" spans="4:10" ht="15.75" customHeight="1" x14ac:dyDescent="0.25">
      <c r="D353" s="114"/>
      <c r="F353" s="114"/>
      <c r="H353" s="114"/>
      <c r="J353" s="114"/>
    </row>
    <row r="354" spans="4:10" ht="15.75" customHeight="1" x14ac:dyDescent="0.25">
      <c r="D354" s="114"/>
      <c r="F354" s="114"/>
      <c r="H354" s="114"/>
      <c r="J354" s="114"/>
    </row>
    <row r="355" spans="4:10" ht="15.75" customHeight="1" x14ac:dyDescent="0.25">
      <c r="D355" s="114"/>
      <c r="F355" s="114"/>
      <c r="H355" s="114"/>
      <c r="J355" s="114"/>
    </row>
    <row r="356" spans="4:10" ht="15.75" customHeight="1" x14ac:dyDescent="0.25">
      <c r="D356" s="114"/>
      <c r="F356" s="114"/>
      <c r="H356" s="114"/>
      <c r="J356" s="114"/>
    </row>
    <row r="357" spans="4:10" ht="15.75" customHeight="1" x14ac:dyDescent="0.25">
      <c r="D357" s="114"/>
      <c r="F357" s="114"/>
      <c r="H357" s="114"/>
      <c r="J357" s="114"/>
    </row>
    <row r="358" spans="4:10" ht="15.75" customHeight="1" x14ac:dyDescent="0.25">
      <c r="D358" s="114"/>
      <c r="F358" s="114"/>
      <c r="H358" s="114"/>
      <c r="J358" s="114"/>
    </row>
    <row r="359" spans="4:10" ht="15.75" customHeight="1" x14ac:dyDescent="0.25">
      <c r="D359" s="114"/>
      <c r="F359" s="114"/>
      <c r="H359" s="114"/>
      <c r="J359" s="114"/>
    </row>
    <row r="360" spans="4:10" ht="15.75" customHeight="1" x14ac:dyDescent="0.25">
      <c r="D360" s="114"/>
      <c r="F360" s="114"/>
      <c r="H360" s="114"/>
      <c r="J360" s="114"/>
    </row>
    <row r="361" spans="4:10" ht="15.75" customHeight="1" x14ac:dyDescent="0.25">
      <c r="D361" s="114"/>
      <c r="F361" s="114"/>
      <c r="H361" s="114"/>
      <c r="J361" s="114"/>
    </row>
    <row r="362" spans="4:10" ht="15.75" customHeight="1" x14ac:dyDescent="0.25">
      <c r="D362" s="114"/>
      <c r="F362" s="114"/>
      <c r="H362" s="114"/>
      <c r="J362" s="114"/>
    </row>
    <row r="363" spans="4:10" ht="15.75" customHeight="1" x14ac:dyDescent="0.25">
      <c r="D363" s="114"/>
      <c r="F363" s="114"/>
      <c r="H363" s="114"/>
      <c r="J363" s="114"/>
    </row>
    <row r="364" spans="4:10" ht="15.75" customHeight="1" x14ac:dyDescent="0.25">
      <c r="D364" s="114"/>
      <c r="F364" s="114"/>
      <c r="H364" s="114"/>
      <c r="J364" s="114"/>
    </row>
    <row r="365" spans="4:10" ht="15.75" customHeight="1" x14ac:dyDescent="0.25">
      <c r="D365" s="114"/>
      <c r="F365" s="114"/>
      <c r="H365" s="114"/>
      <c r="J365" s="114"/>
    </row>
    <row r="366" spans="4:10" ht="15.75" customHeight="1" x14ac:dyDescent="0.25">
      <c r="D366" s="114"/>
      <c r="F366" s="114"/>
      <c r="H366" s="114"/>
      <c r="J366" s="114"/>
    </row>
    <row r="367" spans="4:10" ht="15.75" customHeight="1" x14ac:dyDescent="0.25">
      <c r="D367" s="114"/>
      <c r="F367" s="114"/>
      <c r="H367" s="114"/>
      <c r="J367" s="114"/>
    </row>
    <row r="368" spans="4:10" ht="15.75" customHeight="1" x14ac:dyDescent="0.25">
      <c r="D368" s="114"/>
      <c r="F368" s="114"/>
      <c r="H368" s="114"/>
      <c r="J368" s="114"/>
    </row>
    <row r="369" spans="4:10" ht="15.75" customHeight="1" x14ac:dyDescent="0.25">
      <c r="D369" s="114"/>
      <c r="F369" s="114"/>
      <c r="H369" s="114"/>
      <c r="J369" s="114"/>
    </row>
    <row r="370" spans="4:10" ht="15.75" customHeight="1" x14ac:dyDescent="0.25">
      <c r="D370" s="114"/>
      <c r="F370" s="114"/>
      <c r="H370" s="114"/>
      <c r="J370" s="114"/>
    </row>
    <row r="371" spans="4:10" ht="15.75" customHeight="1" x14ac:dyDescent="0.25">
      <c r="D371" s="114"/>
      <c r="F371" s="114"/>
      <c r="H371" s="114"/>
      <c r="J371" s="114"/>
    </row>
    <row r="372" spans="4:10" ht="15.75" customHeight="1" x14ac:dyDescent="0.25">
      <c r="D372" s="114"/>
      <c r="F372" s="114"/>
      <c r="H372" s="114"/>
      <c r="J372" s="114"/>
    </row>
    <row r="373" spans="4:10" ht="15.75" customHeight="1" x14ac:dyDescent="0.25">
      <c r="D373" s="114"/>
      <c r="F373" s="114"/>
      <c r="H373" s="114"/>
      <c r="J373" s="114"/>
    </row>
    <row r="374" spans="4:10" ht="15.75" customHeight="1" x14ac:dyDescent="0.25">
      <c r="D374" s="114"/>
      <c r="F374" s="114"/>
      <c r="H374" s="114"/>
      <c r="J374" s="114"/>
    </row>
    <row r="375" spans="4:10" ht="15.75" customHeight="1" x14ac:dyDescent="0.25">
      <c r="D375" s="114"/>
      <c r="F375" s="114"/>
      <c r="H375" s="114"/>
      <c r="J375" s="114"/>
    </row>
    <row r="376" spans="4:10" ht="15.75" customHeight="1" x14ac:dyDescent="0.25">
      <c r="D376" s="114"/>
      <c r="F376" s="114"/>
      <c r="H376" s="114"/>
      <c r="J376" s="114"/>
    </row>
    <row r="377" spans="4:10" ht="15.75" customHeight="1" x14ac:dyDescent="0.25">
      <c r="D377" s="114"/>
      <c r="F377" s="114"/>
      <c r="H377" s="114"/>
      <c r="J377" s="114"/>
    </row>
    <row r="378" spans="4:10" ht="15.75" customHeight="1" x14ac:dyDescent="0.25">
      <c r="D378" s="114"/>
      <c r="F378" s="114"/>
      <c r="H378" s="114"/>
      <c r="J378" s="114"/>
    </row>
    <row r="379" spans="4:10" ht="15.75" customHeight="1" x14ac:dyDescent="0.25">
      <c r="D379" s="114"/>
      <c r="F379" s="114"/>
      <c r="H379" s="114"/>
      <c r="J379" s="114"/>
    </row>
    <row r="380" spans="4:10" ht="15.75" customHeight="1" x14ac:dyDescent="0.25">
      <c r="D380" s="114"/>
      <c r="F380" s="114"/>
      <c r="H380" s="114"/>
      <c r="J380" s="114"/>
    </row>
    <row r="381" spans="4:10" ht="15.75" customHeight="1" x14ac:dyDescent="0.25">
      <c r="D381" s="114"/>
      <c r="F381" s="114"/>
      <c r="H381" s="114"/>
      <c r="J381" s="114"/>
    </row>
    <row r="382" spans="4:10" ht="15.75" customHeight="1" x14ac:dyDescent="0.25">
      <c r="D382" s="114"/>
      <c r="F382" s="114"/>
      <c r="H382" s="114"/>
      <c r="J382" s="114"/>
    </row>
    <row r="383" spans="4:10" ht="15.75" customHeight="1" x14ac:dyDescent="0.25">
      <c r="D383" s="114"/>
      <c r="F383" s="114"/>
      <c r="H383" s="114"/>
      <c r="J383" s="114"/>
    </row>
    <row r="384" spans="4:10" ht="15.75" customHeight="1" x14ac:dyDescent="0.25">
      <c r="D384" s="114"/>
      <c r="F384" s="114"/>
      <c r="H384" s="114"/>
      <c r="J384" s="114"/>
    </row>
    <row r="385" spans="4:10" ht="15.75" customHeight="1" x14ac:dyDescent="0.25">
      <c r="D385" s="114"/>
      <c r="F385" s="114"/>
      <c r="H385" s="114"/>
      <c r="J385" s="114"/>
    </row>
    <row r="386" spans="4:10" ht="15.75" customHeight="1" x14ac:dyDescent="0.25">
      <c r="D386" s="114"/>
      <c r="F386" s="114"/>
      <c r="H386" s="114"/>
      <c r="J386" s="114"/>
    </row>
    <row r="387" spans="4:10" ht="15.75" customHeight="1" x14ac:dyDescent="0.25">
      <c r="D387" s="114"/>
      <c r="F387" s="114"/>
      <c r="H387" s="114"/>
      <c r="J387" s="114"/>
    </row>
    <row r="388" spans="4:10" ht="15.75" customHeight="1" x14ac:dyDescent="0.25">
      <c r="D388" s="114"/>
      <c r="F388" s="114"/>
      <c r="H388" s="114"/>
      <c r="J388" s="114"/>
    </row>
    <row r="389" spans="4:10" ht="15.75" customHeight="1" x14ac:dyDescent="0.25">
      <c r="D389" s="114"/>
      <c r="F389" s="114"/>
      <c r="H389" s="114"/>
      <c r="J389" s="114"/>
    </row>
    <row r="390" spans="4:10" ht="15.75" customHeight="1" x14ac:dyDescent="0.25">
      <c r="D390" s="114"/>
      <c r="F390" s="114"/>
      <c r="H390" s="114"/>
      <c r="J390" s="114"/>
    </row>
    <row r="391" spans="4:10" ht="15.75" customHeight="1" x14ac:dyDescent="0.25">
      <c r="D391" s="114"/>
      <c r="F391" s="114"/>
      <c r="H391" s="114"/>
      <c r="J391" s="114"/>
    </row>
    <row r="392" spans="4:10" ht="15.75" customHeight="1" x14ac:dyDescent="0.25">
      <c r="D392" s="114"/>
      <c r="F392" s="114"/>
      <c r="H392" s="114"/>
      <c r="J392" s="114"/>
    </row>
    <row r="393" spans="4:10" ht="15.75" customHeight="1" x14ac:dyDescent="0.25">
      <c r="D393" s="114"/>
      <c r="F393" s="114"/>
      <c r="H393" s="114"/>
      <c r="J393" s="114"/>
    </row>
    <row r="394" spans="4:10" ht="15.75" customHeight="1" x14ac:dyDescent="0.25">
      <c r="D394" s="114"/>
      <c r="F394" s="114"/>
      <c r="H394" s="114"/>
      <c r="J394" s="114"/>
    </row>
    <row r="395" spans="4:10" ht="15.75" customHeight="1" x14ac:dyDescent="0.25">
      <c r="D395" s="114"/>
      <c r="F395" s="114"/>
      <c r="H395" s="114"/>
      <c r="J395" s="114"/>
    </row>
    <row r="396" spans="4:10" ht="15.75" customHeight="1" x14ac:dyDescent="0.25">
      <c r="D396" s="114"/>
      <c r="F396" s="114"/>
      <c r="H396" s="114"/>
      <c r="J396" s="114"/>
    </row>
    <row r="397" spans="4:10" ht="15.75" customHeight="1" x14ac:dyDescent="0.25">
      <c r="D397" s="114"/>
      <c r="F397" s="114"/>
      <c r="H397" s="114"/>
      <c r="J397" s="114"/>
    </row>
    <row r="398" spans="4:10" ht="15.75" customHeight="1" x14ac:dyDescent="0.25">
      <c r="D398" s="114"/>
      <c r="F398" s="114"/>
      <c r="H398" s="114"/>
      <c r="J398" s="114"/>
    </row>
    <row r="399" spans="4:10" ht="15.75" customHeight="1" x14ac:dyDescent="0.25">
      <c r="D399" s="114"/>
      <c r="F399" s="114"/>
      <c r="H399" s="114"/>
      <c r="J399" s="114"/>
    </row>
    <row r="400" spans="4:10" ht="15.75" customHeight="1" x14ac:dyDescent="0.25">
      <c r="D400" s="114"/>
      <c r="F400" s="114"/>
      <c r="H400" s="114"/>
      <c r="J400" s="114"/>
    </row>
    <row r="401" spans="4:10" ht="15.75" customHeight="1" x14ac:dyDescent="0.25">
      <c r="D401" s="114"/>
      <c r="F401" s="114"/>
      <c r="H401" s="114"/>
      <c r="J401" s="114"/>
    </row>
    <row r="402" spans="4:10" ht="15.75" customHeight="1" x14ac:dyDescent="0.25">
      <c r="D402" s="114"/>
      <c r="F402" s="114"/>
      <c r="H402" s="114"/>
      <c r="J402" s="114"/>
    </row>
    <row r="403" spans="4:10" ht="15.75" customHeight="1" x14ac:dyDescent="0.25">
      <c r="D403" s="114"/>
      <c r="F403" s="114"/>
      <c r="H403" s="114"/>
      <c r="J403" s="114"/>
    </row>
    <row r="404" spans="4:10" ht="15.75" customHeight="1" x14ac:dyDescent="0.25">
      <c r="D404" s="114"/>
      <c r="F404" s="114"/>
      <c r="H404" s="114"/>
      <c r="J404" s="114"/>
    </row>
    <row r="405" spans="4:10" ht="15.75" customHeight="1" x14ac:dyDescent="0.25">
      <c r="D405" s="114"/>
      <c r="F405" s="114"/>
      <c r="H405" s="114"/>
      <c r="J405" s="114"/>
    </row>
    <row r="406" spans="4:10" ht="15.75" customHeight="1" x14ac:dyDescent="0.25">
      <c r="D406" s="114"/>
      <c r="F406" s="114"/>
      <c r="H406" s="114"/>
      <c r="J406" s="114"/>
    </row>
    <row r="407" spans="4:10" ht="15.75" customHeight="1" x14ac:dyDescent="0.25">
      <c r="D407" s="114"/>
      <c r="F407" s="114"/>
      <c r="H407" s="114"/>
      <c r="J407" s="114"/>
    </row>
    <row r="408" spans="4:10" ht="15.75" customHeight="1" x14ac:dyDescent="0.25">
      <c r="D408" s="114"/>
      <c r="F408" s="114"/>
      <c r="H408" s="114"/>
      <c r="J408" s="114"/>
    </row>
    <row r="409" spans="4:10" ht="15.75" customHeight="1" x14ac:dyDescent="0.25">
      <c r="D409" s="114"/>
      <c r="F409" s="114"/>
      <c r="H409" s="114"/>
      <c r="J409" s="114"/>
    </row>
    <row r="410" spans="4:10" ht="15.75" customHeight="1" x14ac:dyDescent="0.25">
      <c r="D410" s="114"/>
      <c r="F410" s="114"/>
      <c r="H410" s="114"/>
      <c r="J410" s="114"/>
    </row>
    <row r="411" spans="4:10" ht="15.75" customHeight="1" x14ac:dyDescent="0.25">
      <c r="D411" s="114"/>
      <c r="F411" s="114"/>
      <c r="H411" s="114"/>
      <c r="J411" s="114"/>
    </row>
    <row r="412" spans="4:10" ht="15.75" customHeight="1" x14ac:dyDescent="0.25">
      <c r="D412" s="114"/>
      <c r="F412" s="114"/>
      <c r="H412" s="114"/>
      <c r="J412" s="114"/>
    </row>
    <row r="413" spans="4:10" ht="15.75" customHeight="1" x14ac:dyDescent="0.25">
      <c r="D413" s="114"/>
      <c r="F413" s="114"/>
      <c r="H413" s="114"/>
      <c r="J413" s="114"/>
    </row>
    <row r="414" spans="4:10" ht="15.75" customHeight="1" x14ac:dyDescent="0.25">
      <c r="D414" s="114"/>
      <c r="F414" s="114"/>
      <c r="H414" s="114"/>
      <c r="J414" s="114"/>
    </row>
    <row r="415" spans="4:10" ht="15.75" customHeight="1" x14ac:dyDescent="0.25">
      <c r="D415" s="114"/>
      <c r="F415" s="114"/>
      <c r="H415" s="114"/>
      <c r="J415" s="114"/>
    </row>
    <row r="416" spans="4:10" ht="15.75" customHeight="1" x14ac:dyDescent="0.25">
      <c r="D416" s="114"/>
      <c r="F416" s="114"/>
      <c r="H416" s="114"/>
      <c r="J416" s="114"/>
    </row>
    <row r="417" spans="4:10" ht="15.75" customHeight="1" x14ac:dyDescent="0.25">
      <c r="D417" s="114"/>
      <c r="F417" s="114"/>
      <c r="H417" s="114"/>
      <c r="J417" s="114"/>
    </row>
    <row r="418" spans="4:10" ht="15.75" customHeight="1" x14ac:dyDescent="0.25">
      <c r="D418" s="114"/>
      <c r="F418" s="114"/>
      <c r="H418" s="114"/>
      <c r="J418" s="114"/>
    </row>
    <row r="419" spans="4:10" ht="15.75" customHeight="1" x14ac:dyDescent="0.25">
      <c r="D419" s="114"/>
      <c r="F419" s="114"/>
      <c r="H419" s="114"/>
      <c r="J419" s="114"/>
    </row>
    <row r="420" spans="4:10" ht="15.75" customHeight="1" x14ac:dyDescent="0.25">
      <c r="D420" s="114"/>
      <c r="F420" s="114"/>
      <c r="H420" s="114"/>
      <c r="J420" s="114"/>
    </row>
    <row r="421" spans="4:10" ht="15.75" customHeight="1" x14ac:dyDescent="0.25">
      <c r="D421" s="114"/>
      <c r="F421" s="114"/>
      <c r="H421" s="114"/>
      <c r="J421" s="114"/>
    </row>
    <row r="422" spans="4:10" ht="15.75" customHeight="1" x14ac:dyDescent="0.25">
      <c r="D422" s="114"/>
      <c r="F422" s="114"/>
      <c r="H422" s="114"/>
      <c r="J422" s="114"/>
    </row>
    <row r="423" spans="4:10" ht="15.75" customHeight="1" x14ac:dyDescent="0.25">
      <c r="D423" s="114"/>
      <c r="F423" s="114"/>
      <c r="H423" s="114"/>
      <c r="J423" s="114"/>
    </row>
    <row r="424" spans="4:10" ht="15.75" customHeight="1" x14ac:dyDescent="0.25">
      <c r="D424" s="114"/>
      <c r="F424" s="114"/>
      <c r="H424" s="114"/>
      <c r="J424" s="114"/>
    </row>
    <row r="425" spans="4:10" ht="15.75" customHeight="1" x14ac:dyDescent="0.25">
      <c r="D425" s="114"/>
      <c r="F425" s="114"/>
      <c r="H425" s="114"/>
      <c r="J425" s="114"/>
    </row>
    <row r="426" spans="4:10" ht="15.75" customHeight="1" x14ac:dyDescent="0.25">
      <c r="D426" s="114"/>
      <c r="F426" s="114"/>
      <c r="H426" s="114"/>
      <c r="J426" s="114"/>
    </row>
    <row r="427" spans="4:10" ht="15.75" customHeight="1" x14ac:dyDescent="0.25">
      <c r="D427" s="114"/>
      <c r="F427" s="114"/>
      <c r="H427" s="114"/>
      <c r="J427" s="114"/>
    </row>
    <row r="428" spans="4:10" ht="15.75" customHeight="1" x14ac:dyDescent="0.25">
      <c r="D428" s="114"/>
      <c r="F428" s="114"/>
      <c r="H428" s="114"/>
      <c r="J428" s="114"/>
    </row>
    <row r="429" spans="4:10" ht="15.75" customHeight="1" x14ac:dyDescent="0.25">
      <c r="D429" s="114"/>
      <c r="F429" s="114"/>
      <c r="H429" s="114"/>
      <c r="J429" s="114"/>
    </row>
    <row r="430" spans="4:10" ht="15.75" customHeight="1" x14ac:dyDescent="0.25">
      <c r="D430" s="114"/>
      <c r="F430" s="114"/>
      <c r="H430" s="114"/>
      <c r="J430" s="114"/>
    </row>
    <row r="431" spans="4:10" ht="15.75" customHeight="1" x14ac:dyDescent="0.25">
      <c r="D431" s="114"/>
      <c r="F431" s="114"/>
      <c r="H431" s="114"/>
      <c r="J431" s="114"/>
    </row>
    <row r="432" spans="4:10" ht="15.75" customHeight="1" x14ac:dyDescent="0.25">
      <c r="D432" s="114"/>
      <c r="F432" s="114"/>
      <c r="H432" s="114"/>
      <c r="J432" s="114"/>
    </row>
    <row r="433" spans="4:10" ht="15.75" customHeight="1" x14ac:dyDescent="0.25">
      <c r="D433" s="114"/>
      <c r="F433" s="114"/>
      <c r="H433" s="114"/>
      <c r="J433" s="114"/>
    </row>
    <row r="434" spans="4:10" ht="15.75" customHeight="1" x14ac:dyDescent="0.25">
      <c r="D434" s="114"/>
      <c r="F434" s="114"/>
      <c r="H434" s="114"/>
      <c r="J434" s="114"/>
    </row>
    <row r="435" spans="4:10" ht="15.75" customHeight="1" x14ac:dyDescent="0.25">
      <c r="D435" s="114"/>
      <c r="F435" s="114"/>
      <c r="H435" s="114"/>
      <c r="J435" s="114"/>
    </row>
    <row r="436" spans="4:10" ht="15.75" customHeight="1" x14ac:dyDescent="0.25">
      <c r="D436" s="114"/>
      <c r="F436" s="114"/>
      <c r="H436" s="114"/>
      <c r="J436" s="114"/>
    </row>
    <row r="437" spans="4:10" ht="15.75" customHeight="1" x14ac:dyDescent="0.25">
      <c r="D437" s="114"/>
      <c r="F437" s="114"/>
      <c r="H437" s="114"/>
      <c r="J437" s="114"/>
    </row>
    <row r="438" spans="4:10" ht="15.75" customHeight="1" x14ac:dyDescent="0.25">
      <c r="D438" s="114"/>
      <c r="F438" s="114"/>
      <c r="H438" s="114"/>
      <c r="J438" s="114"/>
    </row>
    <row r="439" spans="4:10" ht="15.75" customHeight="1" x14ac:dyDescent="0.25">
      <c r="D439" s="114"/>
      <c r="F439" s="114"/>
      <c r="H439" s="114"/>
      <c r="J439" s="114"/>
    </row>
    <row r="440" spans="4:10" ht="15.75" customHeight="1" x14ac:dyDescent="0.25">
      <c r="D440" s="114"/>
      <c r="F440" s="114"/>
      <c r="H440" s="114"/>
      <c r="J440" s="114"/>
    </row>
    <row r="441" spans="4:10" ht="15.75" customHeight="1" x14ac:dyDescent="0.25">
      <c r="D441" s="114"/>
      <c r="F441" s="114"/>
      <c r="H441" s="114"/>
      <c r="J441" s="114"/>
    </row>
    <row r="442" spans="4:10" ht="15.75" customHeight="1" x14ac:dyDescent="0.25">
      <c r="D442" s="114"/>
      <c r="F442" s="114"/>
      <c r="H442" s="114"/>
      <c r="J442" s="114"/>
    </row>
    <row r="443" spans="4:10" ht="15.75" customHeight="1" x14ac:dyDescent="0.25">
      <c r="D443" s="114"/>
      <c r="F443" s="114"/>
      <c r="H443" s="114"/>
      <c r="J443" s="114"/>
    </row>
    <row r="444" spans="4:10" ht="15.75" customHeight="1" x14ac:dyDescent="0.25">
      <c r="D444" s="114"/>
      <c r="F444" s="114"/>
      <c r="H444" s="114"/>
      <c r="J444" s="114"/>
    </row>
    <row r="445" spans="4:10" ht="15.75" customHeight="1" x14ac:dyDescent="0.25">
      <c r="D445" s="114"/>
      <c r="F445" s="114"/>
      <c r="H445" s="114"/>
      <c r="J445" s="114"/>
    </row>
    <row r="446" spans="4:10" ht="15.75" customHeight="1" x14ac:dyDescent="0.25">
      <c r="D446" s="114"/>
      <c r="F446" s="114"/>
      <c r="H446" s="114"/>
      <c r="J446" s="114"/>
    </row>
    <row r="447" spans="4:10" ht="15.75" customHeight="1" x14ac:dyDescent="0.25">
      <c r="D447" s="114"/>
      <c r="F447" s="114"/>
      <c r="H447" s="114"/>
      <c r="J447" s="114"/>
    </row>
    <row r="448" spans="4:10" ht="15.75" customHeight="1" x14ac:dyDescent="0.25">
      <c r="D448" s="114"/>
      <c r="F448" s="114"/>
      <c r="H448" s="114"/>
      <c r="J448" s="114"/>
    </row>
    <row r="449" spans="4:10" ht="15.75" customHeight="1" x14ac:dyDescent="0.25">
      <c r="D449" s="114"/>
      <c r="F449" s="114"/>
      <c r="H449" s="114"/>
      <c r="J449" s="114"/>
    </row>
    <row r="450" spans="4:10" ht="15.75" customHeight="1" x14ac:dyDescent="0.25">
      <c r="D450" s="114"/>
      <c r="F450" s="114"/>
      <c r="H450" s="114"/>
      <c r="J450" s="114"/>
    </row>
    <row r="451" spans="4:10" ht="15.75" customHeight="1" x14ac:dyDescent="0.25">
      <c r="D451" s="114"/>
      <c r="F451" s="114"/>
      <c r="H451" s="114"/>
      <c r="J451" s="114"/>
    </row>
    <row r="452" spans="4:10" ht="15.75" customHeight="1" x14ac:dyDescent="0.25">
      <c r="D452" s="114"/>
      <c r="F452" s="114"/>
      <c r="H452" s="114"/>
      <c r="J452" s="114"/>
    </row>
    <row r="453" spans="4:10" ht="15.75" customHeight="1" x14ac:dyDescent="0.25">
      <c r="D453" s="114"/>
      <c r="F453" s="114"/>
      <c r="H453" s="114"/>
      <c r="J453" s="114"/>
    </row>
    <row r="454" spans="4:10" ht="15.75" customHeight="1" x14ac:dyDescent="0.25">
      <c r="D454" s="114"/>
      <c r="F454" s="114"/>
      <c r="H454" s="114"/>
      <c r="J454" s="114"/>
    </row>
    <row r="455" spans="4:10" ht="15.75" customHeight="1" x14ac:dyDescent="0.25">
      <c r="D455" s="114"/>
      <c r="F455" s="114"/>
      <c r="H455" s="114"/>
      <c r="J455" s="114"/>
    </row>
    <row r="456" spans="4:10" ht="15.75" customHeight="1" x14ac:dyDescent="0.25">
      <c r="D456" s="114"/>
      <c r="F456" s="114"/>
      <c r="H456" s="114"/>
      <c r="J456" s="114"/>
    </row>
    <row r="457" spans="4:10" ht="15.75" customHeight="1" x14ac:dyDescent="0.25">
      <c r="D457" s="114"/>
      <c r="F457" s="114"/>
      <c r="H457" s="114"/>
      <c r="J457" s="114"/>
    </row>
    <row r="458" spans="4:10" ht="15.75" customHeight="1" x14ac:dyDescent="0.25">
      <c r="D458" s="114"/>
      <c r="F458" s="114"/>
      <c r="H458" s="114"/>
      <c r="J458" s="114"/>
    </row>
    <row r="459" spans="4:10" ht="15.75" customHeight="1" x14ac:dyDescent="0.25">
      <c r="D459" s="114"/>
      <c r="F459" s="114"/>
      <c r="H459" s="114"/>
      <c r="J459" s="114"/>
    </row>
    <row r="460" spans="4:10" ht="15.75" customHeight="1" x14ac:dyDescent="0.25">
      <c r="D460" s="114"/>
      <c r="F460" s="114"/>
      <c r="H460" s="114"/>
      <c r="J460" s="114"/>
    </row>
    <row r="461" spans="4:10" ht="15.75" customHeight="1" x14ac:dyDescent="0.25">
      <c r="D461" s="114"/>
      <c r="F461" s="114"/>
      <c r="H461" s="114"/>
      <c r="J461" s="114"/>
    </row>
    <row r="462" spans="4:10" ht="15.75" customHeight="1" x14ac:dyDescent="0.25">
      <c r="D462" s="114"/>
      <c r="F462" s="114"/>
      <c r="H462" s="114"/>
      <c r="J462" s="114"/>
    </row>
    <row r="463" spans="4:10" ht="15.75" customHeight="1" x14ac:dyDescent="0.25">
      <c r="D463" s="114"/>
      <c r="F463" s="114"/>
      <c r="H463" s="114"/>
      <c r="J463" s="114"/>
    </row>
    <row r="464" spans="4:10" ht="15.75" customHeight="1" x14ac:dyDescent="0.25">
      <c r="D464" s="114"/>
      <c r="F464" s="114"/>
      <c r="H464" s="114"/>
      <c r="J464" s="114"/>
    </row>
    <row r="465" spans="4:10" ht="15.75" customHeight="1" x14ac:dyDescent="0.25">
      <c r="D465" s="114"/>
      <c r="F465" s="114"/>
      <c r="H465" s="114"/>
      <c r="J465" s="114"/>
    </row>
    <row r="466" spans="4:10" ht="15.75" customHeight="1" x14ac:dyDescent="0.25">
      <c r="D466" s="114"/>
      <c r="F466" s="114"/>
      <c r="H466" s="114"/>
      <c r="J466" s="114"/>
    </row>
    <row r="467" spans="4:10" ht="15.75" customHeight="1" x14ac:dyDescent="0.25">
      <c r="D467" s="114"/>
      <c r="F467" s="114"/>
      <c r="H467" s="114"/>
      <c r="J467" s="114"/>
    </row>
    <row r="468" spans="4:10" ht="15.75" customHeight="1" x14ac:dyDescent="0.25">
      <c r="D468" s="114"/>
      <c r="F468" s="114"/>
      <c r="H468" s="114"/>
      <c r="J468" s="114"/>
    </row>
    <row r="469" spans="4:10" ht="15.75" customHeight="1" x14ac:dyDescent="0.25">
      <c r="D469" s="114"/>
      <c r="F469" s="114"/>
      <c r="H469" s="114"/>
      <c r="J469" s="114"/>
    </row>
    <row r="470" spans="4:10" ht="15.75" customHeight="1" x14ac:dyDescent="0.25">
      <c r="D470" s="114"/>
      <c r="F470" s="114"/>
      <c r="H470" s="114"/>
      <c r="J470" s="114"/>
    </row>
    <row r="471" spans="4:10" ht="15.75" customHeight="1" x14ac:dyDescent="0.25">
      <c r="D471" s="114"/>
      <c r="F471" s="114"/>
      <c r="H471" s="114"/>
      <c r="J471" s="114"/>
    </row>
    <row r="472" spans="4:10" ht="15.75" customHeight="1" x14ac:dyDescent="0.25">
      <c r="D472" s="114"/>
      <c r="F472" s="114"/>
      <c r="H472" s="114"/>
      <c r="J472" s="114"/>
    </row>
    <row r="473" spans="4:10" ht="15.75" customHeight="1" x14ac:dyDescent="0.25">
      <c r="D473" s="114"/>
      <c r="F473" s="114"/>
      <c r="H473" s="114"/>
      <c r="J473" s="114"/>
    </row>
    <row r="474" spans="4:10" ht="15.75" customHeight="1" x14ac:dyDescent="0.25">
      <c r="D474" s="114"/>
      <c r="F474" s="114"/>
      <c r="H474" s="114"/>
      <c r="J474" s="114"/>
    </row>
    <row r="475" spans="4:10" ht="15.75" customHeight="1" x14ac:dyDescent="0.25">
      <c r="D475" s="114"/>
      <c r="F475" s="114"/>
      <c r="H475" s="114"/>
      <c r="J475" s="114"/>
    </row>
    <row r="476" spans="4:10" ht="15.75" customHeight="1" x14ac:dyDescent="0.25">
      <c r="D476" s="114"/>
      <c r="F476" s="114"/>
      <c r="H476" s="114"/>
      <c r="J476" s="114"/>
    </row>
    <row r="477" spans="4:10" ht="15.75" customHeight="1" x14ac:dyDescent="0.25">
      <c r="D477" s="114"/>
      <c r="F477" s="114"/>
      <c r="H477" s="114"/>
      <c r="J477" s="114"/>
    </row>
    <row r="478" spans="4:10" ht="15.75" customHeight="1" x14ac:dyDescent="0.25">
      <c r="D478" s="114"/>
      <c r="F478" s="114"/>
      <c r="H478" s="114"/>
      <c r="J478" s="114"/>
    </row>
    <row r="479" spans="4:10" ht="15.75" customHeight="1" x14ac:dyDescent="0.25">
      <c r="D479" s="114"/>
      <c r="F479" s="114"/>
      <c r="H479" s="114"/>
      <c r="J479" s="114"/>
    </row>
    <row r="480" spans="4:10" ht="15.75" customHeight="1" x14ac:dyDescent="0.25">
      <c r="D480" s="114"/>
      <c r="F480" s="114"/>
      <c r="H480" s="114"/>
      <c r="J480" s="114"/>
    </row>
    <row r="481" spans="4:10" ht="15.75" customHeight="1" x14ac:dyDescent="0.25">
      <c r="D481" s="114"/>
      <c r="F481" s="114"/>
      <c r="H481" s="114"/>
      <c r="J481" s="114"/>
    </row>
    <row r="482" spans="4:10" ht="15.75" customHeight="1" x14ac:dyDescent="0.25">
      <c r="D482" s="114"/>
      <c r="F482" s="114"/>
      <c r="H482" s="114"/>
      <c r="J482" s="114"/>
    </row>
    <row r="483" spans="4:10" ht="15.75" customHeight="1" x14ac:dyDescent="0.25">
      <c r="D483" s="114"/>
      <c r="F483" s="114"/>
      <c r="H483" s="114"/>
      <c r="J483" s="114"/>
    </row>
    <row r="484" spans="4:10" ht="15.75" customHeight="1" x14ac:dyDescent="0.25">
      <c r="D484" s="114"/>
      <c r="F484" s="114"/>
      <c r="H484" s="114"/>
      <c r="J484" s="114"/>
    </row>
    <row r="485" spans="4:10" ht="15.75" customHeight="1" x14ac:dyDescent="0.25">
      <c r="D485" s="114"/>
      <c r="F485" s="114"/>
      <c r="H485" s="114"/>
      <c r="J485" s="114"/>
    </row>
    <row r="486" spans="4:10" ht="15.75" customHeight="1" x14ac:dyDescent="0.25">
      <c r="D486" s="114"/>
      <c r="F486" s="114"/>
      <c r="H486" s="114"/>
      <c r="J486" s="114"/>
    </row>
    <row r="487" spans="4:10" ht="15.75" customHeight="1" x14ac:dyDescent="0.25">
      <c r="D487" s="114"/>
      <c r="F487" s="114"/>
      <c r="H487" s="114"/>
      <c r="J487" s="114"/>
    </row>
    <row r="488" spans="4:10" ht="15.75" customHeight="1" x14ac:dyDescent="0.25">
      <c r="D488" s="114"/>
      <c r="F488" s="114"/>
      <c r="H488" s="114"/>
      <c r="J488" s="114"/>
    </row>
    <row r="489" spans="4:10" ht="15.75" customHeight="1" x14ac:dyDescent="0.25">
      <c r="D489" s="114"/>
      <c r="F489" s="114"/>
      <c r="H489" s="114"/>
      <c r="J489" s="114"/>
    </row>
    <row r="490" spans="4:10" ht="15.75" customHeight="1" x14ac:dyDescent="0.25">
      <c r="D490" s="114"/>
      <c r="F490" s="114"/>
      <c r="H490" s="114"/>
      <c r="J490" s="114"/>
    </row>
    <row r="491" spans="4:10" ht="15.75" customHeight="1" x14ac:dyDescent="0.25">
      <c r="D491" s="114"/>
      <c r="F491" s="114"/>
      <c r="H491" s="114"/>
      <c r="J491" s="114"/>
    </row>
    <row r="492" spans="4:10" ht="15.75" customHeight="1" x14ac:dyDescent="0.25">
      <c r="D492" s="114"/>
      <c r="F492" s="114"/>
      <c r="H492" s="114"/>
      <c r="J492" s="114"/>
    </row>
    <row r="493" spans="4:10" ht="15.75" customHeight="1" x14ac:dyDescent="0.25">
      <c r="D493" s="114"/>
      <c r="F493" s="114"/>
      <c r="H493" s="114"/>
      <c r="J493" s="114"/>
    </row>
    <row r="494" spans="4:10" ht="15.75" customHeight="1" x14ac:dyDescent="0.25">
      <c r="D494" s="114"/>
      <c r="F494" s="114"/>
      <c r="H494" s="114"/>
      <c r="J494" s="114"/>
    </row>
    <row r="495" spans="4:10" ht="15.75" customHeight="1" x14ac:dyDescent="0.25">
      <c r="D495" s="114"/>
      <c r="F495" s="114"/>
      <c r="H495" s="114"/>
      <c r="J495" s="114"/>
    </row>
    <row r="496" spans="4:10" ht="15.75" customHeight="1" x14ac:dyDescent="0.25">
      <c r="D496" s="114"/>
      <c r="F496" s="114"/>
      <c r="H496" s="114"/>
      <c r="J496" s="114"/>
    </row>
    <row r="497" spans="4:10" ht="15.75" customHeight="1" x14ac:dyDescent="0.25">
      <c r="D497" s="114"/>
      <c r="F497" s="114"/>
      <c r="H497" s="114"/>
      <c r="J497" s="114"/>
    </row>
    <row r="498" spans="4:10" ht="15.75" customHeight="1" x14ac:dyDescent="0.25">
      <c r="D498" s="114"/>
      <c r="F498" s="114"/>
      <c r="H498" s="114"/>
      <c r="J498" s="114"/>
    </row>
    <row r="499" spans="4:10" ht="15.75" customHeight="1" x14ac:dyDescent="0.25">
      <c r="D499" s="114"/>
      <c r="F499" s="114"/>
      <c r="H499" s="114"/>
      <c r="J499" s="114"/>
    </row>
    <row r="500" spans="4:10" ht="15.75" customHeight="1" x14ac:dyDescent="0.25">
      <c r="D500" s="114"/>
      <c r="F500" s="114"/>
      <c r="H500" s="114"/>
      <c r="J500" s="114"/>
    </row>
    <row r="501" spans="4:10" ht="15.75" customHeight="1" x14ac:dyDescent="0.25">
      <c r="D501" s="114"/>
      <c r="F501" s="114"/>
      <c r="H501" s="114"/>
      <c r="J501" s="114"/>
    </row>
    <row r="502" spans="4:10" ht="15.75" customHeight="1" x14ac:dyDescent="0.25">
      <c r="D502" s="114"/>
      <c r="F502" s="114"/>
      <c r="H502" s="114"/>
      <c r="J502" s="114"/>
    </row>
    <row r="503" spans="4:10" ht="15.75" customHeight="1" x14ac:dyDescent="0.25">
      <c r="D503" s="114"/>
      <c r="F503" s="114"/>
      <c r="H503" s="114"/>
      <c r="J503" s="114"/>
    </row>
    <row r="504" spans="4:10" ht="15.75" customHeight="1" x14ac:dyDescent="0.25">
      <c r="D504" s="114"/>
      <c r="F504" s="114"/>
      <c r="H504" s="114"/>
      <c r="J504" s="114"/>
    </row>
    <row r="505" spans="4:10" ht="15.75" customHeight="1" x14ac:dyDescent="0.25">
      <c r="D505" s="114"/>
      <c r="F505" s="114"/>
      <c r="H505" s="114"/>
      <c r="J505" s="114"/>
    </row>
    <row r="506" spans="4:10" ht="15.75" customHeight="1" x14ac:dyDescent="0.25">
      <c r="D506" s="114"/>
      <c r="F506" s="114"/>
      <c r="H506" s="114"/>
      <c r="J506" s="114"/>
    </row>
    <row r="507" spans="4:10" ht="15.75" customHeight="1" x14ac:dyDescent="0.25">
      <c r="D507" s="114"/>
      <c r="F507" s="114"/>
      <c r="H507" s="114"/>
      <c r="J507" s="114"/>
    </row>
    <row r="508" spans="4:10" ht="15.75" customHeight="1" x14ac:dyDescent="0.25">
      <c r="D508" s="114"/>
      <c r="F508" s="114"/>
      <c r="H508" s="114"/>
      <c r="J508" s="114"/>
    </row>
    <row r="509" spans="4:10" ht="15.75" customHeight="1" x14ac:dyDescent="0.25">
      <c r="D509" s="114"/>
      <c r="F509" s="114"/>
      <c r="H509" s="114"/>
      <c r="J509" s="114"/>
    </row>
    <row r="510" spans="4:10" ht="15.75" customHeight="1" x14ac:dyDescent="0.25">
      <c r="D510" s="114"/>
      <c r="F510" s="114"/>
      <c r="H510" s="114"/>
      <c r="J510" s="114"/>
    </row>
    <row r="511" spans="4:10" ht="15.75" customHeight="1" x14ac:dyDescent="0.25">
      <c r="D511" s="114"/>
      <c r="F511" s="114"/>
      <c r="H511" s="114"/>
      <c r="J511" s="114"/>
    </row>
    <row r="512" spans="4:10" ht="15.75" customHeight="1" x14ac:dyDescent="0.25">
      <c r="D512" s="114"/>
      <c r="F512" s="114"/>
      <c r="H512" s="114"/>
      <c r="J512" s="114"/>
    </row>
    <row r="513" spans="4:10" ht="15.75" customHeight="1" x14ac:dyDescent="0.25">
      <c r="D513" s="114"/>
      <c r="F513" s="114"/>
      <c r="H513" s="114"/>
      <c r="J513" s="114"/>
    </row>
    <row r="514" spans="4:10" ht="15.75" customHeight="1" x14ac:dyDescent="0.25">
      <c r="D514" s="114"/>
      <c r="F514" s="114"/>
      <c r="H514" s="114"/>
      <c r="J514" s="114"/>
    </row>
    <row r="515" spans="4:10" ht="15.75" customHeight="1" x14ac:dyDescent="0.25">
      <c r="D515" s="114"/>
      <c r="F515" s="114"/>
      <c r="H515" s="114"/>
      <c r="J515" s="114"/>
    </row>
    <row r="516" spans="4:10" ht="15.75" customHeight="1" x14ac:dyDescent="0.25">
      <c r="D516" s="114"/>
      <c r="F516" s="114"/>
      <c r="H516" s="114"/>
      <c r="J516" s="114"/>
    </row>
    <row r="517" spans="4:10" ht="15.75" customHeight="1" x14ac:dyDescent="0.25">
      <c r="D517" s="114"/>
      <c r="F517" s="114"/>
      <c r="H517" s="114"/>
      <c r="J517" s="114"/>
    </row>
    <row r="518" spans="4:10" ht="15.75" customHeight="1" x14ac:dyDescent="0.25">
      <c r="D518" s="114"/>
      <c r="F518" s="114"/>
      <c r="H518" s="114"/>
      <c r="J518" s="114"/>
    </row>
    <row r="519" spans="4:10" ht="15.75" customHeight="1" x14ac:dyDescent="0.25">
      <c r="D519" s="114"/>
      <c r="F519" s="114"/>
      <c r="H519" s="114"/>
      <c r="J519" s="114"/>
    </row>
    <row r="520" spans="4:10" ht="15.75" customHeight="1" x14ac:dyDescent="0.25">
      <c r="D520" s="114"/>
      <c r="F520" s="114"/>
      <c r="H520" s="114"/>
      <c r="J520" s="114"/>
    </row>
    <row r="521" spans="4:10" ht="15.75" customHeight="1" x14ac:dyDescent="0.25">
      <c r="D521" s="114"/>
      <c r="F521" s="114"/>
      <c r="H521" s="114"/>
      <c r="J521" s="114"/>
    </row>
    <row r="522" spans="4:10" ht="15.75" customHeight="1" x14ac:dyDescent="0.25">
      <c r="D522" s="114"/>
      <c r="F522" s="114"/>
      <c r="H522" s="114"/>
      <c r="J522" s="114"/>
    </row>
    <row r="523" spans="4:10" ht="15.75" customHeight="1" x14ac:dyDescent="0.25">
      <c r="D523" s="114"/>
      <c r="F523" s="114"/>
      <c r="H523" s="114"/>
      <c r="J523" s="114"/>
    </row>
    <row r="524" spans="4:10" ht="15.75" customHeight="1" x14ac:dyDescent="0.25">
      <c r="D524" s="114"/>
      <c r="F524" s="114"/>
      <c r="H524" s="114"/>
      <c r="J524" s="114"/>
    </row>
    <row r="525" spans="4:10" ht="15.75" customHeight="1" x14ac:dyDescent="0.25">
      <c r="D525" s="114"/>
      <c r="F525" s="114"/>
      <c r="H525" s="114"/>
      <c r="J525" s="114"/>
    </row>
    <row r="526" spans="4:10" ht="15.75" customHeight="1" x14ac:dyDescent="0.25">
      <c r="D526" s="114"/>
      <c r="F526" s="114"/>
      <c r="H526" s="114"/>
      <c r="J526" s="114"/>
    </row>
    <row r="527" spans="4:10" ht="15.75" customHeight="1" x14ac:dyDescent="0.25">
      <c r="D527" s="114"/>
      <c r="F527" s="114"/>
      <c r="H527" s="114"/>
      <c r="J527" s="114"/>
    </row>
    <row r="528" spans="4:10" ht="15.75" customHeight="1" x14ac:dyDescent="0.25">
      <c r="D528" s="114"/>
      <c r="F528" s="114"/>
      <c r="H528" s="114"/>
      <c r="J528" s="114"/>
    </row>
    <row r="529" spans="4:10" ht="15.75" customHeight="1" x14ac:dyDescent="0.25">
      <c r="D529" s="114"/>
      <c r="F529" s="114"/>
      <c r="H529" s="114"/>
      <c r="J529" s="114"/>
    </row>
    <row r="530" spans="4:10" ht="15.75" customHeight="1" x14ac:dyDescent="0.25">
      <c r="D530" s="114"/>
      <c r="F530" s="114"/>
      <c r="H530" s="114"/>
      <c r="J530" s="114"/>
    </row>
    <row r="531" spans="4:10" ht="15.75" customHeight="1" x14ac:dyDescent="0.25">
      <c r="D531" s="114"/>
      <c r="F531" s="114"/>
      <c r="H531" s="114"/>
      <c r="J531" s="114"/>
    </row>
    <row r="532" spans="4:10" ht="15.75" customHeight="1" x14ac:dyDescent="0.25">
      <c r="D532" s="114"/>
      <c r="F532" s="114"/>
      <c r="H532" s="114"/>
      <c r="J532" s="114"/>
    </row>
    <row r="533" spans="4:10" ht="15.75" customHeight="1" x14ac:dyDescent="0.25">
      <c r="D533" s="114"/>
      <c r="F533" s="114"/>
      <c r="H533" s="114"/>
      <c r="J533" s="114"/>
    </row>
    <row r="534" spans="4:10" ht="15.75" customHeight="1" x14ac:dyDescent="0.25">
      <c r="D534" s="114"/>
      <c r="F534" s="114"/>
      <c r="H534" s="114"/>
      <c r="J534" s="114"/>
    </row>
    <row r="535" spans="4:10" ht="15.75" customHeight="1" x14ac:dyDescent="0.25">
      <c r="D535" s="114"/>
      <c r="F535" s="114"/>
      <c r="H535" s="114"/>
      <c r="J535" s="114"/>
    </row>
    <row r="536" spans="4:10" ht="15.75" customHeight="1" x14ac:dyDescent="0.25">
      <c r="D536" s="114"/>
      <c r="F536" s="114"/>
      <c r="H536" s="114"/>
      <c r="J536" s="114"/>
    </row>
    <row r="537" spans="4:10" ht="15.75" customHeight="1" x14ac:dyDescent="0.25">
      <c r="D537" s="114"/>
      <c r="F537" s="114"/>
      <c r="H537" s="114"/>
      <c r="J537" s="114"/>
    </row>
    <row r="538" spans="4:10" ht="15.75" customHeight="1" x14ac:dyDescent="0.25">
      <c r="D538" s="114"/>
      <c r="F538" s="114"/>
      <c r="H538" s="114"/>
      <c r="J538" s="114"/>
    </row>
    <row r="539" spans="4:10" ht="15.75" customHeight="1" x14ac:dyDescent="0.25">
      <c r="D539" s="114"/>
      <c r="F539" s="114"/>
      <c r="H539" s="114"/>
      <c r="J539" s="114"/>
    </row>
    <row r="540" spans="4:10" ht="15.75" customHeight="1" x14ac:dyDescent="0.25">
      <c r="D540" s="114"/>
      <c r="F540" s="114"/>
      <c r="H540" s="114"/>
      <c r="J540" s="114"/>
    </row>
    <row r="541" spans="4:10" ht="15.75" customHeight="1" x14ac:dyDescent="0.25">
      <c r="D541" s="114"/>
      <c r="F541" s="114"/>
      <c r="H541" s="114"/>
      <c r="J541" s="114"/>
    </row>
    <row r="542" spans="4:10" ht="15.75" customHeight="1" x14ac:dyDescent="0.25">
      <c r="D542" s="114"/>
      <c r="F542" s="114"/>
      <c r="H542" s="114"/>
      <c r="J542" s="114"/>
    </row>
    <row r="543" spans="4:10" ht="15.75" customHeight="1" x14ac:dyDescent="0.25">
      <c r="D543" s="114"/>
      <c r="F543" s="114"/>
      <c r="H543" s="114"/>
      <c r="J543" s="114"/>
    </row>
    <row r="544" spans="4:10" ht="15.75" customHeight="1" x14ac:dyDescent="0.25">
      <c r="D544" s="114"/>
      <c r="F544" s="114"/>
      <c r="H544" s="114"/>
      <c r="J544" s="114"/>
    </row>
    <row r="545" spans="4:10" ht="15.75" customHeight="1" x14ac:dyDescent="0.25">
      <c r="D545" s="114"/>
      <c r="F545" s="114"/>
      <c r="H545" s="114"/>
      <c r="J545" s="114"/>
    </row>
    <row r="546" spans="4:10" ht="15.75" customHeight="1" x14ac:dyDescent="0.25">
      <c r="D546" s="114"/>
      <c r="F546" s="114"/>
      <c r="H546" s="114"/>
      <c r="J546" s="114"/>
    </row>
    <row r="547" spans="4:10" ht="15.75" customHeight="1" x14ac:dyDescent="0.25">
      <c r="D547" s="114"/>
      <c r="F547" s="114"/>
      <c r="H547" s="114"/>
      <c r="J547" s="114"/>
    </row>
    <row r="548" spans="4:10" ht="15.75" customHeight="1" x14ac:dyDescent="0.25">
      <c r="D548" s="114"/>
      <c r="F548" s="114"/>
      <c r="H548" s="114"/>
      <c r="J548" s="114"/>
    </row>
    <row r="549" spans="4:10" ht="15.75" customHeight="1" x14ac:dyDescent="0.25">
      <c r="D549" s="114"/>
      <c r="F549" s="114"/>
      <c r="H549" s="114"/>
      <c r="J549" s="114"/>
    </row>
    <row r="550" spans="4:10" ht="15.75" customHeight="1" x14ac:dyDescent="0.25">
      <c r="D550" s="114"/>
      <c r="F550" s="114"/>
      <c r="H550" s="114"/>
      <c r="J550" s="114"/>
    </row>
    <row r="551" spans="4:10" ht="15.75" customHeight="1" x14ac:dyDescent="0.25">
      <c r="D551" s="114"/>
      <c r="F551" s="114"/>
      <c r="H551" s="114"/>
      <c r="J551" s="114"/>
    </row>
    <row r="552" spans="4:10" ht="15.75" customHeight="1" x14ac:dyDescent="0.25">
      <c r="D552" s="114"/>
      <c r="F552" s="114"/>
      <c r="H552" s="114"/>
      <c r="J552" s="114"/>
    </row>
    <row r="553" spans="4:10" ht="15.75" customHeight="1" x14ac:dyDescent="0.25">
      <c r="D553" s="114"/>
      <c r="F553" s="114"/>
      <c r="H553" s="114"/>
      <c r="J553" s="114"/>
    </row>
    <row r="554" spans="4:10" ht="15.75" customHeight="1" x14ac:dyDescent="0.25">
      <c r="D554" s="114"/>
      <c r="F554" s="114"/>
      <c r="H554" s="114"/>
      <c r="J554" s="114"/>
    </row>
    <row r="555" spans="4:10" ht="15.75" customHeight="1" x14ac:dyDescent="0.25">
      <c r="D555" s="114"/>
      <c r="F555" s="114"/>
      <c r="H555" s="114"/>
      <c r="J555" s="114"/>
    </row>
    <row r="556" spans="4:10" ht="15.75" customHeight="1" x14ac:dyDescent="0.25">
      <c r="D556" s="114"/>
      <c r="F556" s="114"/>
      <c r="H556" s="114"/>
      <c r="J556" s="114"/>
    </row>
    <row r="557" spans="4:10" ht="15.75" customHeight="1" x14ac:dyDescent="0.25">
      <c r="D557" s="114"/>
      <c r="F557" s="114"/>
      <c r="H557" s="114"/>
      <c r="J557" s="114"/>
    </row>
    <row r="558" spans="4:10" ht="15.75" customHeight="1" x14ac:dyDescent="0.25">
      <c r="D558" s="114"/>
      <c r="F558" s="114"/>
      <c r="H558" s="114"/>
      <c r="J558" s="114"/>
    </row>
    <row r="559" spans="4:10" ht="15.75" customHeight="1" x14ac:dyDescent="0.25">
      <c r="D559" s="114"/>
      <c r="F559" s="114"/>
      <c r="H559" s="114"/>
      <c r="J559" s="114"/>
    </row>
    <row r="560" spans="4:10" ht="15.75" customHeight="1" x14ac:dyDescent="0.25">
      <c r="D560" s="114"/>
      <c r="F560" s="114"/>
      <c r="H560" s="114"/>
      <c r="J560" s="114"/>
    </row>
    <row r="561" spans="4:10" ht="15.75" customHeight="1" x14ac:dyDescent="0.25">
      <c r="D561" s="114"/>
      <c r="F561" s="114"/>
      <c r="H561" s="114"/>
      <c r="J561" s="114"/>
    </row>
    <row r="562" spans="4:10" ht="15.75" customHeight="1" x14ac:dyDescent="0.25">
      <c r="D562" s="114"/>
      <c r="F562" s="114"/>
      <c r="H562" s="114"/>
      <c r="J562" s="114"/>
    </row>
    <row r="563" spans="4:10" ht="15.75" customHeight="1" x14ac:dyDescent="0.25">
      <c r="D563" s="114"/>
      <c r="F563" s="114"/>
      <c r="H563" s="114"/>
      <c r="J563" s="114"/>
    </row>
    <row r="564" spans="4:10" ht="15.75" customHeight="1" x14ac:dyDescent="0.25">
      <c r="D564" s="114"/>
      <c r="F564" s="114"/>
      <c r="H564" s="114"/>
      <c r="J564" s="114"/>
    </row>
    <row r="565" spans="4:10" ht="15.75" customHeight="1" x14ac:dyDescent="0.25">
      <c r="D565" s="114"/>
      <c r="F565" s="114"/>
      <c r="H565" s="114"/>
      <c r="J565" s="114"/>
    </row>
    <row r="566" spans="4:10" ht="15.75" customHeight="1" x14ac:dyDescent="0.25">
      <c r="D566" s="114"/>
      <c r="F566" s="114"/>
      <c r="H566" s="114"/>
      <c r="J566" s="114"/>
    </row>
    <row r="567" spans="4:10" ht="15.75" customHeight="1" x14ac:dyDescent="0.25">
      <c r="D567" s="114"/>
      <c r="F567" s="114"/>
      <c r="H567" s="114"/>
      <c r="J567" s="114"/>
    </row>
    <row r="568" spans="4:10" ht="15.75" customHeight="1" x14ac:dyDescent="0.25">
      <c r="D568" s="114"/>
      <c r="F568" s="114"/>
      <c r="H568" s="114"/>
      <c r="J568" s="114"/>
    </row>
    <row r="569" spans="4:10" ht="15.75" customHeight="1" x14ac:dyDescent="0.25">
      <c r="D569" s="114"/>
      <c r="F569" s="114"/>
      <c r="H569" s="114"/>
      <c r="J569" s="114"/>
    </row>
    <row r="570" spans="4:10" ht="15.75" customHeight="1" x14ac:dyDescent="0.25">
      <c r="D570" s="114"/>
      <c r="F570" s="114"/>
      <c r="H570" s="114"/>
      <c r="J570" s="114"/>
    </row>
    <row r="571" spans="4:10" ht="15.75" customHeight="1" x14ac:dyDescent="0.25">
      <c r="D571" s="114"/>
      <c r="F571" s="114"/>
      <c r="H571" s="114"/>
      <c r="J571" s="114"/>
    </row>
    <row r="572" spans="4:10" ht="15.75" customHeight="1" x14ac:dyDescent="0.25">
      <c r="D572" s="114"/>
      <c r="F572" s="114"/>
      <c r="H572" s="114"/>
      <c r="J572" s="114"/>
    </row>
    <row r="573" spans="4:10" ht="15.75" customHeight="1" x14ac:dyDescent="0.25">
      <c r="D573" s="114"/>
      <c r="F573" s="114"/>
      <c r="H573" s="114"/>
      <c r="J573" s="114"/>
    </row>
    <row r="574" spans="4:10" ht="15.75" customHeight="1" x14ac:dyDescent="0.25">
      <c r="D574" s="114"/>
      <c r="F574" s="114"/>
      <c r="H574" s="114"/>
      <c r="J574" s="114"/>
    </row>
    <row r="575" spans="4:10" ht="15.75" customHeight="1" x14ac:dyDescent="0.25">
      <c r="D575" s="114"/>
      <c r="F575" s="114"/>
      <c r="H575" s="114"/>
      <c r="J575" s="114"/>
    </row>
    <row r="576" spans="4:10" ht="15.75" customHeight="1" x14ac:dyDescent="0.25">
      <c r="D576" s="114"/>
      <c r="F576" s="114"/>
      <c r="H576" s="114"/>
      <c r="J576" s="114"/>
    </row>
    <row r="577" spans="4:10" ht="15.75" customHeight="1" x14ac:dyDescent="0.25">
      <c r="D577" s="114"/>
      <c r="F577" s="114"/>
      <c r="H577" s="114"/>
      <c r="J577" s="114"/>
    </row>
    <row r="578" spans="4:10" ht="15.75" customHeight="1" x14ac:dyDescent="0.25">
      <c r="D578" s="114"/>
      <c r="F578" s="114"/>
      <c r="H578" s="114"/>
      <c r="J578" s="114"/>
    </row>
    <row r="579" spans="4:10" ht="15.75" customHeight="1" x14ac:dyDescent="0.25">
      <c r="D579" s="114"/>
      <c r="F579" s="114"/>
      <c r="H579" s="114"/>
      <c r="J579" s="114"/>
    </row>
    <row r="580" spans="4:10" ht="15.75" customHeight="1" x14ac:dyDescent="0.25">
      <c r="D580" s="114"/>
      <c r="F580" s="114"/>
      <c r="H580" s="114"/>
      <c r="J580" s="114"/>
    </row>
    <row r="581" spans="4:10" ht="15.75" customHeight="1" x14ac:dyDescent="0.25">
      <c r="D581" s="114"/>
      <c r="F581" s="114"/>
      <c r="H581" s="114"/>
      <c r="J581" s="114"/>
    </row>
    <row r="582" spans="4:10" ht="15.75" customHeight="1" x14ac:dyDescent="0.25">
      <c r="D582" s="114"/>
      <c r="F582" s="114"/>
      <c r="H582" s="114"/>
      <c r="J582" s="114"/>
    </row>
    <row r="583" spans="4:10" ht="15.75" customHeight="1" x14ac:dyDescent="0.25">
      <c r="D583" s="114"/>
      <c r="F583" s="114"/>
      <c r="H583" s="114"/>
      <c r="J583" s="114"/>
    </row>
    <row r="584" spans="4:10" ht="15.75" customHeight="1" x14ac:dyDescent="0.25">
      <c r="D584" s="114"/>
      <c r="F584" s="114"/>
      <c r="H584" s="114"/>
      <c r="J584" s="114"/>
    </row>
    <row r="585" spans="4:10" ht="15.75" customHeight="1" x14ac:dyDescent="0.25">
      <c r="D585" s="114"/>
      <c r="F585" s="114"/>
      <c r="H585" s="114"/>
      <c r="J585" s="114"/>
    </row>
    <row r="586" spans="4:10" ht="15.75" customHeight="1" x14ac:dyDescent="0.25">
      <c r="D586" s="114"/>
      <c r="F586" s="114"/>
      <c r="H586" s="114"/>
      <c r="J586" s="114"/>
    </row>
    <row r="587" spans="4:10" ht="15.75" customHeight="1" x14ac:dyDescent="0.25">
      <c r="D587" s="114"/>
      <c r="F587" s="114"/>
      <c r="H587" s="114"/>
      <c r="J587" s="114"/>
    </row>
    <row r="588" spans="4:10" ht="15.75" customHeight="1" x14ac:dyDescent="0.25">
      <c r="D588" s="114"/>
      <c r="F588" s="114"/>
      <c r="H588" s="114"/>
      <c r="J588" s="114"/>
    </row>
    <row r="589" spans="4:10" ht="15.75" customHeight="1" x14ac:dyDescent="0.25">
      <c r="D589" s="114"/>
      <c r="F589" s="114"/>
      <c r="H589" s="114"/>
      <c r="J589" s="114"/>
    </row>
    <row r="590" spans="4:10" ht="15.75" customHeight="1" x14ac:dyDescent="0.25">
      <c r="D590" s="114"/>
      <c r="F590" s="114"/>
      <c r="H590" s="114"/>
      <c r="J590" s="114"/>
    </row>
    <row r="591" spans="4:10" ht="15.75" customHeight="1" x14ac:dyDescent="0.25">
      <c r="D591" s="114"/>
      <c r="F591" s="114"/>
      <c r="H591" s="114"/>
      <c r="J591" s="114"/>
    </row>
    <row r="592" spans="4:10" ht="15.75" customHeight="1" x14ac:dyDescent="0.25">
      <c r="D592" s="114"/>
      <c r="F592" s="114"/>
      <c r="H592" s="114"/>
      <c r="J592" s="114"/>
    </row>
    <row r="593" spans="4:10" ht="15.75" customHeight="1" x14ac:dyDescent="0.25">
      <c r="D593" s="114"/>
      <c r="F593" s="114"/>
      <c r="H593" s="114"/>
      <c r="J593" s="114"/>
    </row>
    <row r="594" spans="4:10" ht="15.75" customHeight="1" x14ac:dyDescent="0.25">
      <c r="D594" s="114"/>
      <c r="F594" s="114"/>
      <c r="H594" s="114"/>
      <c r="J594" s="114"/>
    </row>
    <row r="595" spans="4:10" ht="15.75" customHeight="1" x14ac:dyDescent="0.25">
      <c r="D595" s="114"/>
      <c r="F595" s="114"/>
      <c r="H595" s="114"/>
      <c r="J595" s="114"/>
    </row>
    <row r="596" spans="4:10" ht="15.75" customHeight="1" x14ac:dyDescent="0.25">
      <c r="D596" s="114"/>
      <c r="F596" s="114"/>
      <c r="H596" s="114"/>
      <c r="J596" s="114"/>
    </row>
    <row r="597" spans="4:10" ht="15.75" customHeight="1" x14ac:dyDescent="0.25">
      <c r="D597" s="114"/>
      <c r="F597" s="114"/>
      <c r="H597" s="114"/>
      <c r="J597" s="114"/>
    </row>
    <row r="598" spans="4:10" ht="15.75" customHeight="1" x14ac:dyDescent="0.25">
      <c r="D598" s="114"/>
      <c r="F598" s="114"/>
      <c r="H598" s="114"/>
      <c r="J598" s="114"/>
    </row>
    <row r="599" spans="4:10" ht="15.75" customHeight="1" x14ac:dyDescent="0.25">
      <c r="D599" s="114"/>
      <c r="F599" s="114"/>
      <c r="H599" s="114"/>
      <c r="J599" s="114"/>
    </row>
    <row r="600" spans="4:10" ht="15.75" customHeight="1" x14ac:dyDescent="0.25">
      <c r="D600" s="114"/>
      <c r="F600" s="114"/>
      <c r="H600" s="114"/>
      <c r="J600" s="114"/>
    </row>
    <row r="601" spans="4:10" ht="15.75" customHeight="1" x14ac:dyDescent="0.25">
      <c r="D601" s="114"/>
      <c r="F601" s="114"/>
      <c r="H601" s="114"/>
      <c r="J601" s="114"/>
    </row>
    <row r="602" spans="4:10" ht="15.75" customHeight="1" x14ac:dyDescent="0.25">
      <c r="D602" s="114"/>
      <c r="F602" s="114"/>
      <c r="H602" s="114"/>
      <c r="J602" s="114"/>
    </row>
    <row r="603" spans="4:10" ht="15.75" customHeight="1" x14ac:dyDescent="0.25">
      <c r="D603" s="114"/>
      <c r="F603" s="114"/>
      <c r="H603" s="114"/>
      <c r="J603" s="114"/>
    </row>
    <row r="604" spans="4:10" ht="15.75" customHeight="1" x14ac:dyDescent="0.25">
      <c r="D604" s="114"/>
      <c r="F604" s="114"/>
      <c r="H604" s="114"/>
      <c r="J604" s="114"/>
    </row>
    <row r="605" spans="4:10" ht="15.75" customHeight="1" x14ac:dyDescent="0.25">
      <c r="D605" s="114"/>
      <c r="F605" s="114"/>
      <c r="H605" s="114"/>
      <c r="J605" s="114"/>
    </row>
    <row r="606" spans="4:10" ht="15.75" customHeight="1" x14ac:dyDescent="0.25">
      <c r="D606" s="114"/>
      <c r="F606" s="114"/>
      <c r="H606" s="114"/>
      <c r="J606" s="114"/>
    </row>
    <row r="607" spans="4:10" ht="15.75" customHeight="1" x14ac:dyDescent="0.25">
      <c r="D607" s="114"/>
      <c r="F607" s="114"/>
      <c r="H607" s="114"/>
      <c r="J607" s="114"/>
    </row>
    <row r="608" spans="4:10" ht="15.75" customHeight="1" x14ac:dyDescent="0.25">
      <c r="D608" s="114"/>
      <c r="F608" s="114"/>
      <c r="H608" s="114"/>
      <c r="J608" s="114"/>
    </row>
    <row r="609" spans="4:10" ht="15.75" customHeight="1" x14ac:dyDescent="0.25">
      <c r="D609" s="114"/>
      <c r="F609" s="114"/>
      <c r="H609" s="114"/>
      <c r="J609" s="114"/>
    </row>
    <row r="610" spans="4:10" ht="15.75" customHeight="1" x14ac:dyDescent="0.25">
      <c r="D610" s="114"/>
      <c r="F610" s="114"/>
      <c r="H610" s="114"/>
      <c r="J610" s="114"/>
    </row>
    <row r="611" spans="4:10" ht="15.75" customHeight="1" x14ac:dyDescent="0.25">
      <c r="D611" s="114"/>
      <c r="F611" s="114"/>
      <c r="H611" s="114"/>
      <c r="J611" s="114"/>
    </row>
    <row r="612" spans="4:10" ht="15.75" customHeight="1" x14ac:dyDescent="0.25">
      <c r="D612" s="114"/>
      <c r="F612" s="114"/>
      <c r="H612" s="114"/>
      <c r="J612" s="114"/>
    </row>
    <row r="613" spans="4:10" ht="15.75" customHeight="1" x14ac:dyDescent="0.25">
      <c r="D613" s="114"/>
      <c r="F613" s="114"/>
      <c r="H613" s="114"/>
      <c r="J613" s="114"/>
    </row>
    <row r="614" spans="4:10" ht="15.75" customHeight="1" x14ac:dyDescent="0.25">
      <c r="D614" s="114"/>
      <c r="F614" s="114"/>
      <c r="H614" s="114"/>
      <c r="J614" s="114"/>
    </row>
    <row r="615" spans="4:10" ht="15.75" customHeight="1" x14ac:dyDescent="0.25">
      <c r="D615" s="114"/>
      <c r="F615" s="114"/>
      <c r="H615" s="114"/>
      <c r="J615" s="114"/>
    </row>
    <row r="616" spans="4:10" ht="15.75" customHeight="1" x14ac:dyDescent="0.25">
      <c r="D616" s="114"/>
      <c r="F616" s="114"/>
      <c r="H616" s="114"/>
      <c r="J616" s="114"/>
    </row>
    <row r="617" spans="4:10" ht="15.75" customHeight="1" x14ac:dyDescent="0.25">
      <c r="D617" s="114"/>
      <c r="F617" s="114"/>
      <c r="H617" s="114"/>
      <c r="J617" s="114"/>
    </row>
    <row r="618" spans="4:10" ht="15.75" customHeight="1" x14ac:dyDescent="0.25">
      <c r="D618" s="114"/>
      <c r="F618" s="114"/>
      <c r="H618" s="114"/>
      <c r="J618" s="114"/>
    </row>
    <row r="619" spans="4:10" ht="15.75" customHeight="1" x14ac:dyDescent="0.25">
      <c r="D619" s="114"/>
      <c r="F619" s="114"/>
      <c r="H619" s="114"/>
      <c r="J619" s="114"/>
    </row>
    <row r="620" spans="4:10" ht="15.75" customHeight="1" x14ac:dyDescent="0.25">
      <c r="D620" s="114"/>
      <c r="F620" s="114"/>
      <c r="H620" s="114"/>
      <c r="J620" s="114"/>
    </row>
    <row r="621" spans="4:10" ht="15.75" customHeight="1" x14ac:dyDescent="0.25">
      <c r="D621" s="114"/>
      <c r="F621" s="114"/>
      <c r="H621" s="114"/>
      <c r="J621" s="114"/>
    </row>
    <row r="622" spans="4:10" ht="15.75" customHeight="1" x14ac:dyDescent="0.25">
      <c r="D622" s="114"/>
      <c r="F622" s="114"/>
      <c r="H622" s="114"/>
      <c r="J622" s="114"/>
    </row>
    <row r="623" spans="4:10" ht="15.75" customHeight="1" x14ac:dyDescent="0.25">
      <c r="D623" s="114"/>
      <c r="F623" s="114"/>
      <c r="H623" s="114"/>
      <c r="J623" s="114"/>
    </row>
    <row r="624" spans="4:10" ht="15.75" customHeight="1" x14ac:dyDescent="0.25">
      <c r="D624" s="114"/>
      <c r="F624" s="114"/>
      <c r="H624" s="114"/>
      <c r="J624" s="114"/>
    </row>
    <row r="625" spans="4:10" ht="15.75" customHeight="1" x14ac:dyDescent="0.25">
      <c r="D625" s="114"/>
      <c r="F625" s="114"/>
      <c r="H625" s="114"/>
      <c r="J625" s="114"/>
    </row>
    <row r="626" spans="4:10" ht="15.75" customHeight="1" x14ac:dyDescent="0.25">
      <c r="D626" s="114"/>
      <c r="F626" s="114"/>
      <c r="H626" s="114"/>
      <c r="J626" s="114"/>
    </row>
    <row r="627" spans="4:10" ht="15.75" customHeight="1" x14ac:dyDescent="0.25">
      <c r="D627" s="114"/>
      <c r="F627" s="114"/>
      <c r="H627" s="114"/>
      <c r="J627" s="114"/>
    </row>
    <row r="628" spans="4:10" ht="15.75" customHeight="1" x14ac:dyDescent="0.25">
      <c r="D628" s="114"/>
      <c r="F628" s="114"/>
      <c r="H628" s="114"/>
      <c r="J628" s="114"/>
    </row>
    <row r="629" spans="4:10" ht="15.75" customHeight="1" x14ac:dyDescent="0.25">
      <c r="D629" s="114"/>
      <c r="F629" s="114"/>
      <c r="H629" s="114"/>
      <c r="J629" s="114"/>
    </row>
    <row r="630" spans="4:10" ht="15.75" customHeight="1" x14ac:dyDescent="0.25">
      <c r="D630" s="114"/>
      <c r="F630" s="114"/>
      <c r="H630" s="114"/>
      <c r="J630" s="114"/>
    </row>
    <row r="631" spans="4:10" ht="15.75" customHeight="1" x14ac:dyDescent="0.25">
      <c r="D631" s="114"/>
      <c r="F631" s="114"/>
      <c r="H631" s="114"/>
      <c r="J631" s="114"/>
    </row>
    <row r="632" spans="4:10" ht="15.75" customHeight="1" x14ac:dyDescent="0.25">
      <c r="D632" s="114"/>
      <c r="F632" s="114"/>
      <c r="H632" s="114"/>
      <c r="J632" s="114"/>
    </row>
    <row r="633" spans="4:10" ht="15.75" customHeight="1" x14ac:dyDescent="0.25">
      <c r="D633" s="114"/>
      <c r="F633" s="114"/>
      <c r="H633" s="114"/>
      <c r="J633" s="114"/>
    </row>
    <row r="634" spans="4:10" ht="15.75" customHeight="1" x14ac:dyDescent="0.25">
      <c r="D634" s="114"/>
      <c r="F634" s="114"/>
      <c r="H634" s="114"/>
      <c r="J634" s="114"/>
    </row>
    <row r="635" spans="4:10" ht="15.75" customHeight="1" x14ac:dyDescent="0.25">
      <c r="D635" s="114"/>
      <c r="F635" s="114"/>
      <c r="H635" s="114"/>
      <c r="J635" s="114"/>
    </row>
    <row r="636" spans="4:10" ht="15.75" customHeight="1" x14ac:dyDescent="0.25">
      <c r="D636" s="114"/>
      <c r="F636" s="114"/>
      <c r="H636" s="114"/>
      <c r="J636" s="114"/>
    </row>
    <row r="637" spans="4:10" ht="15.75" customHeight="1" x14ac:dyDescent="0.25">
      <c r="D637" s="114"/>
      <c r="F637" s="114"/>
      <c r="H637" s="114"/>
      <c r="J637" s="114"/>
    </row>
    <row r="638" spans="4:10" ht="15.75" customHeight="1" x14ac:dyDescent="0.25">
      <c r="D638" s="114"/>
      <c r="F638" s="114"/>
      <c r="H638" s="114"/>
      <c r="J638" s="114"/>
    </row>
    <row r="639" spans="4:10" ht="15.75" customHeight="1" x14ac:dyDescent="0.25">
      <c r="D639" s="114"/>
      <c r="F639" s="114"/>
      <c r="H639" s="114"/>
      <c r="J639" s="114"/>
    </row>
    <row r="640" spans="4:10" ht="15.75" customHeight="1" x14ac:dyDescent="0.25">
      <c r="D640" s="114"/>
      <c r="F640" s="114"/>
      <c r="H640" s="114"/>
      <c r="J640" s="114"/>
    </row>
    <row r="641" spans="4:10" ht="15.75" customHeight="1" x14ac:dyDescent="0.25">
      <c r="D641" s="114"/>
      <c r="F641" s="114"/>
      <c r="H641" s="114"/>
      <c r="J641" s="114"/>
    </row>
    <row r="642" spans="4:10" ht="15.75" customHeight="1" x14ac:dyDescent="0.25">
      <c r="D642" s="114"/>
      <c r="F642" s="114"/>
      <c r="H642" s="114"/>
      <c r="J642" s="114"/>
    </row>
    <row r="643" spans="4:10" ht="15.75" customHeight="1" x14ac:dyDescent="0.25">
      <c r="D643" s="114"/>
      <c r="F643" s="114"/>
      <c r="H643" s="114"/>
      <c r="J643" s="114"/>
    </row>
    <row r="644" spans="4:10" ht="15.75" customHeight="1" x14ac:dyDescent="0.25">
      <c r="D644" s="114"/>
      <c r="F644" s="114"/>
      <c r="H644" s="114"/>
      <c r="J644" s="114"/>
    </row>
    <row r="645" spans="4:10" ht="15.75" customHeight="1" x14ac:dyDescent="0.25">
      <c r="D645" s="114"/>
      <c r="F645" s="114"/>
      <c r="H645" s="114"/>
      <c r="J645" s="114"/>
    </row>
    <row r="646" spans="4:10" ht="15.75" customHeight="1" x14ac:dyDescent="0.25">
      <c r="D646" s="114"/>
      <c r="F646" s="114"/>
      <c r="H646" s="114"/>
      <c r="J646" s="114"/>
    </row>
    <row r="647" spans="4:10" ht="15.75" customHeight="1" x14ac:dyDescent="0.25">
      <c r="D647" s="114"/>
      <c r="F647" s="114"/>
      <c r="H647" s="114"/>
      <c r="J647" s="114"/>
    </row>
    <row r="648" spans="4:10" ht="15.75" customHeight="1" x14ac:dyDescent="0.25">
      <c r="D648" s="114"/>
      <c r="F648" s="114"/>
      <c r="H648" s="114"/>
      <c r="J648" s="114"/>
    </row>
    <row r="649" spans="4:10" ht="15.75" customHeight="1" x14ac:dyDescent="0.25">
      <c r="D649" s="114"/>
      <c r="F649" s="114"/>
      <c r="H649" s="114"/>
      <c r="J649" s="114"/>
    </row>
    <row r="650" spans="4:10" ht="15.75" customHeight="1" x14ac:dyDescent="0.25">
      <c r="D650" s="114"/>
      <c r="F650" s="114"/>
      <c r="H650" s="114"/>
      <c r="J650" s="114"/>
    </row>
    <row r="651" spans="4:10" ht="15.75" customHeight="1" x14ac:dyDescent="0.25">
      <c r="D651" s="114"/>
      <c r="F651" s="114"/>
      <c r="H651" s="114"/>
      <c r="J651" s="114"/>
    </row>
    <row r="652" spans="4:10" ht="15.75" customHeight="1" x14ac:dyDescent="0.25">
      <c r="D652" s="114"/>
      <c r="F652" s="114"/>
      <c r="H652" s="114"/>
      <c r="J652" s="114"/>
    </row>
    <row r="653" spans="4:10" ht="15.75" customHeight="1" x14ac:dyDescent="0.25">
      <c r="D653" s="114"/>
      <c r="F653" s="114"/>
      <c r="H653" s="114"/>
      <c r="J653" s="114"/>
    </row>
    <row r="654" spans="4:10" ht="15.75" customHeight="1" x14ac:dyDescent="0.25">
      <c r="D654" s="114"/>
      <c r="F654" s="114"/>
      <c r="H654" s="114"/>
      <c r="J654" s="114"/>
    </row>
    <row r="655" spans="4:10" ht="15.75" customHeight="1" x14ac:dyDescent="0.25">
      <c r="D655" s="114"/>
      <c r="F655" s="114"/>
      <c r="H655" s="114"/>
      <c r="J655" s="114"/>
    </row>
    <row r="656" spans="4:10" ht="15.75" customHeight="1" x14ac:dyDescent="0.25">
      <c r="D656" s="114"/>
      <c r="F656" s="114"/>
      <c r="H656" s="114"/>
      <c r="J656" s="114"/>
    </row>
    <row r="657" spans="4:10" ht="15.75" customHeight="1" x14ac:dyDescent="0.25">
      <c r="D657" s="114"/>
      <c r="F657" s="114"/>
      <c r="H657" s="114"/>
      <c r="J657" s="114"/>
    </row>
    <row r="658" spans="4:10" ht="15.75" customHeight="1" x14ac:dyDescent="0.25">
      <c r="D658" s="114"/>
      <c r="F658" s="114"/>
      <c r="H658" s="114"/>
      <c r="J658" s="114"/>
    </row>
    <row r="659" spans="4:10" ht="15.75" customHeight="1" x14ac:dyDescent="0.25">
      <c r="D659" s="114"/>
      <c r="F659" s="114"/>
      <c r="H659" s="114"/>
      <c r="J659" s="114"/>
    </row>
    <row r="660" spans="4:10" ht="15.75" customHeight="1" x14ac:dyDescent="0.25">
      <c r="D660" s="114"/>
      <c r="F660" s="114"/>
      <c r="H660" s="114"/>
      <c r="J660" s="114"/>
    </row>
    <row r="661" spans="4:10" ht="15.75" customHeight="1" x14ac:dyDescent="0.25">
      <c r="D661" s="114"/>
      <c r="F661" s="114"/>
      <c r="H661" s="114"/>
      <c r="J661" s="114"/>
    </row>
    <row r="662" spans="4:10" ht="15.75" customHeight="1" x14ac:dyDescent="0.25">
      <c r="D662" s="114"/>
      <c r="F662" s="114"/>
      <c r="H662" s="114"/>
      <c r="J662" s="114"/>
    </row>
    <row r="663" spans="4:10" ht="15.75" customHeight="1" x14ac:dyDescent="0.25">
      <c r="D663" s="114"/>
      <c r="F663" s="114"/>
      <c r="H663" s="114"/>
      <c r="J663" s="114"/>
    </row>
    <row r="664" spans="4:10" ht="15.75" customHeight="1" x14ac:dyDescent="0.25">
      <c r="D664" s="114"/>
      <c r="F664" s="114"/>
      <c r="H664" s="114"/>
      <c r="J664" s="114"/>
    </row>
    <row r="665" spans="4:10" ht="15.75" customHeight="1" x14ac:dyDescent="0.25">
      <c r="D665" s="114"/>
      <c r="F665" s="114"/>
      <c r="H665" s="114"/>
      <c r="J665" s="114"/>
    </row>
    <row r="666" spans="4:10" ht="15.75" customHeight="1" x14ac:dyDescent="0.25">
      <c r="D666" s="114"/>
      <c r="F666" s="114"/>
      <c r="H666" s="114"/>
      <c r="J666" s="114"/>
    </row>
    <row r="667" spans="4:10" ht="15.75" customHeight="1" x14ac:dyDescent="0.25">
      <c r="D667" s="114"/>
      <c r="F667" s="114"/>
      <c r="H667" s="114"/>
      <c r="J667" s="114"/>
    </row>
    <row r="668" spans="4:10" ht="15.75" customHeight="1" x14ac:dyDescent="0.25">
      <c r="D668" s="114"/>
      <c r="F668" s="114"/>
      <c r="H668" s="114"/>
      <c r="J668" s="114"/>
    </row>
    <row r="669" spans="4:10" ht="15.75" customHeight="1" x14ac:dyDescent="0.25">
      <c r="D669" s="114"/>
      <c r="F669" s="114"/>
      <c r="H669" s="114"/>
      <c r="J669" s="114"/>
    </row>
    <row r="670" spans="4:10" ht="15.75" customHeight="1" x14ac:dyDescent="0.25">
      <c r="D670" s="114"/>
      <c r="F670" s="114"/>
      <c r="H670" s="114"/>
      <c r="J670" s="114"/>
    </row>
    <row r="671" spans="4:10" ht="15.75" customHeight="1" x14ac:dyDescent="0.25">
      <c r="D671" s="114"/>
      <c r="F671" s="114"/>
      <c r="H671" s="114"/>
      <c r="J671" s="114"/>
    </row>
    <row r="672" spans="4:10" ht="15.75" customHeight="1" x14ac:dyDescent="0.25">
      <c r="D672" s="114"/>
      <c r="F672" s="114"/>
      <c r="H672" s="114"/>
      <c r="J672" s="114"/>
    </row>
    <row r="673" spans="4:10" ht="15.75" customHeight="1" x14ac:dyDescent="0.25">
      <c r="D673" s="114"/>
      <c r="F673" s="114"/>
      <c r="H673" s="114"/>
      <c r="J673" s="114"/>
    </row>
    <row r="674" spans="4:10" ht="15.75" customHeight="1" x14ac:dyDescent="0.25">
      <c r="D674" s="114"/>
      <c r="F674" s="114"/>
      <c r="H674" s="114"/>
      <c r="J674" s="114"/>
    </row>
    <row r="675" spans="4:10" ht="15.75" customHeight="1" x14ac:dyDescent="0.25">
      <c r="D675" s="114"/>
      <c r="F675" s="114"/>
      <c r="H675" s="114"/>
      <c r="J675" s="114"/>
    </row>
    <row r="676" spans="4:10" ht="15.75" customHeight="1" x14ac:dyDescent="0.25">
      <c r="D676" s="114"/>
      <c r="F676" s="114"/>
      <c r="H676" s="114"/>
      <c r="J676" s="114"/>
    </row>
    <row r="677" spans="4:10" ht="15.75" customHeight="1" x14ac:dyDescent="0.25">
      <c r="D677" s="114"/>
      <c r="F677" s="114"/>
      <c r="H677" s="114"/>
      <c r="J677" s="114"/>
    </row>
    <row r="678" spans="4:10" ht="15.75" customHeight="1" x14ac:dyDescent="0.25">
      <c r="D678" s="114"/>
      <c r="F678" s="114"/>
      <c r="H678" s="114"/>
      <c r="J678" s="114"/>
    </row>
    <row r="679" spans="4:10" ht="15.75" customHeight="1" x14ac:dyDescent="0.25">
      <c r="D679" s="114"/>
      <c r="F679" s="114"/>
      <c r="H679" s="114"/>
      <c r="J679" s="114"/>
    </row>
    <row r="680" spans="4:10" ht="15.75" customHeight="1" x14ac:dyDescent="0.25">
      <c r="D680" s="114"/>
      <c r="F680" s="114"/>
      <c r="H680" s="114"/>
      <c r="J680" s="114"/>
    </row>
    <row r="681" spans="4:10" ht="15.75" customHeight="1" x14ac:dyDescent="0.25">
      <c r="D681" s="114"/>
      <c r="F681" s="114"/>
      <c r="H681" s="114"/>
      <c r="J681" s="114"/>
    </row>
    <row r="682" spans="4:10" ht="15.75" customHeight="1" x14ac:dyDescent="0.25">
      <c r="D682" s="114"/>
      <c r="F682" s="114"/>
      <c r="H682" s="114"/>
      <c r="J682" s="114"/>
    </row>
    <row r="683" spans="4:10" ht="15.75" customHeight="1" x14ac:dyDescent="0.25">
      <c r="D683" s="114"/>
      <c r="F683" s="114"/>
      <c r="H683" s="114"/>
      <c r="J683" s="114"/>
    </row>
    <row r="684" spans="4:10" ht="15.75" customHeight="1" x14ac:dyDescent="0.25">
      <c r="D684" s="114"/>
      <c r="F684" s="114"/>
      <c r="H684" s="114"/>
      <c r="J684" s="114"/>
    </row>
    <row r="685" spans="4:10" ht="15.75" customHeight="1" x14ac:dyDescent="0.25">
      <c r="D685" s="114"/>
      <c r="F685" s="114"/>
      <c r="H685" s="114"/>
      <c r="J685" s="114"/>
    </row>
    <row r="686" spans="4:10" ht="15.75" customHeight="1" x14ac:dyDescent="0.25">
      <c r="D686" s="114"/>
      <c r="F686" s="114"/>
      <c r="H686" s="114"/>
      <c r="J686" s="114"/>
    </row>
    <row r="687" spans="4:10" ht="15.75" customHeight="1" x14ac:dyDescent="0.25">
      <c r="D687" s="114"/>
      <c r="F687" s="114"/>
      <c r="H687" s="114"/>
      <c r="J687" s="114"/>
    </row>
    <row r="688" spans="4:10" ht="15.75" customHeight="1" x14ac:dyDescent="0.25">
      <c r="D688" s="114"/>
      <c r="F688" s="114"/>
      <c r="H688" s="114"/>
      <c r="J688" s="114"/>
    </row>
    <row r="689" spans="4:10" ht="15.75" customHeight="1" x14ac:dyDescent="0.25">
      <c r="D689" s="114"/>
      <c r="F689" s="114"/>
      <c r="H689" s="114"/>
      <c r="J689" s="114"/>
    </row>
    <row r="690" spans="4:10" ht="15.75" customHeight="1" x14ac:dyDescent="0.25">
      <c r="D690" s="114"/>
      <c r="F690" s="114"/>
      <c r="H690" s="114"/>
      <c r="J690" s="114"/>
    </row>
    <row r="691" spans="4:10" ht="15.75" customHeight="1" x14ac:dyDescent="0.25">
      <c r="D691" s="114"/>
      <c r="F691" s="114"/>
      <c r="H691" s="114"/>
      <c r="J691" s="114"/>
    </row>
    <row r="692" spans="4:10" ht="15.75" customHeight="1" x14ac:dyDescent="0.25">
      <c r="D692" s="114"/>
      <c r="F692" s="114"/>
      <c r="H692" s="114"/>
      <c r="J692" s="114"/>
    </row>
    <row r="693" spans="4:10" ht="15.75" customHeight="1" x14ac:dyDescent="0.25">
      <c r="D693" s="114"/>
      <c r="F693" s="114"/>
      <c r="H693" s="114"/>
      <c r="J693" s="114"/>
    </row>
    <row r="694" spans="4:10" ht="15.75" customHeight="1" x14ac:dyDescent="0.25">
      <c r="D694" s="114"/>
      <c r="F694" s="114"/>
      <c r="H694" s="114"/>
      <c r="J694" s="114"/>
    </row>
    <row r="695" spans="4:10" ht="15.75" customHeight="1" x14ac:dyDescent="0.25">
      <c r="D695" s="114"/>
      <c r="F695" s="114"/>
      <c r="H695" s="114"/>
      <c r="J695" s="114"/>
    </row>
    <row r="696" spans="4:10" ht="15.75" customHeight="1" x14ac:dyDescent="0.25">
      <c r="D696" s="114"/>
      <c r="F696" s="114"/>
      <c r="H696" s="114"/>
      <c r="J696" s="114"/>
    </row>
    <row r="697" spans="4:10" ht="15.75" customHeight="1" x14ac:dyDescent="0.25">
      <c r="D697" s="114"/>
      <c r="F697" s="114"/>
      <c r="H697" s="114"/>
      <c r="J697" s="114"/>
    </row>
    <row r="698" spans="4:10" ht="15.75" customHeight="1" x14ac:dyDescent="0.25">
      <c r="D698" s="114"/>
      <c r="F698" s="114"/>
      <c r="H698" s="114"/>
      <c r="J698" s="114"/>
    </row>
    <row r="699" spans="4:10" ht="15.75" customHeight="1" x14ac:dyDescent="0.25">
      <c r="D699" s="114"/>
      <c r="F699" s="114"/>
      <c r="H699" s="114"/>
      <c r="J699" s="114"/>
    </row>
    <row r="700" spans="4:10" ht="15.75" customHeight="1" x14ac:dyDescent="0.25">
      <c r="D700" s="114"/>
      <c r="F700" s="114"/>
      <c r="H700" s="114"/>
      <c r="J700" s="114"/>
    </row>
    <row r="701" spans="4:10" ht="15.75" customHeight="1" x14ac:dyDescent="0.25">
      <c r="D701" s="114"/>
      <c r="F701" s="114"/>
      <c r="H701" s="114"/>
      <c r="J701" s="114"/>
    </row>
    <row r="702" spans="4:10" ht="15.75" customHeight="1" x14ac:dyDescent="0.25">
      <c r="D702" s="114"/>
      <c r="F702" s="114"/>
      <c r="H702" s="114"/>
      <c r="J702" s="114"/>
    </row>
    <row r="703" spans="4:10" ht="15.75" customHeight="1" x14ac:dyDescent="0.25">
      <c r="D703" s="114"/>
      <c r="F703" s="114"/>
      <c r="H703" s="114"/>
      <c r="J703" s="114"/>
    </row>
    <row r="704" spans="4:10" ht="15.75" customHeight="1" x14ac:dyDescent="0.25">
      <c r="D704" s="114"/>
      <c r="F704" s="114"/>
      <c r="H704" s="114"/>
      <c r="J704" s="114"/>
    </row>
    <row r="705" spans="4:10" ht="15.75" customHeight="1" x14ac:dyDescent="0.25">
      <c r="D705" s="114"/>
      <c r="F705" s="114"/>
      <c r="H705" s="114"/>
      <c r="J705" s="114"/>
    </row>
    <row r="706" spans="4:10" ht="15.75" customHeight="1" x14ac:dyDescent="0.25">
      <c r="D706" s="114"/>
      <c r="F706" s="114"/>
      <c r="H706" s="114"/>
      <c r="J706" s="114"/>
    </row>
    <row r="707" spans="4:10" ht="15.75" customHeight="1" x14ac:dyDescent="0.25">
      <c r="D707" s="114"/>
      <c r="F707" s="114"/>
      <c r="H707" s="114"/>
      <c r="J707" s="114"/>
    </row>
    <row r="708" spans="4:10" ht="15.75" customHeight="1" x14ac:dyDescent="0.25">
      <c r="D708" s="114"/>
      <c r="F708" s="114"/>
      <c r="H708" s="114"/>
      <c r="J708" s="114"/>
    </row>
    <row r="709" spans="4:10" ht="15.75" customHeight="1" x14ac:dyDescent="0.25">
      <c r="D709" s="114"/>
      <c r="F709" s="114"/>
      <c r="H709" s="114"/>
      <c r="J709" s="114"/>
    </row>
    <row r="710" spans="4:10" ht="15.75" customHeight="1" x14ac:dyDescent="0.25">
      <c r="D710" s="114"/>
      <c r="F710" s="114"/>
      <c r="H710" s="114"/>
      <c r="J710" s="114"/>
    </row>
    <row r="711" spans="4:10" ht="15.75" customHeight="1" x14ac:dyDescent="0.25">
      <c r="D711" s="114"/>
      <c r="F711" s="114"/>
      <c r="H711" s="114"/>
      <c r="J711" s="114"/>
    </row>
    <row r="712" spans="4:10" ht="15.75" customHeight="1" x14ac:dyDescent="0.25">
      <c r="D712" s="114"/>
      <c r="F712" s="114"/>
      <c r="H712" s="114"/>
      <c r="J712" s="114"/>
    </row>
    <row r="713" spans="4:10" ht="15.75" customHeight="1" x14ac:dyDescent="0.25">
      <c r="D713" s="114"/>
      <c r="F713" s="114"/>
      <c r="H713" s="114"/>
      <c r="J713" s="114"/>
    </row>
    <row r="714" spans="4:10" ht="15.75" customHeight="1" x14ac:dyDescent="0.25">
      <c r="D714" s="114"/>
      <c r="F714" s="114"/>
      <c r="H714" s="114"/>
      <c r="J714" s="114"/>
    </row>
    <row r="715" spans="4:10" ht="15.75" customHeight="1" x14ac:dyDescent="0.25">
      <c r="D715" s="114"/>
      <c r="F715" s="114"/>
      <c r="H715" s="114"/>
      <c r="J715" s="114"/>
    </row>
    <row r="716" spans="4:10" ht="15.75" customHeight="1" x14ac:dyDescent="0.25">
      <c r="D716" s="114"/>
      <c r="F716" s="114"/>
      <c r="H716" s="114"/>
      <c r="J716" s="114"/>
    </row>
    <row r="717" spans="4:10" ht="15.75" customHeight="1" x14ac:dyDescent="0.25">
      <c r="D717" s="114"/>
      <c r="F717" s="114"/>
      <c r="H717" s="114"/>
      <c r="J717" s="114"/>
    </row>
    <row r="718" spans="4:10" ht="15.75" customHeight="1" x14ac:dyDescent="0.25">
      <c r="D718" s="114"/>
      <c r="F718" s="114"/>
      <c r="H718" s="114"/>
      <c r="J718" s="114"/>
    </row>
    <row r="719" spans="4:10" ht="15.75" customHeight="1" x14ac:dyDescent="0.25">
      <c r="D719" s="114"/>
      <c r="F719" s="114"/>
      <c r="H719" s="114"/>
      <c r="J719" s="114"/>
    </row>
    <row r="720" spans="4:10" ht="15.75" customHeight="1" x14ac:dyDescent="0.25">
      <c r="D720" s="114"/>
      <c r="F720" s="114"/>
      <c r="H720" s="114"/>
      <c r="J720" s="114"/>
    </row>
    <row r="721" spans="4:10" ht="15.75" customHeight="1" x14ac:dyDescent="0.25">
      <c r="D721" s="114"/>
      <c r="F721" s="114"/>
      <c r="H721" s="114"/>
      <c r="J721" s="114"/>
    </row>
    <row r="722" spans="4:10" ht="15.75" customHeight="1" x14ac:dyDescent="0.25">
      <c r="D722" s="114"/>
      <c r="F722" s="114"/>
      <c r="H722" s="114"/>
      <c r="J722" s="114"/>
    </row>
    <row r="723" spans="4:10" ht="15.75" customHeight="1" x14ac:dyDescent="0.25">
      <c r="D723" s="114"/>
      <c r="F723" s="114"/>
      <c r="H723" s="114"/>
      <c r="J723" s="114"/>
    </row>
    <row r="724" spans="4:10" ht="15.75" customHeight="1" x14ac:dyDescent="0.25">
      <c r="D724" s="114"/>
      <c r="F724" s="114"/>
      <c r="H724" s="114"/>
      <c r="J724" s="114"/>
    </row>
    <row r="725" spans="4:10" ht="15.75" customHeight="1" x14ac:dyDescent="0.25">
      <c r="D725" s="114"/>
      <c r="F725" s="114"/>
      <c r="H725" s="114"/>
      <c r="J725" s="114"/>
    </row>
    <row r="726" spans="4:10" ht="15.75" customHeight="1" x14ac:dyDescent="0.25">
      <c r="D726" s="114"/>
      <c r="F726" s="114"/>
      <c r="H726" s="114"/>
      <c r="J726" s="114"/>
    </row>
    <row r="727" spans="4:10" ht="15.75" customHeight="1" x14ac:dyDescent="0.25">
      <c r="D727" s="114"/>
      <c r="F727" s="114"/>
      <c r="H727" s="114"/>
      <c r="J727" s="114"/>
    </row>
    <row r="728" spans="4:10" ht="15.75" customHeight="1" x14ac:dyDescent="0.25">
      <c r="D728" s="114"/>
      <c r="F728" s="114"/>
      <c r="H728" s="114"/>
      <c r="J728" s="114"/>
    </row>
    <row r="729" spans="4:10" ht="15.75" customHeight="1" x14ac:dyDescent="0.25">
      <c r="D729" s="114"/>
      <c r="F729" s="114"/>
      <c r="H729" s="114"/>
      <c r="J729" s="114"/>
    </row>
    <row r="730" spans="4:10" ht="15.75" customHeight="1" x14ac:dyDescent="0.25">
      <c r="D730" s="114"/>
      <c r="F730" s="114"/>
      <c r="H730" s="114"/>
      <c r="J730" s="114"/>
    </row>
    <row r="731" spans="4:10" ht="15.75" customHeight="1" x14ac:dyDescent="0.25">
      <c r="D731" s="114"/>
      <c r="F731" s="114"/>
      <c r="H731" s="114"/>
      <c r="J731" s="114"/>
    </row>
    <row r="732" spans="4:10" ht="15.75" customHeight="1" x14ac:dyDescent="0.25">
      <c r="D732" s="114"/>
      <c r="F732" s="114"/>
      <c r="H732" s="114"/>
      <c r="J732" s="114"/>
    </row>
    <row r="733" spans="4:10" ht="15.75" customHeight="1" x14ac:dyDescent="0.25">
      <c r="D733" s="114"/>
      <c r="F733" s="114"/>
      <c r="H733" s="114"/>
      <c r="J733" s="114"/>
    </row>
    <row r="734" spans="4:10" ht="15.75" customHeight="1" x14ac:dyDescent="0.25">
      <c r="D734" s="114"/>
      <c r="F734" s="114"/>
      <c r="H734" s="114"/>
      <c r="J734" s="114"/>
    </row>
    <row r="735" spans="4:10" ht="15.75" customHeight="1" x14ac:dyDescent="0.25">
      <c r="D735" s="114"/>
      <c r="F735" s="114"/>
      <c r="H735" s="114"/>
      <c r="J735" s="114"/>
    </row>
    <row r="736" spans="4:10" ht="15.75" customHeight="1" x14ac:dyDescent="0.25">
      <c r="D736" s="114"/>
      <c r="F736" s="114"/>
      <c r="H736" s="114"/>
      <c r="J736" s="114"/>
    </row>
    <row r="737" spans="4:10" ht="15.75" customHeight="1" x14ac:dyDescent="0.25">
      <c r="D737" s="114"/>
      <c r="F737" s="114"/>
      <c r="H737" s="114"/>
      <c r="J737" s="114"/>
    </row>
    <row r="738" spans="4:10" ht="15.75" customHeight="1" x14ac:dyDescent="0.25">
      <c r="D738" s="114"/>
      <c r="F738" s="114"/>
      <c r="H738" s="114"/>
      <c r="J738" s="114"/>
    </row>
    <row r="739" spans="4:10" ht="15.75" customHeight="1" x14ac:dyDescent="0.25">
      <c r="D739" s="114"/>
      <c r="F739" s="114"/>
      <c r="H739" s="114"/>
      <c r="J739" s="114"/>
    </row>
    <row r="740" spans="4:10" ht="15.75" customHeight="1" x14ac:dyDescent="0.25">
      <c r="D740" s="114"/>
      <c r="F740" s="114"/>
      <c r="H740" s="114"/>
      <c r="J740" s="114"/>
    </row>
    <row r="741" spans="4:10" ht="15.75" customHeight="1" x14ac:dyDescent="0.25">
      <c r="D741" s="114"/>
      <c r="F741" s="114"/>
      <c r="H741" s="114"/>
      <c r="J741" s="114"/>
    </row>
    <row r="742" spans="4:10" ht="15.75" customHeight="1" x14ac:dyDescent="0.25">
      <c r="D742" s="114"/>
      <c r="F742" s="114"/>
      <c r="H742" s="114"/>
      <c r="J742" s="114"/>
    </row>
    <row r="743" spans="4:10" ht="15.75" customHeight="1" x14ac:dyDescent="0.25">
      <c r="D743" s="114"/>
      <c r="F743" s="114"/>
      <c r="H743" s="114"/>
      <c r="J743" s="114"/>
    </row>
    <row r="744" spans="4:10" ht="15.75" customHeight="1" x14ac:dyDescent="0.25">
      <c r="D744" s="114"/>
      <c r="F744" s="114"/>
      <c r="H744" s="114"/>
      <c r="J744" s="114"/>
    </row>
    <row r="745" spans="4:10" ht="15.75" customHeight="1" x14ac:dyDescent="0.25">
      <c r="D745" s="114"/>
      <c r="F745" s="114"/>
      <c r="H745" s="114"/>
      <c r="J745" s="114"/>
    </row>
    <row r="746" spans="4:10" ht="15.75" customHeight="1" x14ac:dyDescent="0.25">
      <c r="D746" s="114"/>
      <c r="F746" s="114"/>
      <c r="H746" s="114"/>
      <c r="J746" s="114"/>
    </row>
    <row r="747" spans="4:10" ht="15.75" customHeight="1" x14ac:dyDescent="0.25">
      <c r="D747" s="114"/>
      <c r="F747" s="114"/>
      <c r="H747" s="114"/>
      <c r="J747" s="114"/>
    </row>
    <row r="748" spans="4:10" ht="15.75" customHeight="1" x14ac:dyDescent="0.25">
      <c r="D748" s="114"/>
      <c r="F748" s="114"/>
      <c r="H748" s="114"/>
      <c r="J748" s="114"/>
    </row>
    <row r="749" spans="4:10" ht="15.75" customHeight="1" x14ac:dyDescent="0.25">
      <c r="D749" s="114"/>
      <c r="F749" s="114"/>
      <c r="H749" s="114"/>
      <c r="J749" s="114"/>
    </row>
    <row r="750" spans="4:10" ht="15.75" customHeight="1" x14ac:dyDescent="0.25">
      <c r="D750" s="114"/>
      <c r="F750" s="114"/>
      <c r="H750" s="114"/>
      <c r="J750" s="114"/>
    </row>
    <row r="751" spans="4:10" ht="15.75" customHeight="1" x14ac:dyDescent="0.25">
      <c r="D751" s="114"/>
      <c r="F751" s="114"/>
      <c r="H751" s="114"/>
      <c r="J751" s="114"/>
    </row>
    <row r="752" spans="4:10" ht="15.75" customHeight="1" x14ac:dyDescent="0.25">
      <c r="D752" s="114"/>
      <c r="F752" s="114"/>
      <c r="H752" s="114"/>
      <c r="J752" s="114"/>
    </row>
    <row r="753" spans="4:10" ht="15.75" customHeight="1" x14ac:dyDescent="0.25">
      <c r="D753" s="114"/>
      <c r="F753" s="114"/>
      <c r="H753" s="114"/>
      <c r="J753" s="114"/>
    </row>
    <row r="754" spans="4:10" ht="15.75" customHeight="1" x14ac:dyDescent="0.25">
      <c r="D754" s="114"/>
      <c r="F754" s="114"/>
      <c r="H754" s="114"/>
      <c r="J754" s="114"/>
    </row>
    <row r="755" spans="4:10" ht="15.75" customHeight="1" x14ac:dyDescent="0.25">
      <c r="D755" s="114"/>
      <c r="F755" s="114"/>
      <c r="H755" s="114"/>
      <c r="J755" s="114"/>
    </row>
    <row r="756" spans="4:10" ht="15.75" customHeight="1" x14ac:dyDescent="0.25">
      <c r="D756" s="114"/>
      <c r="F756" s="114"/>
      <c r="H756" s="114"/>
      <c r="J756" s="114"/>
    </row>
    <row r="757" spans="4:10" ht="15.75" customHeight="1" x14ac:dyDescent="0.25">
      <c r="D757" s="114"/>
      <c r="F757" s="114"/>
      <c r="H757" s="114"/>
      <c r="J757" s="114"/>
    </row>
    <row r="758" spans="4:10" ht="15.75" customHeight="1" x14ac:dyDescent="0.25">
      <c r="D758" s="114"/>
      <c r="F758" s="114"/>
      <c r="H758" s="114"/>
      <c r="J758" s="114"/>
    </row>
    <row r="759" spans="4:10" ht="15.75" customHeight="1" x14ac:dyDescent="0.25">
      <c r="D759" s="114"/>
      <c r="F759" s="114"/>
      <c r="H759" s="114"/>
      <c r="J759" s="114"/>
    </row>
    <row r="760" spans="4:10" ht="15.75" customHeight="1" x14ac:dyDescent="0.25">
      <c r="D760" s="114"/>
      <c r="F760" s="114"/>
      <c r="H760" s="114"/>
      <c r="J760" s="114"/>
    </row>
    <row r="761" spans="4:10" ht="15.75" customHeight="1" x14ac:dyDescent="0.25">
      <c r="D761" s="114"/>
      <c r="F761" s="114"/>
      <c r="H761" s="114"/>
      <c r="J761" s="114"/>
    </row>
    <row r="762" spans="4:10" ht="15.75" customHeight="1" x14ac:dyDescent="0.25">
      <c r="D762" s="114"/>
      <c r="F762" s="114"/>
      <c r="H762" s="114"/>
      <c r="J762" s="114"/>
    </row>
    <row r="763" spans="4:10" ht="15.75" customHeight="1" x14ac:dyDescent="0.25">
      <c r="D763" s="114"/>
      <c r="F763" s="114"/>
      <c r="H763" s="114"/>
      <c r="J763" s="114"/>
    </row>
    <row r="764" spans="4:10" ht="15.75" customHeight="1" x14ac:dyDescent="0.25">
      <c r="D764" s="114"/>
      <c r="F764" s="114"/>
      <c r="H764" s="114"/>
      <c r="J764" s="114"/>
    </row>
    <row r="765" spans="4:10" ht="15.75" customHeight="1" x14ac:dyDescent="0.25">
      <c r="D765" s="114"/>
      <c r="F765" s="114"/>
      <c r="H765" s="114"/>
      <c r="J765" s="114"/>
    </row>
    <row r="766" spans="4:10" ht="15.75" customHeight="1" x14ac:dyDescent="0.25">
      <c r="D766" s="114"/>
      <c r="F766" s="114"/>
      <c r="H766" s="114"/>
      <c r="J766" s="114"/>
    </row>
    <row r="767" spans="4:10" ht="15.75" customHeight="1" x14ac:dyDescent="0.25">
      <c r="D767" s="114"/>
      <c r="F767" s="114"/>
      <c r="H767" s="114"/>
      <c r="J767" s="114"/>
    </row>
    <row r="768" spans="4:10" ht="15.75" customHeight="1" x14ac:dyDescent="0.25">
      <c r="D768" s="114"/>
      <c r="F768" s="114"/>
      <c r="H768" s="114"/>
      <c r="J768" s="114"/>
    </row>
    <row r="769" spans="4:10" ht="15.75" customHeight="1" x14ac:dyDescent="0.25">
      <c r="D769" s="114"/>
      <c r="F769" s="114"/>
      <c r="H769" s="114"/>
      <c r="J769" s="114"/>
    </row>
    <row r="770" spans="4:10" ht="15.75" customHeight="1" x14ac:dyDescent="0.25">
      <c r="D770" s="114"/>
      <c r="F770" s="114"/>
      <c r="H770" s="114"/>
      <c r="J770" s="114"/>
    </row>
    <row r="771" spans="4:10" ht="15.75" customHeight="1" x14ac:dyDescent="0.25">
      <c r="D771" s="114"/>
      <c r="F771" s="114"/>
      <c r="H771" s="114"/>
      <c r="J771" s="114"/>
    </row>
    <row r="772" spans="4:10" ht="15.75" customHeight="1" x14ac:dyDescent="0.25">
      <c r="D772" s="114"/>
      <c r="F772" s="114"/>
      <c r="H772" s="114"/>
      <c r="J772" s="114"/>
    </row>
    <row r="773" spans="4:10" ht="15.75" customHeight="1" x14ac:dyDescent="0.25">
      <c r="D773" s="114"/>
      <c r="F773" s="114"/>
      <c r="H773" s="114"/>
      <c r="J773" s="114"/>
    </row>
    <row r="774" spans="4:10" ht="15.75" customHeight="1" x14ac:dyDescent="0.25">
      <c r="D774" s="114"/>
      <c r="F774" s="114"/>
      <c r="H774" s="114"/>
      <c r="J774" s="114"/>
    </row>
    <row r="775" spans="4:10" ht="15.75" customHeight="1" x14ac:dyDescent="0.25">
      <c r="D775" s="114"/>
      <c r="F775" s="114"/>
      <c r="H775" s="114"/>
      <c r="J775" s="114"/>
    </row>
    <row r="776" spans="4:10" ht="15.75" customHeight="1" x14ac:dyDescent="0.25">
      <c r="D776" s="114"/>
      <c r="F776" s="114"/>
      <c r="H776" s="114"/>
      <c r="J776" s="114"/>
    </row>
    <row r="777" spans="4:10" ht="15.75" customHeight="1" x14ac:dyDescent="0.25">
      <c r="D777" s="114"/>
      <c r="F777" s="114"/>
      <c r="H777" s="114"/>
      <c r="J777" s="114"/>
    </row>
    <row r="778" spans="4:10" ht="15.75" customHeight="1" x14ac:dyDescent="0.25">
      <c r="D778" s="114"/>
      <c r="F778" s="114"/>
      <c r="H778" s="114"/>
      <c r="J778" s="114"/>
    </row>
    <row r="779" spans="4:10" ht="15.75" customHeight="1" x14ac:dyDescent="0.25">
      <c r="D779" s="114"/>
      <c r="F779" s="114"/>
      <c r="H779" s="114"/>
      <c r="J779" s="114"/>
    </row>
    <row r="780" spans="4:10" ht="15.75" customHeight="1" x14ac:dyDescent="0.25">
      <c r="D780" s="114"/>
      <c r="F780" s="114"/>
      <c r="H780" s="114"/>
      <c r="J780" s="114"/>
    </row>
    <row r="781" spans="4:10" ht="15.75" customHeight="1" x14ac:dyDescent="0.25">
      <c r="D781" s="114"/>
      <c r="F781" s="114"/>
      <c r="H781" s="114"/>
      <c r="J781" s="114"/>
    </row>
    <row r="782" spans="4:10" ht="15.75" customHeight="1" x14ac:dyDescent="0.25">
      <c r="D782" s="114"/>
      <c r="F782" s="114"/>
      <c r="H782" s="114"/>
      <c r="J782" s="114"/>
    </row>
    <row r="783" spans="4:10" ht="15.75" customHeight="1" x14ac:dyDescent="0.25">
      <c r="D783" s="114"/>
      <c r="F783" s="114"/>
      <c r="H783" s="114"/>
      <c r="J783" s="114"/>
    </row>
    <row r="784" spans="4:10" ht="15.75" customHeight="1" x14ac:dyDescent="0.25">
      <c r="D784" s="114"/>
      <c r="F784" s="114"/>
      <c r="H784" s="114"/>
      <c r="J784" s="114"/>
    </row>
    <row r="785" spans="4:10" ht="15.75" customHeight="1" x14ac:dyDescent="0.25">
      <c r="D785" s="114"/>
      <c r="F785" s="114"/>
      <c r="H785" s="114"/>
      <c r="J785" s="114"/>
    </row>
    <row r="786" spans="4:10" ht="15.75" customHeight="1" x14ac:dyDescent="0.25">
      <c r="D786" s="114"/>
      <c r="F786" s="114"/>
      <c r="H786" s="114"/>
      <c r="J786" s="114"/>
    </row>
    <row r="787" spans="4:10" ht="15.75" customHeight="1" x14ac:dyDescent="0.25">
      <c r="D787" s="114"/>
      <c r="F787" s="114"/>
      <c r="H787" s="114"/>
      <c r="J787" s="114"/>
    </row>
    <row r="788" spans="4:10" ht="15.75" customHeight="1" x14ac:dyDescent="0.25">
      <c r="D788" s="114"/>
      <c r="F788" s="114"/>
      <c r="H788" s="114"/>
      <c r="J788" s="114"/>
    </row>
    <row r="789" spans="4:10" ht="15.75" customHeight="1" x14ac:dyDescent="0.25">
      <c r="D789" s="114"/>
      <c r="F789" s="114"/>
      <c r="H789" s="114"/>
      <c r="J789" s="114"/>
    </row>
    <row r="790" spans="4:10" ht="15.75" customHeight="1" x14ac:dyDescent="0.25">
      <c r="D790" s="114"/>
      <c r="F790" s="114"/>
      <c r="H790" s="114"/>
      <c r="J790" s="114"/>
    </row>
    <row r="791" spans="4:10" ht="15.75" customHeight="1" x14ac:dyDescent="0.25">
      <c r="D791" s="114"/>
      <c r="F791" s="114"/>
      <c r="H791" s="114"/>
      <c r="J791" s="114"/>
    </row>
    <row r="792" spans="4:10" ht="15.75" customHeight="1" x14ac:dyDescent="0.25">
      <c r="D792" s="114"/>
      <c r="F792" s="114"/>
      <c r="H792" s="114"/>
      <c r="J792" s="114"/>
    </row>
    <row r="793" spans="4:10" ht="15.75" customHeight="1" x14ac:dyDescent="0.25">
      <c r="D793" s="114"/>
      <c r="F793" s="114"/>
      <c r="H793" s="114"/>
      <c r="J793" s="114"/>
    </row>
    <row r="794" spans="4:10" ht="15.75" customHeight="1" x14ac:dyDescent="0.25">
      <c r="D794" s="114"/>
      <c r="F794" s="114"/>
      <c r="H794" s="114"/>
      <c r="J794" s="114"/>
    </row>
    <row r="795" spans="4:10" ht="15.75" customHeight="1" x14ac:dyDescent="0.25">
      <c r="D795" s="114"/>
      <c r="F795" s="114"/>
      <c r="H795" s="114"/>
      <c r="J795" s="114"/>
    </row>
    <row r="796" spans="4:10" ht="15.75" customHeight="1" x14ac:dyDescent="0.25">
      <c r="D796" s="114"/>
      <c r="F796" s="114"/>
      <c r="H796" s="114"/>
      <c r="J796" s="114"/>
    </row>
    <row r="797" spans="4:10" ht="15.75" customHeight="1" x14ac:dyDescent="0.25">
      <c r="D797" s="114"/>
      <c r="F797" s="114"/>
      <c r="H797" s="114"/>
      <c r="J797" s="114"/>
    </row>
    <row r="798" spans="4:10" ht="15.75" customHeight="1" x14ac:dyDescent="0.25">
      <c r="D798" s="114"/>
      <c r="F798" s="114"/>
      <c r="H798" s="114"/>
      <c r="J798" s="114"/>
    </row>
    <row r="799" spans="4:10" ht="15.75" customHeight="1" x14ac:dyDescent="0.25">
      <c r="D799" s="114"/>
      <c r="F799" s="114"/>
      <c r="H799" s="114"/>
      <c r="J799" s="114"/>
    </row>
    <row r="800" spans="4:10" ht="15.75" customHeight="1" x14ac:dyDescent="0.25">
      <c r="D800" s="114"/>
      <c r="F800" s="114"/>
      <c r="H800" s="114"/>
      <c r="J800" s="114"/>
    </row>
    <row r="801" spans="4:10" ht="15.75" customHeight="1" x14ac:dyDescent="0.25">
      <c r="D801" s="114"/>
      <c r="F801" s="114"/>
      <c r="H801" s="114"/>
      <c r="J801" s="114"/>
    </row>
    <row r="802" spans="4:10" ht="15.75" customHeight="1" x14ac:dyDescent="0.25">
      <c r="D802" s="114"/>
      <c r="F802" s="114"/>
      <c r="H802" s="114"/>
      <c r="J802" s="114"/>
    </row>
    <row r="803" spans="4:10" ht="15.75" customHeight="1" x14ac:dyDescent="0.25">
      <c r="D803" s="114"/>
      <c r="F803" s="114"/>
      <c r="H803" s="114"/>
      <c r="J803" s="114"/>
    </row>
    <row r="804" spans="4:10" ht="15.75" customHeight="1" x14ac:dyDescent="0.25">
      <c r="D804" s="114"/>
      <c r="F804" s="114"/>
      <c r="H804" s="114"/>
      <c r="J804" s="114"/>
    </row>
    <row r="805" spans="4:10" ht="15.75" customHeight="1" x14ac:dyDescent="0.25">
      <c r="D805" s="114"/>
      <c r="F805" s="114"/>
      <c r="H805" s="114"/>
      <c r="J805" s="114"/>
    </row>
    <row r="806" spans="4:10" ht="15.75" customHeight="1" x14ac:dyDescent="0.25">
      <c r="D806" s="114"/>
      <c r="F806" s="114"/>
      <c r="H806" s="114"/>
      <c r="J806" s="114"/>
    </row>
    <row r="807" spans="4:10" ht="15.75" customHeight="1" x14ac:dyDescent="0.25">
      <c r="D807" s="114"/>
      <c r="F807" s="114"/>
      <c r="H807" s="114"/>
      <c r="J807" s="114"/>
    </row>
    <row r="808" spans="4:10" ht="15.75" customHeight="1" x14ac:dyDescent="0.25">
      <c r="D808" s="114"/>
      <c r="F808" s="114"/>
      <c r="H808" s="114"/>
      <c r="J808" s="114"/>
    </row>
    <row r="809" spans="4:10" ht="15.75" customHeight="1" x14ac:dyDescent="0.25">
      <c r="D809" s="114"/>
      <c r="F809" s="114"/>
      <c r="H809" s="114"/>
      <c r="J809" s="114"/>
    </row>
    <row r="810" spans="4:10" ht="15.75" customHeight="1" x14ac:dyDescent="0.25">
      <c r="D810" s="114"/>
      <c r="F810" s="114"/>
      <c r="H810" s="114"/>
      <c r="J810" s="114"/>
    </row>
    <row r="811" spans="4:10" ht="15.75" customHeight="1" x14ac:dyDescent="0.25">
      <c r="D811" s="114"/>
      <c r="F811" s="114"/>
      <c r="H811" s="114"/>
      <c r="J811" s="114"/>
    </row>
    <row r="812" spans="4:10" ht="15.75" customHeight="1" x14ac:dyDescent="0.25">
      <c r="D812" s="114"/>
      <c r="F812" s="114"/>
      <c r="H812" s="114"/>
      <c r="J812" s="114"/>
    </row>
    <row r="813" spans="4:10" ht="15.75" customHeight="1" x14ac:dyDescent="0.25">
      <c r="D813" s="114"/>
      <c r="F813" s="114"/>
      <c r="H813" s="114"/>
      <c r="J813" s="114"/>
    </row>
    <row r="814" spans="4:10" ht="15.75" customHeight="1" x14ac:dyDescent="0.25">
      <c r="D814" s="114"/>
      <c r="F814" s="114"/>
      <c r="H814" s="114"/>
      <c r="J814" s="114"/>
    </row>
    <row r="815" spans="4:10" ht="15.75" customHeight="1" x14ac:dyDescent="0.25">
      <c r="D815" s="114"/>
      <c r="F815" s="114"/>
      <c r="H815" s="114"/>
      <c r="J815" s="114"/>
    </row>
    <row r="816" spans="4:10" ht="15.75" customHeight="1" x14ac:dyDescent="0.25">
      <c r="D816" s="114"/>
      <c r="F816" s="114"/>
      <c r="H816" s="114"/>
      <c r="J816" s="114"/>
    </row>
    <row r="817" spans="4:10" ht="15.75" customHeight="1" x14ac:dyDescent="0.25">
      <c r="D817" s="114"/>
      <c r="F817" s="114"/>
      <c r="H817" s="114"/>
      <c r="J817" s="114"/>
    </row>
    <row r="818" spans="4:10" ht="15.75" customHeight="1" x14ac:dyDescent="0.25">
      <c r="D818" s="114"/>
      <c r="F818" s="114"/>
      <c r="H818" s="114"/>
      <c r="J818" s="114"/>
    </row>
    <row r="819" spans="4:10" ht="15.75" customHeight="1" x14ac:dyDescent="0.25">
      <c r="D819" s="114"/>
      <c r="F819" s="114"/>
      <c r="H819" s="114"/>
      <c r="J819" s="114"/>
    </row>
    <row r="820" spans="4:10" ht="15.75" customHeight="1" x14ac:dyDescent="0.25">
      <c r="D820" s="114"/>
      <c r="F820" s="114"/>
      <c r="H820" s="114"/>
      <c r="J820" s="114"/>
    </row>
    <row r="821" spans="4:10" ht="15.75" customHeight="1" x14ac:dyDescent="0.25">
      <c r="D821" s="114"/>
      <c r="F821" s="114"/>
      <c r="H821" s="114"/>
      <c r="J821" s="114"/>
    </row>
    <row r="822" spans="4:10" ht="15.75" customHeight="1" x14ac:dyDescent="0.25">
      <c r="D822" s="114"/>
      <c r="F822" s="114"/>
      <c r="H822" s="114"/>
      <c r="J822" s="114"/>
    </row>
    <row r="823" spans="4:10" ht="15.75" customHeight="1" x14ac:dyDescent="0.25">
      <c r="D823" s="114"/>
      <c r="F823" s="114"/>
      <c r="H823" s="114"/>
      <c r="J823" s="114"/>
    </row>
    <row r="824" spans="4:10" ht="15.75" customHeight="1" x14ac:dyDescent="0.25">
      <c r="D824" s="114"/>
      <c r="F824" s="114"/>
      <c r="H824" s="114"/>
      <c r="J824" s="114"/>
    </row>
    <row r="825" spans="4:10" ht="15.75" customHeight="1" x14ac:dyDescent="0.25">
      <c r="D825" s="114"/>
      <c r="F825" s="114"/>
      <c r="H825" s="114"/>
      <c r="J825" s="114"/>
    </row>
    <row r="826" spans="4:10" ht="15.75" customHeight="1" x14ac:dyDescent="0.25">
      <c r="D826" s="114"/>
      <c r="F826" s="114"/>
      <c r="H826" s="114"/>
      <c r="J826" s="114"/>
    </row>
    <row r="827" spans="4:10" ht="15.75" customHeight="1" x14ac:dyDescent="0.25">
      <c r="D827" s="114"/>
      <c r="F827" s="114"/>
      <c r="H827" s="114"/>
      <c r="J827" s="114"/>
    </row>
    <row r="828" spans="4:10" ht="15.75" customHeight="1" x14ac:dyDescent="0.25">
      <c r="D828" s="114"/>
      <c r="F828" s="114"/>
      <c r="H828" s="114"/>
      <c r="J828" s="114"/>
    </row>
    <row r="829" spans="4:10" ht="15.75" customHeight="1" x14ac:dyDescent="0.25">
      <c r="D829" s="114"/>
      <c r="F829" s="114"/>
      <c r="H829" s="114"/>
      <c r="J829" s="114"/>
    </row>
    <row r="830" spans="4:10" ht="15.75" customHeight="1" x14ac:dyDescent="0.25">
      <c r="D830" s="114"/>
      <c r="F830" s="114"/>
      <c r="H830" s="114"/>
      <c r="J830" s="114"/>
    </row>
    <row r="831" spans="4:10" ht="15.75" customHeight="1" x14ac:dyDescent="0.25">
      <c r="D831" s="114"/>
      <c r="F831" s="114"/>
      <c r="H831" s="114"/>
      <c r="J831" s="114"/>
    </row>
    <row r="832" spans="4:10" ht="15.75" customHeight="1" x14ac:dyDescent="0.25">
      <c r="D832" s="114"/>
      <c r="F832" s="114"/>
      <c r="H832" s="114"/>
      <c r="J832" s="114"/>
    </row>
    <row r="833" spans="4:10" ht="15.75" customHeight="1" x14ac:dyDescent="0.25">
      <c r="D833" s="114"/>
      <c r="F833" s="114"/>
      <c r="H833" s="114"/>
      <c r="J833" s="114"/>
    </row>
    <row r="834" spans="4:10" ht="15.75" customHeight="1" x14ac:dyDescent="0.25">
      <c r="D834" s="114"/>
      <c r="F834" s="114"/>
      <c r="H834" s="114"/>
      <c r="J834" s="114"/>
    </row>
    <row r="835" spans="4:10" ht="15.75" customHeight="1" x14ac:dyDescent="0.25">
      <c r="D835" s="114"/>
      <c r="F835" s="114"/>
      <c r="H835" s="114"/>
      <c r="J835" s="114"/>
    </row>
    <row r="836" spans="4:10" ht="15.75" customHeight="1" x14ac:dyDescent="0.25">
      <c r="D836" s="114"/>
      <c r="F836" s="114"/>
      <c r="H836" s="114"/>
      <c r="J836" s="114"/>
    </row>
    <row r="837" spans="4:10" ht="15.75" customHeight="1" x14ac:dyDescent="0.25">
      <c r="D837" s="114"/>
      <c r="F837" s="114"/>
      <c r="H837" s="114"/>
      <c r="J837" s="114"/>
    </row>
    <row r="838" spans="4:10" ht="15.75" customHeight="1" x14ac:dyDescent="0.25">
      <c r="D838" s="114"/>
      <c r="F838" s="114"/>
      <c r="H838" s="114"/>
      <c r="J838" s="114"/>
    </row>
    <row r="839" spans="4:10" ht="15.75" customHeight="1" x14ac:dyDescent="0.25">
      <c r="D839" s="114"/>
      <c r="F839" s="114"/>
      <c r="H839" s="114"/>
      <c r="J839" s="114"/>
    </row>
    <row r="840" spans="4:10" ht="15.75" customHeight="1" x14ac:dyDescent="0.25">
      <c r="D840" s="114"/>
      <c r="F840" s="114"/>
      <c r="H840" s="114"/>
      <c r="J840" s="114"/>
    </row>
    <row r="841" spans="4:10" ht="15.75" customHeight="1" x14ac:dyDescent="0.25">
      <c r="D841" s="114"/>
      <c r="F841" s="114"/>
      <c r="H841" s="114"/>
      <c r="J841" s="114"/>
    </row>
    <row r="842" spans="4:10" ht="15.75" customHeight="1" x14ac:dyDescent="0.25">
      <c r="D842" s="114"/>
      <c r="F842" s="114"/>
      <c r="H842" s="114"/>
      <c r="J842" s="114"/>
    </row>
    <row r="843" spans="4:10" ht="15.75" customHeight="1" x14ac:dyDescent="0.25">
      <c r="D843" s="114"/>
      <c r="F843" s="114"/>
      <c r="H843" s="114"/>
      <c r="J843" s="114"/>
    </row>
    <row r="844" spans="4:10" ht="15.75" customHeight="1" x14ac:dyDescent="0.25">
      <c r="D844" s="114"/>
      <c r="F844" s="114"/>
      <c r="H844" s="114"/>
      <c r="J844" s="114"/>
    </row>
    <row r="845" spans="4:10" ht="15.75" customHeight="1" x14ac:dyDescent="0.25">
      <c r="D845" s="114"/>
      <c r="F845" s="114"/>
      <c r="H845" s="114"/>
      <c r="J845" s="114"/>
    </row>
    <row r="846" spans="4:10" ht="15.75" customHeight="1" x14ac:dyDescent="0.25">
      <c r="D846" s="114"/>
      <c r="F846" s="114"/>
      <c r="H846" s="114"/>
      <c r="J846" s="114"/>
    </row>
    <row r="847" spans="4:10" ht="15.75" customHeight="1" x14ac:dyDescent="0.25">
      <c r="D847" s="114"/>
      <c r="F847" s="114"/>
      <c r="H847" s="114"/>
      <c r="J847" s="114"/>
    </row>
    <row r="848" spans="4:10" ht="15.75" customHeight="1" x14ac:dyDescent="0.25">
      <c r="D848" s="114"/>
      <c r="F848" s="114"/>
      <c r="H848" s="114"/>
      <c r="J848" s="114"/>
    </row>
    <row r="849" spans="4:10" ht="15.75" customHeight="1" x14ac:dyDescent="0.25">
      <c r="D849" s="114"/>
      <c r="F849" s="114"/>
      <c r="H849" s="114"/>
      <c r="J849" s="114"/>
    </row>
    <row r="850" spans="4:10" ht="15.75" customHeight="1" x14ac:dyDescent="0.25">
      <c r="D850" s="114"/>
      <c r="F850" s="114"/>
      <c r="H850" s="114"/>
      <c r="J850" s="114"/>
    </row>
    <row r="851" spans="4:10" ht="15.75" customHeight="1" x14ac:dyDescent="0.25">
      <c r="D851" s="114"/>
      <c r="F851" s="114"/>
      <c r="H851" s="114"/>
      <c r="J851" s="114"/>
    </row>
    <row r="852" spans="4:10" ht="15.75" customHeight="1" x14ac:dyDescent="0.25">
      <c r="D852" s="114"/>
      <c r="F852" s="114"/>
      <c r="H852" s="114"/>
      <c r="J852" s="114"/>
    </row>
    <row r="853" spans="4:10" ht="15.75" customHeight="1" x14ac:dyDescent="0.25">
      <c r="D853" s="114"/>
      <c r="F853" s="114"/>
      <c r="H853" s="114"/>
      <c r="J853" s="114"/>
    </row>
    <row r="854" spans="4:10" ht="15.75" customHeight="1" x14ac:dyDescent="0.25">
      <c r="D854" s="114"/>
      <c r="F854" s="114"/>
      <c r="H854" s="114"/>
      <c r="J854" s="114"/>
    </row>
    <row r="855" spans="4:10" ht="15.75" customHeight="1" x14ac:dyDescent="0.25">
      <c r="D855" s="114"/>
      <c r="F855" s="114"/>
      <c r="H855" s="114"/>
      <c r="J855" s="114"/>
    </row>
    <row r="856" spans="4:10" ht="15.75" customHeight="1" x14ac:dyDescent="0.25">
      <c r="D856" s="114"/>
      <c r="F856" s="114"/>
      <c r="H856" s="114"/>
      <c r="J856" s="114"/>
    </row>
    <row r="857" spans="4:10" ht="15.75" customHeight="1" x14ac:dyDescent="0.25">
      <c r="D857" s="114"/>
      <c r="F857" s="114"/>
      <c r="H857" s="114"/>
      <c r="J857" s="114"/>
    </row>
    <row r="858" spans="4:10" ht="15.75" customHeight="1" x14ac:dyDescent="0.25">
      <c r="D858" s="114"/>
      <c r="F858" s="114"/>
      <c r="H858" s="114"/>
      <c r="J858" s="114"/>
    </row>
    <row r="859" spans="4:10" ht="15.75" customHeight="1" x14ac:dyDescent="0.25">
      <c r="D859" s="114"/>
      <c r="F859" s="114"/>
      <c r="H859" s="114"/>
      <c r="J859" s="114"/>
    </row>
    <row r="860" spans="4:10" ht="15.75" customHeight="1" x14ac:dyDescent="0.25">
      <c r="D860" s="114"/>
      <c r="F860" s="114"/>
      <c r="H860" s="114"/>
      <c r="J860" s="114"/>
    </row>
    <row r="861" spans="4:10" ht="15.75" customHeight="1" x14ac:dyDescent="0.25">
      <c r="D861" s="114"/>
      <c r="F861" s="114"/>
      <c r="H861" s="114"/>
      <c r="J861" s="114"/>
    </row>
    <row r="862" spans="4:10" ht="15.75" customHeight="1" x14ac:dyDescent="0.25">
      <c r="D862" s="114"/>
      <c r="F862" s="114"/>
      <c r="H862" s="114"/>
      <c r="J862" s="114"/>
    </row>
    <row r="863" spans="4:10" ht="15.75" customHeight="1" x14ac:dyDescent="0.25">
      <c r="D863" s="114"/>
      <c r="F863" s="114"/>
      <c r="H863" s="114"/>
      <c r="J863" s="114"/>
    </row>
    <row r="864" spans="4:10" ht="15.75" customHeight="1" x14ac:dyDescent="0.25">
      <c r="D864" s="114"/>
      <c r="F864" s="114"/>
      <c r="H864" s="114"/>
      <c r="J864" s="114"/>
    </row>
    <row r="865" spans="4:10" ht="15.75" customHeight="1" x14ac:dyDescent="0.25">
      <c r="D865" s="114"/>
      <c r="F865" s="114"/>
      <c r="H865" s="114"/>
      <c r="J865" s="114"/>
    </row>
    <row r="866" spans="4:10" ht="15.75" customHeight="1" x14ac:dyDescent="0.25">
      <c r="D866" s="114"/>
      <c r="F866" s="114"/>
      <c r="H866" s="114"/>
      <c r="J866" s="114"/>
    </row>
    <row r="867" spans="4:10" ht="15.75" customHeight="1" x14ac:dyDescent="0.25">
      <c r="D867" s="114"/>
      <c r="F867" s="114"/>
      <c r="H867" s="114"/>
      <c r="J867" s="114"/>
    </row>
    <row r="868" spans="4:10" ht="15.75" customHeight="1" x14ac:dyDescent="0.25">
      <c r="D868" s="114"/>
      <c r="F868" s="114"/>
      <c r="H868" s="114"/>
      <c r="J868" s="114"/>
    </row>
    <row r="869" spans="4:10" ht="15.75" customHeight="1" x14ac:dyDescent="0.25">
      <c r="D869" s="114"/>
      <c r="F869" s="114"/>
      <c r="H869" s="114"/>
      <c r="J869" s="114"/>
    </row>
    <row r="870" spans="4:10" ht="15.75" customHeight="1" x14ac:dyDescent="0.25">
      <c r="D870" s="114"/>
      <c r="F870" s="114"/>
      <c r="H870" s="114"/>
      <c r="J870" s="114"/>
    </row>
    <row r="871" spans="4:10" ht="15.75" customHeight="1" x14ac:dyDescent="0.25">
      <c r="D871" s="114"/>
      <c r="F871" s="114"/>
      <c r="H871" s="114"/>
      <c r="J871" s="114"/>
    </row>
    <row r="872" spans="4:10" ht="15.75" customHeight="1" x14ac:dyDescent="0.25">
      <c r="D872" s="114"/>
      <c r="F872" s="114"/>
      <c r="H872" s="114"/>
      <c r="J872" s="114"/>
    </row>
    <row r="873" spans="4:10" ht="15.75" customHeight="1" x14ac:dyDescent="0.25">
      <c r="D873" s="114"/>
      <c r="F873" s="114"/>
      <c r="H873" s="114"/>
      <c r="J873" s="114"/>
    </row>
    <row r="874" spans="4:10" ht="15.75" customHeight="1" x14ac:dyDescent="0.25">
      <c r="D874" s="114"/>
      <c r="F874" s="114"/>
      <c r="H874" s="114"/>
      <c r="J874" s="114"/>
    </row>
    <row r="875" spans="4:10" ht="15.75" customHeight="1" x14ac:dyDescent="0.25">
      <c r="D875" s="114"/>
      <c r="F875" s="114"/>
      <c r="H875" s="114"/>
      <c r="J875" s="114"/>
    </row>
    <row r="876" spans="4:10" ht="15.75" customHeight="1" x14ac:dyDescent="0.25">
      <c r="D876" s="114"/>
      <c r="F876" s="114"/>
      <c r="H876" s="114"/>
      <c r="J876" s="114"/>
    </row>
    <row r="877" spans="4:10" ht="15.75" customHeight="1" x14ac:dyDescent="0.25">
      <c r="D877" s="114"/>
      <c r="F877" s="114"/>
      <c r="H877" s="114"/>
      <c r="J877" s="114"/>
    </row>
    <row r="878" spans="4:10" ht="15.75" customHeight="1" x14ac:dyDescent="0.25">
      <c r="D878" s="114"/>
      <c r="F878" s="114"/>
      <c r="H878" s="114"/>
      <c r="J878" s="114"/>
    </row>
    <row r="879" spans="4:10" ht="15.75" customHeight="1" x14ac:dyDescent="0.25">
      <c r="D879" s="114"/>
      <c r="F879" s="114"/>
      <c r="H879" s="114"/>
      <c r="J879" s="114"/>
    </row>
    <row r="880" spans="4:10" ht="15.75" customHeight="1" x14ac:dyDescent="0.25">
      <c r="D880" s="114"/>
      <c r="F880" s="114"/>
      <c r="H880" s="114"/>
      <c r="J880" s="114"/>
    </row>
    <row r="881" spans="4:10" ht="15.75" customHeight="1" x14ac:dyDescent="0.25">
      <c r="D881" s="114"/>
      <c r="F881" s="114"/>
      <c r="H881" s="114"/>
      <c r="J881" s="114"/>
    </row>
    <row r="882" spans="4:10" ht="15.75" customHeight="1" x14ac:dyDescent="0.25">
      <c r="D882" s="114"/>
      <c r="F882" s="114"/>
      <c r="H882" s="114"/>
      <c r="J882" s="114"/>
    </row>
    <row r="883" spans="4:10" ht="15.75" customHeight="1" x14ac:dyDescent="0.25">
      <c r="D883" s="114"/>
      <c r="F883" s="114"/>
      <c r="H883" s="114"/>
      <c r="J883" s="114"/>
    </row>
    <row r="884" spans="4:10" ht="15.75" customHeight="1" x14ac:dyDescent="0.25">
      <c r="D884" s="114"/>
      <c r="F884" s="114"/>
      <c r="H884" s="114"/>
      <c r="J884" s="114"/>
    </row>
    <row r="885" spans="4:10" ht="15.75" customHeight="1" x14ac:dyDescent="0.25">
      <c r="D885" s="114"/>
      <c r="F885" s="114"/>
      <c r="H885" s="114"/>
      <c r="J885" s="114"/>
    </row>
    <row r="886" spans="4:10" ht="15.75" customHeight="1" x14ac:dyDescent="0.25">
      <c r="D886" s="114"/>
      <c r="F886" s="114"/>
      <c r="H886" s="114"/>
      <c r="J886" s="114"/>
    </row>
    <row r="887" spans="4:10" ht="15.75" customHeight="1" x14ac:dyDescent="0.25">
      <c r="D887" s="114"/>
      <c r="F887" s="114"/>
      <c r="H887" s="114"/>
      <c r="J887" s="114"/>
    </row>
    <row r="888" spans="4:10" ht="15.75" customHeight="1" x14ac:dyDescent="0.25">
      <c r="D888" s="114"/>
      <c r="F888" s="114"/>
      <c r="H888" s="114"/>
      <c r="J888" s="114"/>
    </row>
    <row r="889" spans="4:10" ht="15.75" customHeight="1" x14ac:dyDescent="0.25">
      <c r="D889" s="114"/>
      <c r="F889" s="114"/>
      <c r="H889" s="114"/>
      <c r="J889" s="114"/>
    </row>
    <row r="890" spans="4:10" ht="15.75" customHeight="1" x14ac:dyDescent="0.25">
      <c r="D890" s="114"/>
      <c r="F890" s="114"/>
      <c r="H890" s="114"/>
      <c r="J890" s="114"/>
    </row>
    <row r="891" spans="4:10" ht="15.75" customHeight="1" x14ac:dyDescent="0.25">
      <c r="D891" s="114"/>
      <c r="F891" s="114"/>
      <c r="H891" s="114"/>
      <c r="J891" s="114"/>
    </row>
    <row r="892" spans="4:10" ht="15.75" customHeight="1" x14ac:dyDescent="0.25">
      <c r="D892" s="114"/>
      <c r="F892" s="114"/>
      <c r="H892" s="114"/>
      <c r="J892" s="114"/>
    </row>
    <row r="893" spans="4:10" ht="15.75" customHeight="1" x14ac:dyDescent="0.25">
      <c r="D893" s="114"/>
      <c r="F893" s="114"/>
      <c r="H893" s="114"/>
      <c r="J893" s="114"/>
    </row>
    <row r="894" spans="4:10" ht="15.75" customHeight="1" x14ac:dyDescent="0.25">
      <c r="D894" s="114"/>
      <c r="F894" s="114"/>
      <c r="H894" s="114"/>
      <c r="J894" s="114"/>
    </row>
    <row r="895" spans="4:10" ht="15.75" customHeight="1" x14ac:dyDescent="0.25">
      <c r="D895" s="114"/>
      <c r="F895" s="114"/>
      <c r="H895" s="114"/>
      <c r="J895" s="114"/>
    </row>
    <row r="896" spans="4:10" ht="15.75" customHeight="1" x14ac:dyDescent="0.25">
      <c r="D896" s="114"/>
      <c r="F896" s="114"/>
      <c r="H896" s="114"/>
      <c r="J896" s="114"/>
    </row>
    <row r="897" spans="4:10" ht="15.75" customHeight="1" x14ac:dyDescent="0.25">
      <c r="D897" s="114"/>
      <c r="F897" s="114"/>
      <c r="H897" s="114"/>
      <c r="J897" s="114"/>
    </row>
    <row r="898" spans="4:10" ht="15.75" customHeight="1" x14ac:dyDescent="0.25">
      <c r="D898" s="114"/>
      <c r="F898" s="114"/>
      <c r="H898" s="114"/>
      <c r="J898" s="114"/>
    </row>
    <row r="899" spans="4:10" ht="15.75" customHeight="1" x14ac:dyDescent="0.25">
      <c r="D899" s="114"/>
      <c r="F899" s="114"/>
      <c r="H899" s="114"/>
      <c r="J899" s="114"/>
    </row>
    <row r="900" spans="4:10" ht="15.75" customHeight="1" x14ac:dyDescent="0.25">
      <c r="D900" s="114"/>
      <c r="F900" s="114"/>
      <c r="H900" s="114"/>
      <c r="J900" s="114"/>
    </row>
    <row r="901" spans="4:10" ht="15.75" customHeight="1" x14ac:dyDescent="0.25">
      <c r="D901" s="114"/>
      <c r="F901" s="114"/>
      <c r="H901" s="114"/>
      <c r="J901" s="114"/>
    </row>
    <row r="902" spans="4:10" ht="15.75" customHeight="1" x14ac:dyDescent="0.25">
      <c r="D902" s="114"/>
      <c r="F902" s="114"/>
      <c r="H902" s="114"/>
      <c r="J902" s="114"/>
    </row>
    <row r="903" spans="4:10" ht="15.75" customHeight="1" x14ac:dyDescent="0.25">
      <c r="D903" s="114"/>
      <c r="F903" s="114"/>
      <c r="H903" s="114"/>
      <c r="J903" s="114"/>
    </row>
    <row r="904" spans="4:10" ht="15.75" customHeight="1" x14ac:dyDescent="0.25">
      <c r="D904" s="114"/>
      <c r="F904" s="114"/>
      <c r="H904" s="114"/>
      <c r="J904" s="114"/>
    </row>
    <row r="905" spans="4:10" ht="15.75" customHeight="1" x14ac:dyDescent="0.25">
      <c r="D905" s="114"/>
      <c r="F905" s="114"/>
      <c r="H905" s="114"/>
      <c r="J905" s="114"/>
    </row>
    <row r="906" spans="4:10" ht="15.75" customHeight="1" x14ac:dyDescent="0.25">
      <c r="D906" s="114"/>
      <c r="F906" s="114"/>
      <c r="H906" s="114"/>
      <c r="J906" s="114"/>
    </row>
    <row r="907" spans="4:10" ht="15.75" customHeight="1" x14ac:dyDescent="0.25">
      <c r="D907" s="114"/>
      <c r="F907" s="114"/>
      <c r="H907" s="114"/>
      <c r="J907" s="114"/>
    </row>
    <row r="908" spans="4:10" ht="15.75" customHeight="1" x14ac:dyDescent="0.25">
      <c r="D908" s="114"/>
      <c r="F908" s="114"/>
      <c r="H908" s="114"/>
      <c r="J908" s="114"/>
    </row>
    <row r="909" spans="4:10" ht="15.75" customHeight="1" x14ac:dyDescent="0.25">
      <c r="D909" s="114"/>
      <c r="F909" s="114"/>
      <c r="H909" s="114"/>
      <c r="J909" s="114"/>
    </row>
    <row r="910" spans="4:10" ht="15.75" customHeight="1" x14ac:dyDescent="0.25">
      <c r="D910" s="114"/>
      <c r="F910" s="114"/>
      <c r="H910" s="114"/>
      <c r="J910" s="114"/>
    </row>
    <row r="911" spans="4:10" ht="15.75" customHeight="1" x14ac:dyDescent="0.25">
      <c r="D911" s="114"/>
      <c r="F911" s="114"/>
      <c r="H911" s="114"/>
      <c r="J911" s="114"/>
    </row>
    <row r="912" spans="4:10" ht="15.75" customHeight="1" x14ac:dyDescent="0.25">
      <c r="D912" s="114"/>
      <c r="F912" s="114"/>
      <c r="H912" s="114"/>
      <c r="J912" s="114"/>
    </row>
    <row r="913" spans="4:10" ht="15.75" customHeight="1" x14ac:dyDescent="0.25">
      <c r="D913" s="114"/>
      <c r="F913" s="114"/>
      <c r="H913" s="114"/>
      <c r="J913" s="114"/>
    </row>
    <row r="914" spans="4:10" ht="15.75" customHeight="1" x14ac:dyDescent="0.25">
      <c r="D914" s="114"/>
      <c r="F914" s="114"/>
      <c r="H914" s="114"/>
      <c r="J914" s="114"/>
    </row>
    <row r="915" spans="4:10" ht="15.75" customHeight="1" x14ac:dyDescent="0.25">
      <c r="D915" s="114"/>
      <c r="F915" s="114"/>
      <c r="H915" s="114"/>
      <c r="J915" s="114"/>
    </row>
    <row r="916" spans="4:10" ht="15.75" customHeight="1" x14ac:dyDescent="0.25">
      <c r="D916" s="114"/>
      <c r="F916" s="114"/>
      <c r="H916" s="114"/>
      <c r="J916" s="114"/>
    </row>
    <row r="917" spans="4:10" ht="15.75" customHeight="1" x14ac:dyDescent="0.25">
      <c r="D917" s="114"/>
      <c r="F917" s="114"/>
      <c r="H917" s="114"/>
      <c r="J917" s="114"/>
    </row>
    <row r="918" spans="4:10" ht="15.75" customHeight="1" x14ac:dyDescent="0.25">
      <c r="D918" s="114"/>
      <c r="F918" s="114"/>
      <c r="H918" s="114"/>
      <c r="J918" s="114"/>
    </row>
    <row r="919" spans="4:10" ht="15.75" customHeight="1" x14ac:dyDescent="0.25">
      <c r="D919" s="114"/>
      <c r="F919" s="114"/>
      <c r="H919" s="114"/>
      <c r="J919" s="114"/>
    </row>
    <row r="920" spans="4:10" ht="15.75" customHeight="1" x14ac:dyDescent="0.25">
      <c r="D920" s="114"/>
      <c r="F920" s="114"/>
      <c r="H920" s="114"/>
      <c r="J920" s="114"/>
    </row>
    <row r="921" spans="4:10" ht="15.75" customHeight="1" x14ac:dyDescent="0.25">
      <c r="D921" s="114"/>
      <c r="F921" s="114"/>
      <c r="H921" s="114"/>
      <c r="J921" s="114"/>
    </row>
    <row r="922" spans="4:10" ht="15.75" customHeight="1" x14ac:dyDescent="0.25">
      <c r="D922" s="114"/>
      <c r="F922" s="114"/>
      <c r="H922" s="114"/>
      <c r="J922" s="114"/>
    </row>
    <row r="923" spans="4:10" ht="15.75" customHeight="1" x14ac:dyDescent="0.25">
      <c r="D923" s="114"/>
      <c r="F923" s="114"/>
      <c r="H923" s="114"/>
      <c r="J923" s="114"/>
    </row>
    <row r="924" spans="4:10" ht="15.75" customHeight="1" x14ac:dyDescent="0.25">
      <c r="D924" s="114"/>
      <c r="F924" s="114"/>
      <c r="H924" s="114"/>
      <c r="J924" s="114"/>
    </row>
    <row r="925" spans="4:10" ht="15.75" customHeight="1" x14ac:dyDescent="0.25">
      <c r="D925" s="114"/>
      <c r="F925" s="114"/>
      <c r="H925" s="114"/>
      <c r="J925" s="114"/>
    </row>
    <row r="926" spans="4:10" ht="15.75" customHeight="1" x14ac:dyDescent="0.25">
      <c r="D926" s="114"/>
      <c r="F926" s="114"/>
      <c r="H926" s="114"/>
      <c r="J926" s="114"/>
    </row>
    <row r="927" spans="4:10" ht="15.75" customHeight="1" x14ac:dyDescent="0.25">
      <c r="D927" s="114"/>
      <c r="F927" s="114"/>
      <c r="H927" s="114"/>
      <c r="J927" s="114"/>
    </row>
    <row r="928" spans="4:10" ht="15.75" customHeight="1" x14ac:dyDescent="0.25">
      <c r="D928" s="114"/>
      <c r="F928" s="114"/>
      <c r="H928" s="114"/>
      <c r="J928" s="114"/>
    </row>
    <row r="929" spans="4:10" ht="15.75" customHeight="1" x14ac:dyDescent="0.25">
      <c r="D929" s="114"/>
      <c r="F929" s="114"/>
      <c r="H929" s="114"/>
      <c r="J929" s="114"/>
    </row>
    <row r="930" spans="4:10" ht="15.75" customHeight="1" x14ac:dyDescent="0.25">
      <c r="D930" s="114"/>
      <c r="F930" s="114"/>
      <c r="H930" s="114"/>
      <c r="J930" s="114"/>
    </row>
    <row r="931" spans="4:10" ht="15.75" customHeight="1" x14ac:dyDescent="0.25">
      <c r="D931" s="114"/>
      <c r="F931" s="114"/>
      <c r="H931" s="114"/>
      <c r="J931" s="114"/>
    </row>
    <row r="932" spans="4:10" ht="15.75" customHeight="1" x14ac:dyDescent="0.25">
      <c r="D932" s="114"/>
      <c r="F932" s="114"/>
      <c r="H932" s="114"/>
      <c r="J932" s="114"/>
    </row>
    <row r="933" spans="4:10" ht="15.75" customHeight="1" x14ac:dyDescent="0.25">
      <c r="D933" s="114"/>
      <c r="F933" s="114"/>
      <c r="H933" s="114"/>
      <c r="J933" s="114"/>
    </row>
    <row r="934" spans="4:10" ht="15.75" customHeight="1" x14ac:dyDescent="0.25">
      <c r="D934" s="114"/>
      <c r="F934" s="114"/>
      <c r="H934" s="114"/>
      <c r="J934" s="114"/>
    </row>
    <row r="935" spans="4:10" ht="15.75" customHeight="1" x14ac:dyDescent="0.25">
      <c r="D935" s="114"/>
      <c r="F935" s="114"/>
      <c r="H935" s="114"/>
      <c r="J935" s="114"/>
    </row>
    <row r="936" spans="4:10" ht="15.75" customHeight="1" x14ac:dyDescent="0.25">
      <c r="D936" s="114"/>
      <c r="F936" s="114"/>
      <c r="H936" s="114"/>
      <c r="J936" s="114"/>
    </row>
    <row r="937" spans="4:10" ht="15.75" customHeight="1" x14ac:dyDescent="0.25">
      <c r="D937" s="114"/>
      <c r="F937" s="114"/>
      <c r="H937" s="114"/>
      <c r="J937" s="114"/>
    </row>
    <row r="938" spans="4:10" ht="15.75" customHeight="1" x14ac:dyDescent="0.25">
      <c r="D938" s="114"/>
      <c r="F938" s="114"/>
      <c r="H938" s="114"/>
      <c r="J938" s="114"/>
    </row>
    <row r="939" spans="4:10" ht="15.75" customHeight="1" x14ac:dyDescent="0.25">
      <c r="D939" s="114"/>
      <c r="F939" s="114"/>
      <c r="H939" s="114"/>
      <c r="J939" s="114"/>
    </row>
    <row r="940" spans="4:10" ht="15.75" customHeight="1" x14ac:dyDescent="0.25">
      <c r="D940" s="114"/>
      <c r="F940" s="114"/>
      <c r="H940" s="114"/>
      <c r="J940" s="114"/>
    </row>
    <row r="941" spans="4:10" ht="15.75" customHeight="1" x14ac:dyDescent="0.25">
      <c r="D941" s="114"/>
      <c r="F941" s="114"/>
      <c r="H941" s="114"/>
      <c r="J941" s="114"/>
    </row>
    <row r="942" spans="4:10" ht="15.75" customHeight="1" x14ac:dyDescent="0.25">
      <c r="D942" s="114"/>
      <c r="F942" s="114"/>
      <c r="H942" s="114"/>
      <c r="J942" s="114"/>
    </row>
    <row r="943" spans="4:10" ht="15.75" customHeight="1" x14ac:dyDescent="0.25">
      <c r="D943" s="114"/>
      <c r="F943" s="114"/>
      <c r="H943" s="114"/>
      <c r="J943" s="114"/>
    </row>
    <row r="944" spans="4:10" ht="15.75" customHeight="1" x14ac:dyDescent="0.25">
      <c r="D944" s="114"/>
      <c r="F944" s="114"/>
      <c r="H944" s="114"/>
      <c r="J944" s="114"/>
    </row>
    <row r="945" spans="4:10" ht="15.75" customHeight="1" x14ac:dyDescent="0.25">
      <c r="D945" s="114"/>
      <c r="F945" s="114"/>
      <c r="H945" s="114"/>
      <c r="J945" s="114"/>
    </row>
    <row r="946" spans="4:10" ht="15.75" customHeight="1" x14ac:dyDescent="0.25">
      <c r="D946" s="114"/>
      <c r="F946" s="114"/>
      <c r="H946" s="114"/>
      <c r="J946" s="114"/>
    </row>
    <row r="947" spans="4:10" ht="15.75" customHeight="1" x14ac:dyDescent="0.25">
      <c r="D947" s="114"/>
      <c r="F947" s="114"/>
      <c r="H947" s="114"/>
      <c r="J947" s="114"/>
    </row>
    <row r="948" spans="4:10" ht="15.75" customHeight="1" x14ac:dyDescent="0.25">
      <c r="D948" s="114"/>
      <c r="F948" s="114"/>
      <c r="H948" s="114"/>
      <c r="J948" s="114"/>
    </row>
    <row r="949" spans="4:10" ht="15.75" customHeight="1" x14ac:dyDescent="0.25">
      <c r="D949" s="114"/>
      <c r="F949" s="114"/>
      <c r="H949" s="114"/>
      <c r="J949" s="114"/>
    </row>
    <row r="950" spans="4:10" ht="15.75" customHeight="1" x14ac:dyDescent="0.25">
      <c r="D950" s="114"/>
      <c r="F950" s="114"/>
      <c r="H950" s="114"/>
      <c r="J950" s="114"/>
    </row>
    <row r="951" spans="4:10" ht="15.75" customHeight="1" x14ac:dyDescent="0.25">
      <c r="D951" s="114"/>
      <c r="F951" s="114"/>
      <c r="H951" s="114"/>
      <c r="J951" s="114"/>
    </row>
    <row r="952" spans="4:10" ht="15.75" customHeight="1" x14ac:dyDescent="0.25">
      <c r="D952" s="114"/>
      <c r="F952" s="114"/>
      <c r="H952" s="114"/>
      <c r="J952" s="114"/>
    </row>
    <row r="953" spans="4:10" ht="15.75" customHeight="1" x14ac:dyDescent="0.25">
      <c r="D953" s="114"/>
      <c r="F953" s="114"/>
      <c r="H953" s="114"/>
      <c r="J953" s="114"/>
    </row>
    <row r="954" spans="4:10" ht="15.75" customHeight="1" x14ac:dyDescent="0.25">
      <c r="D954" s="114"/>
      <c r="F954" s="114"/>
      <c r="H954" s="114"/>
      <c r="J954" s="114"/>
    </row>
    <row r="955" spans="4:10" ht="15.75" customHeight="1" x14ac:dyDescent="0.25">
      <c r="D955" s="114"/>
      <c r="F955" s="114"/>
      <c r="H955" s="114"/>
      <c r="J955" s="114"/>
    </row>
    <row r="956" spans="4:10" ht="15.75" customHeight="1" x14ac:dyDescent="0.25">
      <c r="D956" s="114"/>
      <c r="F956" s="114"/>
      <c r="H956" s="114"/>
      <c r="J956" s="114"/>
    </row>
    <row r="957" spans="4:10" ht="15.75" customHeight="1" x14ac:dyDescent="0.25">
      <c r="D957" s="114"/>
      <c r="F957" s="114"/>
      <c r="H957" s="114"/>
      <c r="J957" s="114"/>
    </row>
    <row r="958" spans="4:10" ht="15.75" customHeight="1" x14ac:dyDescent="0.25">
      <c r="D958" s="114"/>
      <c r="F958" s="114"/>
      <c r="H958" s="114"/>
      <c r="J958" s="114"/>
    </row>
    <row r="959" spans="4:10" ht="15.75" customHeight="1" x14ac:dyDescent="0.25">
      <c r="D959" s="114"/>
      <c r="F959" s="114"/>
      <c r="H959" s="114"/>
      <c r="J959" s="114"/>
    </row>
    <row r="960" spans="4:10" ht="15.75" customHeight="1" x14ac:dyDescent="0.25">
      <c r="D960" s="114"/>
      <c r="F960" s="114"/>
      <c r="H960" s="114"/>
      <c r="J960" s="114"/>
    </row>
    <row r="961" spans="4:10" ht="15.75" customHeight="1" x14ac:dyDescent="0.25">
      <c r="D961" s="114"/>
      <c r="F961" s="114"/>
      <c r="H961" s="114"/>
      <c r="J961" s="114"/>
    </row>
    <row r="962" spans="4:10" ht="15.75" customHeight="1" x14ac:dyDescent="0.25">
      <c r="D962" s="114"/>
      <c r="F962" s="114"/>
      <c r="H962" s="114"/>
      <c r="J962" s="114"/>
    </row>
    <row r="963" spans="4:10" ht="15.75" customHeight="1" x14ac:dyDescent="0.25">
      <c r="D963" s="114"/>
      <c r="F963" s="114"/>
      <c r="H963" s="114"/>
      <c r="J963" s="114"/>
    </row>
    <row r="964" spans="4:10" ht="15.75" customHeight="1" x14ac:dyDescent="0.25">
      <c r="D964" s="114"/>
      <c r="F964" s="114"/>
      <c r="H964" s="114"/>
      <c r="J964" s="114"/>
    </row>
    <row r="965" spans="4:10" ht="15.75" customHeight="1" x14ac:dyDescent="0.25">
      <c r="D965" s="114"/>
      <c r="F965" s="114"/>
      <c r="H965" s="114"/>
      <c r="J965" s="114"/>
    </row>
    <row r="966" spans="4:10" ht="15.75" customHeight="1" x14ac:dyDescent="0.25">
      <c r="D966" s="114"/>
      <c r="F966" s="114"/>
      <c r="H966" s="114"/>
      <c r="J966" s="114"/>
    </row>
    <row r="967" spans="4:10" ht="15.75" customHeight="1" x14ac:dyDescent="0.25">
      <c r="D967" s="114"/>
      <c r="F967" s="114"/>
      <c r="H967" s="114"/>
      <c r="J967" s="114"/>
    </row>
    <row r="968" spans="4:10" ht="15.75" customHeight="1" x14ac:dyDescent="0.25">
      <c r="D968" s="114"/>
      <c r="F968" s="114"/>
      <c r="H968" s="114"/>
      <c r="J968" s="114"/>
    </row>
    <row r="969" spans="4:10" ht="15.75" customHeight="1" x14ac:dyDescent="0.25">
      <c r="D969" s="114"/>
      <c r="F969" s="114"/>
      <c r="H969" s="114"/>
      <c r="J969" s="114"/>
    </row>
    <row r="970" spans="4:10" ht="15.75" customHeight="1" x14ac:dyDescent="0.25">
      <c r="D970" s="114"/>
      <c r="F970" s="114"/>
      <c r="H970" s="114"/>
      <c r="J970" s="114"/>
    </row>
    <row r="971" spans="4:10" ht="15.75" customHeight="1" x14ac:dyDescent="0.25">
      <c r="D971" s="114"/>
      <c r="F971" s="114"/>
      <c r="H971" s="114"/>
      <c r="J971" s="114"/>
    </row>
    <row r="972" spans="4:10" ht="15.75" customHeight="1" x14ac:dyDescent="0.25">
      <c r="D972" s="114"/>
      <c r="F972" s="114"/>
      <c r="H972" s="114"/>
      <c r="J972" s="114"/>
    </row>
    <row r="973" spans="4:10" ht="15.75" customHeight="1" x14ac:dyDescent="0.25">
      <c r="D973" s="114"/>
      <c r="F973" s="114"/>
      <c r="H973" s="114"/>
      <c r="J973" s="114"/>
    </row>
    <row r="974" spans="4:10" ht="15.75" customHeight="1" x14ac:dyDescent="0.25">
      <c r="D974" s="114"/>
      <c r="F974" s="114"/>
      <c r="H974" s="114"/>
      <c r="J974" s="114"/>
    </row>
    <row r="975" spans="4:10" ht="15.75" customHeight="1" x14ac:dyDescent="0.25">
      <c r="D975" s="114"/>
      <c r="F975" s="114"/>
      <c r="H975" s="114"/>
      <c r="J975" s="114"/>
    </row>
    <row r="976" spans="4:10" ht="15.75" customHeight="1" x14ac:dyDescent="0.25">
      <c r="D976" s="114"/>
      <c r="F976" s="114"/>
      <c r="H976" s="114"/>
      <c r="J976" s="114"/>
    </row>
    <row r="977" spans="4:10" ht="15.75" customHeight="1" x14ac:dyDescent="0.25">
      <c r="D977" s="114"/>
      <c r="F977" s="114"/>
      <c r="H977" s="114"/>
      <c r="J977" s="114"/>
    </row>
    <row r="978" spans="4:10" ht="15.75" customHeight="1" x14ac:dyDescent="0.25">
      <c r="D978" s="114"/>
      <c r="F978" s="114"/>
      <c r="H978" s="114"/>
      <c r="J978" s="114"/>
    </row>
    <row r="979" spans="4:10" ht="15.75" customHeight="1" x14ac:dyDescent="0.25">
      <c r="D979" s="114"/>
      <c r="F979" s="114"/>
      <c r="H979" s="114"/>
      <c r="J979" s="114"/>
    </row>
    <row r="980" spans="4:10" ht="15.75" customHeight="1" x14ac:dyDescent="0.25">
      <c r="D980" s="114"/>
      <c r="F980" s="114"/>
      <c r="H980" s="114"/>
      <c r="J980" s="114"/>
    </row>
    <row r="981" spans="4:10" ht="15.75" customHeight="1" x14ac:dyDescent="0.25">
      <c r="D981" s="114"/>
      <c r="F981" s="114"/>
      <c r="H981" s="114"/>
      <c r="J981" s="114"/>
    </row>
    <row r="982" spans="4:10" ht="15.75" customHeight="1" x14ac:dyDescent="0.25">
      <c r="D982" s="114"/>
      <c r="F982" s="114"/>
      <c r="H982" s="114"/>
      <c r="J982" s="114"/>
    </row>
    <row r="983" spans="4:10" ht="15.75" customHeight="1" x14ac:dyDescent="0.25">
      <c r="D983" s="114"/>
      <c r="F983" s="114"/>
      <c r="H983" s="114"/>
      <c r="J983" s="114"/>
    </row>
    <row r="984" spans="4:10" ht="15.75" customHeight="1" x14ac:dyDescent="0.25">
      <c r="D984" s="114"/>
      <c r="F984" s="114"/>
      <c r="H984" s="114"/>
      <c r="J984" s="114"/>
    </row>
    <row r="985" spans="4:10" ht="15.75" customHeight="1" x14ac:dyDescent="0.25">
      <c r="D985" s="114"/>
      <c r="F985" s="114"/>
      <c r="H985" s="114"/>
      <c r="J985" s="114"/>
    </row>
    <row r="986" spans="4:10" ht="15.75" customHeight="1" x14ac:dyDescent="0.25">
      <c r="D986" s="114"/>
      <c r="F986" s="114"/>
      <c r="H986" s="114"/>
      <c r="J986" s="114"/>
    </row>
    <row r="987" spans="4:10" ht="15.75" customHeight="1" x14ac:dyDescent="0.25">
      <c r="D987" s="114"/>
      <c r="F987" s="114"/>
      <c r="H987" s="114"/>
      <c r="J987" s="114"/>
    </row>
    <row r="988" spans="4:10" ht="15.75" customHeight="1" x14ac:dyDescent="0.25">
      <c r="D988" s="114"/>
      <c r="F988" s="114"/>
      <c r="H988" s="114"/>
      <c r="J988" s="114"/>
    </row>
    <row r="989" spans="4:10" ht="15.75" customHeight="1" x14ac:dyDescent="0.25">
      <c r="D989" s="114"/>
      <c r="F989" s="114"/>
      <c r="H989" s="114"/>
      <c r="J989" s="114"/>
    </row>
    <row r="990" spans="4:10" ht="15.75" customHeight="1" x14ac:dyDescent="0.25">
      <c r="D990" s="114"/>
      <c r="F990" s="114"/>
      <c r="H990" s="114"/>
      <c r="J990" s="114"/>
    </row>
    <row r="991" spans="4:10" ht="15.75" customHeight="1" x14ac:dyDescent="0.25">
      <c r="D991" s="114"/>
      <c r="F991" s="114"/>
      <c r="H991" s="114"/>
      <c r="J991" s="114"/>
    </row>
    <row r="992" spans="4:10" ht="15.75" customHeight="1" x14ac:dyDescent="0.25">
      <c r="D992" s="114"/>
      <c r="F992" s="114"/>
      <c r="H992" s="114"/>
      <c r="J992" s="114"/>
    </row>
    <row r="993" spans="4:10" ht="15.75" customHeight="1" x14ac:dyDescent="0.25">
      <c r="D993" s="114"/>
      <c r="F993" s="114"/>
      <c r="H993" s="114"/>
      <c r="J993" s="114"/>
    </row>
    <row r="994" spans="4:10" ht="15.75" customHeight="1" x14ac:dyDescent="0.25">
      <c r="D994" s="114"/>
      <c r="F994" s="114"/>
      <c r="H994" s="114"/>
      <c r="J994" s="114"/>
    </row>
    <row r="995" spans="4:10" ht="15.75" customHeight="1" x14ac:dyDescent="0.25">
      <c r="D995" s="114"/>
      <c r="F995" s="114"/>
      <c r="H995" s="114"/>
      <c r="J995" s="114"/>
    </row>
    <row r="996" spans="4:10" ht="15.75" customHeight="1" x14ac:dyDescent="0.25">
      <c r="D996" s="114"/>
      <c r="F996" s="114"/>
      <c r="H996" s="114"/>
      <c r="J996" s="114"/>
    </row>
    <row r="997" spans="4:10" ht="15.75" customHeight="1" x14ac:dyDescent="0.25">
      <c r="D997" s="114"/>
      <c r="F997" s="114"/>
      <c r="H997" s="114"/>
      <c r="J997" s="114"/>
    </row>
    <row r="998" spans="4:10" ht="15.75" customHeight="1" x14ac:dyDescent="0.25">
      <c r="D998" s="114"/>
      <c r="F998" s="114"/>
      <c r="H998" s="114"/>
      <c r="J998" s="114"/>
    </row>
    <row r="999" spans="4:10" ht="15.75" customHeight="1" x14ac:dyDescent="0.25">
      <c r="D999" s="114"/>
      <c r="F999" s="114"/>
      <c r="H999" s="114"/>
      <c r="J999" s="114"/>
    </row>
    <row r="1000" spans="4:10" ht="15.75" customHeight="1" x14ac:dyDescent="0.25">
      <c r="D1000" s="114"/>
      <c r="F1000" s="114"/>
      <c r="H1000" s="114"/>
      <c r="J1000" s="114"/>
    </row>
  </sheetData>
  <mergeCells count="58">
    <mergeCell ref="D45:K45"/>
    <mergeCell ref="D46:K46"/>
    <mergeCell ref="B43:C43"/>
    <mergeCell ref="D43:K43"/>
    <mergeCell ref="O43:P43"/>
    <mergeCell ref="B44:C44"/>
    <mergeCell ref="D44:K44"/>
    <mergeCell ref="O44:P44"/>
    <mergeCell ref="B41:C41"/>
    <mergeCell ref="D41:K41"/>
    <mergeCell ref="O41:P41"/>
    <mergeCell ref="B42:C42"/>
    <mergeCell ref="D42:K42"/>
    <mergeCell ref="O42:P42"/>
    <mergeCell ref="B39:C39"/>
    <mergeCell ref="D39:K39"/>
    <mergeCell ref="N39:P39"/>
    <mergeCell ref="B40:C40"/>
    <mergeCell ref="D40:K40"/>
    <mergeCell ref="O40:P40"/>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T17:U17"/>
    <mergeCell ref="C7:D7"/>
    <mergeCell ref="E7:G7"/>
    <mergeCell ref="H7:K7"/>
    <mergeCell ref="C8:D8"/>
    <mergeCell ref="E8:G8"/>
    <mergeCell ref="H8:K8"/>
    <mergeCell ref="C9:D9"/>
    <mergeCell ref="E9:G9"/>
    <mergeCell ref="H9:K9"/>
    <mergeCell ref="B16:K16"/>
    <mergeCell ref="N17:Q17"/>
    <mergeCell ref="C5:D5"/>
    <mergeCell ref="E5:G5"/>
    <mergeCell ref="H5:K5"/>
    <mergeCell ref="C6:D6"/>
    <mergeCell ref="E6:G6"/>
    <mergeCell ref="H6:K6"/>
    <mergeCell ref="B3:K3"/>
    <mergeCell ref="N3:P3"/>
    <mergeCell ref="T3:U3"/>
    <mergeCell ref="C4:D4"/>
    <mergeCell ref="E4:G4"/>
    <mergeCell ref="H4:K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zoomScale="130" zoomScaleNormal="130" workbookViewId="0"/>
  </sheetViews>
  <sheetFormatPr baseColWidth="10" defaultColWidth="11.42578125" defaultRowHeight="15" x14ac:dyDescent="0.2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x14ac:dyDescent="0.3"/>
    <row r="2" spans="2:8" ht="18" x14ac:dyDescent="0.25">
      <c r="B2" s="377" t="s">
        <v>119</v>
      </c>
      <c r="C2" s="378"/>
      <c r="D2" s="378"/>
      <c r="E2" s="378"/>
      <c r="F2" s="378"/>
      <c r="G2" s="378"/>
      <c r="H2" s="379"/>
    </row>
    <row r="3" spans="2:8" x14ac:dyDescent="0.25">
      <c r="B3" s="74"/>
      <c r="C3" s="75"/>
      <c r="D3" s="75"/>
      <c r="E3" s="75"/>
      <c r="F3" s="75"/>
      <c r="G3" s="75"/>
      <c r="H3" s="76"/>
    </row>
    <row r="4" spans="2:8" ht="63" customHeight="1" x14ac:dyDescent="0.25">
      <c r="B4" s="380" t="s">
        <v>120</v>
      </c>
      <c r="C4" s="381"/>
      <c r="D4" s="381"/>
      <c r="E4" s="381"/>
      <c r="F4" s="381"/>
      <c r="G4" s="381"/>
      <c r="H4" s="382"/>
    </row>
    <row r="5" spans="2:8" ht="63" customHeight="1" x14ac:dyDescent="0.25">
      <c r="B5" s="383"/>
      <c r="C5" s="384"/>
      <c r="D5" s="384"/>
      <c r="E5" s="384"/>
      <c r="F5" s="384"/>
      <c r="G5" s="384"/>
      <c r="H5" s="385"/>
    </row>
    <row r="6" spans="2:8" ht="16.5" x14ac:dyDescent="0.25">
      <c r="B6" s="386" t="s">
        <v>121</v>
      </c>
      <c r="C6" s="387"/>
      <c r="D6" s="387"/>
      <c r="E6" s="387"/>
      <c r="F6" s="387"/>
      <c r="G6" s="387"/>
      <c r="H6" s="388"/>
    </row>
    <row r="7" spans="2:8" ht="95.25" customHeight="1" x14ac:dyDescent="0.25">
      <c r="B7" s="396" t="s">
        <v>122</v>
      </c>
      <c r="C7" s="397"/>
      <c r="D7" s="397"/>
      <c r="E7" s="397"/>
      <c r="F7" s="397"/>
      <c r="G7" s="397"/>
      <c r="H7" s="398"/>
    </row>
    <row r="8" spans="2:8" ht="16.5" x14ac:dyDescent="0.25">
      <c r="B8" s="110"/>
      <c r="C8" s="111"/>
      <c r="D8" s="111"/>
      <c r="E8" s="111"/>
      <c r="F8" s="111"/>
      <c r="G8" s="111"/>
      <c r="H8" s="112"/>
    </row>
    <row r="9" spans="2:8" ht="16.5" customHeight="1" x14ac:dyDescent="0.25">
      <c r="B9" s="389" t="s">
        <v>123</v>
      </c>
      <c r="C9" s="390"/>
      <c r="D9" s="390"/>
      <c r="E9" s="390"/>
      <c r="F9" s="390"/>
      <c r="G9" s="390"/>
      <c r="H9" s="391"/>
    </row>
    <row r="10" spans="2:8" ht="44.25" customHeight="1" x14ac:dyDescent="0.25">
      <c r="B10" s="389"/>
      <c r="C10" s="390"/>
      <c r="D10" s="390"/>
      <c r="E10" s="390"/>
      <c r="F10" s="390"/>
      <c r="G10" s="390"/>
      <c r="H10" s="391"/>
    </row>
    <row r="11" spans="2:8" ht="15.75" thickBot="1" x14ac:dyDescent="0.3">
      <c r="B11" s="99"/>
      <c r="C11" s="102"/>
      <c r="D11" s="107"/>
      <c r="E11" s="108"/>
      <c r="F11" s="108"/>
      <c r="G11" s="109"/>
      <c r="H11" s="103"/>
    </row>
    <row r="12" spans="2:8" ht="15.75" thickTop="1" x14ac:dyDescent="0.25">
      <c r="B12" s="99"/>
      <c r="C12" s="392" t="s">
        <v>124</v>
      </c>
      <c r="D12" s="393"/>
      <c r="E12" s="394" t="s">
        <v>125</v>
      </c>
      <c r="F12" s="395"/>
      <c r="G12" s="102"/>
      <c r="H12" s="103"/>
    </row>
    <row r="13" spans="2:8" ht="35.25" customHeight="1" x14ac:dyDescent="0.25">
      <c r="B13" s="99"/>
      <c r="C13" s="364" t="s">
        <v>126</v>
      </c>
      <c r="D13" s="365"/>
      <c r="E13" s="362" t="s">
        <v>127</v>
      </c>
      <c r="F13" s="363"/>
      <c r="G13" s="102"/>
      <c r="H13" s="103"/>
    </row>
    <row r="14" spans="2:8" ht="17.25" customHeight="1" x14ac:dyDescent="0.25">
      <c r="B14" s="99"/>
      <c r="C14" s="364" t="s">
        <v>128</v>
      </c>
      <c r="D14" s="365"/>
      <c r="E14" s="362" t="s">
        <v>129</v>
      </c>
      <c r="F14" s="363"/>
      <c r="G14" s="102"/>
      <c r="H14" s="103"/>
    </row>
    <row r="15" spans="2:8" ht="19.5" customHeight="1" x14ac:dyDescent="0.25">
      <c r="B15" s="99"/>
      <c r="C15" s="364" t="s">
        <v>130</v>
      </c>
      <c r="D15" s="365"/>
      <c r="E15" s="362" t="s">
        <v>131</v>
      </c>
      <c r="F15" s="363"/>
      <c r="G15" s="102"/>
      <c r="H15" s="103"/>
    </row>
    <row r="16" spans="2:8" ht="69.75" customHeight="1" x14ac:dyDescent="0.25">
      <c r="B16" s="99"/>
      <c r="C16" s="360" t="s">
        <v>132</v>
      </c>
      <c r="D16" s="361"/>
      <c r="E16" s="362" t="s">
        <v>133</v>
      </c>
      <c r="F16" s="363"/>
      <c r="G16" s="102"/>
      <c r="H16" s="103"/>
    </row>
    <row r="17" spans="2:8" ht="34.5" customHeight="1" x14ac:dyDescent="0.25">
      <c r="B17" s="99"/>
      <c r="C17" s="366" t="s">
        <v>134</v>
      </c>
      <c r="D17" s="367"/>
      <c r="E17" s="356" t="s">
        <v>135</v>
      </c>
      <c r="F17" s="357"/>
      <c r="G17" s="102"/>
      <c r="H17" s="103"/>
    </row>
    <row r="18" spans="2:8" ht="27.75" customHeight="1" x14ac:dyDescent="0.25">
      <c r="B18" s="99"/>
      <c r="C18" s="366" t="s">
        <v>136</v>
      </c>
      <c r="D18" s="367"/>
      <c r="E18" s="356" t="s">
        <v>137</v>
      </c>
      <c r="F18" s="357"/>
      <c r="G18" s="102"/>
      <c r="H18" s="103"/>
    </row>
    <row r="19" spans="2:8" ht="28.5" customHeight="1" x14ac:dyDescent="0.25">
      <c r="B19" s="99"/>
      <c r="C19" s="366" t="s">
        <v>138</v>
      </c>
      <c r="D19" s="367"/>
      <c r="E19" s="356" t="s">
        <v>139</v>
      </c>
      <c r="F19" s="357"/>
      <c r="G19" s="102"/>
      <c r="H19" s="103"/>
    </row>
    <row r="20" spans="2:8" ht="72.75" customHeight="1" x14ac:dyDescent="0.25">
      <c r="B20" s="99"/>
      <c r="C20" s="366" t="s">
        <v>140</v>
      </c>
      <c r="D20" s="367"/>
      <c r="E20" s="356" t="s">
        <v>141</v>
      </c>
      <c r="F20" s="357"/>
      <c r="G20" s="102"/>
      <c r="H20" s="103"/>
    </row>
    <row r="21" spans="2:8" ht="64.5" customHeight="1" x14ac:dyDescent="0.25">
      <c r="B21" s="99"/>
      <c r="C21" s="366" t="s">
        <v>142</v>
      </c>
      <c r="D21" s="367"/>
      <c r="E21" s="356" t="s">
        <v>143</v>
      </c>
      <c r="F21" s="357"/>
      <c r="G21" s="102"/>
      <c r="H21" s="103"/>
    </row>
    <row r="22" spans="2:8" ht="71.25" customHeight="1" x14ac:dyDescent="0.25">
      <c r="B22" s="99"/>
      <c r="C22" s="366" t="s">
        <v>144</v>
      </c>
      <c r="D22" s="367"/>
      <c r="E22" s="356" t="s">
        <v>145</v>
      </c>
      <c r="F22" s="357"/>
      <c r="G22" s="102"/>
      <c r="H22" s="103"/>
    </row>
    <row r="23" spans="2:8" ht="55.5" customHeight="1" x14ac:dyDescent="0.25">
      <c r="B23" s="99"/>
      <c r="C23" s="358" t="s">
        <v>146</v>
      </c>
      <c r="D23" s="359"/>
      <c r="E23" s="356" t="s">
        <v>147</v>
      </c>
      <c r="F23" s="357"/>
      <c r="G23" s="102"/>
      <c r="H23" s="103"/>
    </row>
    <row r="24" spans="2:8" ht="42" customHeight="1" x14ac:dyDescent="0.25">
      <c r="B24" s="99"/>
      <c r="C24" s="358" t="s">
        <v>148</v>
      </c>
      <c r="D24" s="359"/>
      <c r="E24" s="356" t="s">
        <v>149</v>
      </c>
      <c r="F24" s="357"/>
      <c r="G24" s="102"/>
      <c r="H24" s="103"/>
    </row>
    <row r="25" spans="2:8" ht="59.25" customHeight="1" x14ac:dyDescent="0.25">
      <c r="B25" s="99"/>
      <c r="C25" s="358" t="s">
        <v>150</v>
      </c>
      <c r="D25" s="359"/>
      <c r="E25" s="356" t="s">
        <v>151</v>
      </c>
      <c r="F25" s="357"/>
      <c r="G25" s="102"/>
      <c r="H25" s="103"/>
    </row>
    <row r="26" spans="2:8" ht="23.25" customHeight="1" x14ac:dyDescent="0.25">
      <c r="B26" s="99"/>
      <c r="C26" s="358" t="s">
        <v>152</v>
      </c>
      <c r="D26" s="359"/>
      <c r="E26" s="356" t="s">
        <v>153</v>
      </c>
      <c r="F26" s="357"/>
      <c r="G26" s="102"/>
      <c r="H26" s="103"/>
    </row>
    <row r="27" spans="2:8" ht="30.75" customHeight="1" x14ac:dyDescent="0.25">
      <c r="B27" s="99"/>
      <c r="C27" s="358" t="s">
        <v>154</v>
      </c>
      <c r="D27" s="359"/>
      <c r="E27" s="356" t="s">
        <v>155</v>
      </c>
      <c r="F27" s="357"/>
      <c r="G27" s="102"/>
      <c r="H27" s="103"/>
    </row>
    <row r="28" spans="2:8" ht="35.25" customHeight="1" x14ac:dyDescent="0.25">
      <c r="B28" s="99"/>
      <c r="C28" s="358" t="s">
        <v>156</v>
      </c>
      <c r="D28" s="359"/>
      <c r="E28" s="356" t="s">
        <v>157</v>
      </c>
      <c r="F28" s="357"/>
      <c r="G28" s="102"/>
      <c r="H28" s="103"/>
    </row>
    <row r="29" spans="2:8" ht="33" customHeight="1" x14ac:dyDescent="0.25">
      <c r="B29" s="99"/>
      <c r="C29" s="358" t="s">
        <v>156</v>
      </c>
      <c r="D29" s="359"/>
      <c r="E29" s="356" t="s">
        <v>157</v>
      </c>
      <c r="F29" s="357"/>
      <c r="G29" s="102"/>
      <c r="H29" s="103"/>
    </row>
    <row r="30" spans="2:8" ht="30" customHeight="1" x14ac:dyDescent="0.25">
      <c r="B30" s="99"/>
      <c r="C30" s="358" t="s">
        <v>158</v>
      </c>
      <c r="D30" s="359"/>
      <c r="E30" s="356" t="s">
        <v>159</v>
      </c>
      <c r="F30" s="357"/>
      <c r="G30" s="102"/>
      <c r="H30" s="103"/>
    </row>
    <row r="31" spans="2:8" ht="35.25" customHeight="1" x14ac:dyDescent="0.25">
      <c r="B31" s="99"/>
      <c r="C31" s="358" t="s">
        <v>160</v>
      </c>
      <c r="D31" s="359"/>
      <c r="E31" s="356" t="s">
        <v>161</v>
      </c>
      <c r="F31" s="357"/>
      <c r="G31" s="102"/>
      <c r="H31" s="103"/>
    </row>
    <row r="32" spans="2:8" ht="31.5" customHeight="1" x14ac:dyDescent="0.25">
      <c r="B32" s="99"/>
      <c r="C32" s="358" t="s">
        <v>162</v>
      </c>
      <c r="D32" s="359"/>
      <c r="E32" s="356" t="s">
        <v>163</v>
      </c>
      <c r="F32" s="357"/>
      <c r="G32" s="102"/>
      <c r="H32" s="103"/>
    </row>
    <row r="33" spans="2:8" ht="35.25" customHeight="1" x14ac:dyDescent="0.25">
      <c r="B33" s="99"/>
      <c r="C33" s="358" t="s">
        <v>164</v>
      </c>
      <c r="D33" s="359"/>
      <c r="E33" s="356" t="s">
        <v>165</v>
      </c>
      <c r="F33" s="357"/>
      <c r="G33" s="102"/>
      <c r="H33" s="103"/>
    </row>
    <row r="34" spans="2:8" ht="59.25" customHeight="1" x14ac:dyDescent="0.25">
      <c r="B34" s="99"/>
      <c r="C34" s="358" t="s">
        <v>166</v>
      </c>
      <c r="D34" s="359"/>
      <c r="E34" s="356" t="s">
        <v>167</v>
      </c>
      <c r="F34" s="357"/>
      <c r="G34" s="102"/>
      <c r="H34" s="103"/>
    </row>
    <row r="35" spans="2:8" ht="29.25" customHeight="1" x14ac:dyDescent="0.25">
      <c r="B35" s="99"/>
      <c r="C35" s="358" t="s">
        <v>168</v>
      </c>
      <c r="D35" s="359"/>
      <c r="E35" s="375" t="s">
        <v>169</v>
      </c>
      <c r="F35" s="376"/>
      <c r="G35" s="102"/>
      <c r="H35" s="103"/>
    </row>
    <row r="36" spans="2:8" ht="82.5" customHeight="1" x14ac:dyDescent="0.25">
      <c r="B36" s="99"/>
      <c r="C36" s="358" t="s">
        <v>170</v>
      </c>
      <c r="D36" s="359"/>
      <c r="E36" s="356" t="s">
        <v>171</v>
      </c>
      <c r="F36" s="357"/>
      <c r="G36" s="102"/>
      <c r="H36" s="103"/>
    </row>
    <row r="37" spans="2:8" ht="46.5" customHeight="1" x14ac:dyDescent="0.25">
      <c r="B37" s="99"/>
      <c r="C37" s="358" t="s">
        <v>172</v>
      </c>
      <c r="D37" s="359"/>
      <c r="E37" s="356" t="s">
        <v>173</v>
      </c>
      <c r="F37" s="357"/>
      <c r="G37" s="102"/>
      <c r="H37" s="103"/>
    </row>
    <row r="38" spans="2:8" ht="6.75" customHeight="1" thickBot="1" x14ac:dyDescent="0.3">
      <c r="B38" s="99"/>
      <c r="C38" s="371"/>
      <c r="D38" s="372"/>
      <c r="E38" s="373"/>
      <c r="F38" s="374"/>
      <c r="G38" s="102"/>
      <c r="H38" s="103"/>
    </row>
    <row r="39" spans="2:8" ht="15.75" thickTop="1" x14ac:dyDescent="0.25">
      <c r="B39" s="99"/>
      <c r="C39" s="100"/>
      <c r="D39" s="100"/>
      <c r="E39" s="101"/>
      <c r="F39" s="101"/>
      <c r="G39" s="102"/>
      <c r="H39" s="103"/>
    </row>
    <row r="40" spans="2:8" ht="21" customHeight="1" x14ac:dyDescent="0.25">
      <c r="B40" s="368" t="s">
        <v>174</v>
      </c>
      <c r="C40" s="369"/>
      <c r="D40" s="369"/>
      <c r="E40" s="369"/>
      <c r="F40" s="369"/>
      <c r="G40" s="369"/>
      <c r="H40" s="370"/>
    </row>
    <row r="41" spans="2:8" ht="20.25" customHeight="1" x14ac:dyDescent="0.25">
      <c r="B41" s="368" t="s">
        <v>175</v>
      </c>
      <c r="C41" s="369"/>
      <c r="D41" s="369"/>
      <c r="E41" s="369"/>
      <c r="F41" s="369"/>
      <c r="G41" s="369"/>
      <c r="H41" s="370"/>
    </row>
    <row r="42" spans="2:8" ht="20.25" customHeight="1" x14ac:dyDescent="0.25">
      <c r="B42" s="368" t="s">
        <v>176</v>
      </c>
      <c r="C42" s="369"/>
      <c r="D42" s="369"/>
      <c r="E42" s="369"/>
      <c r="F42" s="369"/>
      <c r="G42" s="369"/>
      <c r="H42" s="370"/>
    </row>
    <row r="43" spans="2:8" ht="20.25" customHeight="1" x14ac:dyDescent="0.25">
      <c r="B43" s="368" t="s">
        <v>177</v>
      </c>
      <c r="C43" s="369"/>
      <c r="D43" s="369"/>
      <c r="E43" s="369"/>
      <c r="F43" s="369"/>
      <c r="G43" s="369"/>
      <c r="H43" s="370"/>
    </row>
    <row r="44" spans="2:8" x14ac:dyDescent="0.25">
      <c r="B44" s="368" t="s">
        <v>178</v>
      </c>
      <c r="C44" s="369"/>
      <c r="D44" s="369"/>
      <c r="E44" s="369"/>
      <c r="F44" s="369"/>
      <c r="G44" s="369"/>
      <c r="H44" s="370"/>
    </row>
    <row r="45" spans="2:8" ht="15.75" thickBot="1" x14ac:dyDescent="0.3">
      <c r="B45" s="104"/>
      <c r="C45" s="105"/>
      <c r="D45" s="105"/>
      <c r="E45" s="105"/>
      <c r="F45" s="105"/>
      <c r="G45" s="105"/>
      <c r="H45" s="106"/>
    </row>
  </sheetData>
  <mergeCells count="64">
    <mergeCell ref="B2:H2"/>
    <mergeCell ref="B4:H5"/>
    <mergeCell ref="B6:H6"/>
    <mergeCell ref="B9:H10"/>
    <mergeCell ref="C12:D12"/>
    <mergeCell ref="E12:F12"/>
    <mergeCell ref="B7:H7"/>
    <mergeCell ref="C13:D13"/>
    <mergeCell ref="E13:F13"/>
    <mergeCell ref="C17:D17"/>
    <mergeCell ref="E17:F17"/>
    <mergeCell ref="C21:D21"/>
    <mergeCell ref="C18:D18"/>
    <mergeCell ref="C19:D19"/>
    <mergeCell ref="C20:D20"/>
    <mergeCell ref="E18:F18"/>
    <mergeCell ref="E19:F19"/>
    <mergeCell ref="E20:F20"/>
    <mergeCell ref="E21:F21"/>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33:D33"/>
    <mergeCell ref="B40:H40"/>
    <mergeCell ref="C29:D29"/>
    <mergeCell ref="E29:F29"/>
    <mergeCell ref="C30:D30"/>
    <mergeCell ref="E30:F30"/>
    <mergeCell ref="E33:F33"/>
    <mergeCell ref="C34:D34"/>
    <mergeCell ref="C35:D35"/>
    <mergeCell ref="E35:F35"/>
    <mergeCell ref="C36:D36"/>
    <mergeCell ref="E36:F36"/>
    <mergeCell ref="B41:H41"/>
    <mergeCell ref="C38:D38"/>
    <mergeCell ref="E38:F38"/>
    <mergeCell ref="C37:D37"/>
    <mergeCell ref="E37:F37"/>
    <mergeCell ref="E28:F28"/>
    <mergeCell ref="C28:D28"/>
    <mergeCell ref="C16:D16"/>
    <mergeCell ref="E16:F16"/>
    <mergeCell ref="C14:D14"/>
    <mergeCell ref="E14:F14"/>
    <mergeCell ref="C15:D15"/>
    <mergeCell ref="E15:F15"/>
    <mergeCell ref="E22:F22"/>
    <mergeCell ref="C22:D22"/>
    <mergeCell ref="C25:D25"/>
    <mergeCell ref="E25:F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opLeftCell="A22" zoomScale="80" zoomScaleNormal="80" workbookViewId="0">
      <selection activeCell="K36" sqref="K36"/>
    </sheetView>
  </sheetViews>
  <sheetFormatPr baseColWidth="10" defaultColWidth="14.42578125" defaultRowHeight="15" customHeight="1" x14ac:dyDescent="0.2"/>
  <cols>
    <col min="1" max="1" width="4.140625" style="113" customWidth="1"/>
    <col min="2" max="13" width="15.7109375" style="113" customWidth="1"/>
    <col min="14" max="26" width="10.7109375" style="113" customWidth="1"/>
    <col min="27" max="16384" width="14.42578125" style="113"/>
  </cols>
  <sheetData>
    <row r="1" spans="1:26" ht="18" customHeight="1" x14ac:dyDescent="0.2">
      <c r="A1" s="281"/>
      <c r="B1" s="281"/>
      <c r="C1" s="281"/>
      <c r="D1" s="439" t="s">
        <v>179</v>
      </c>
      <c r="E1" s="319"/>
      <c r="F1" s="319"/>
      <c r="G1" s="319"/>
      <c r="H1" s="319"/>
      <c r="I1" s="319"/>
      <c r="J1" s="319"/>
      <c r="K1" s="319"/>
      <c r="L1" s="440" t="s">
        <v>180</v>
      </c>
      <c r="M1" s="319"/>
      <c r="N1" s="281"/>
      <c r="O1" s="281"/>
      <c r="P1" s="281"/>
      <c r="Q1" s="281"/>
      <c r="R1" s="281"/>
      <c r="S1" s="281"/>
      <c r="T1" s="281"/>
      <c r="U1" s="281"/>
      <c r="V1" s="281"/>
      <c r="W1" s="281"/>
      <c r="X1" s="281"/>
      <c r="Y1" s="281"/>
      <c r="Z1" s="281"/>
    </row>
    <row r="2" spans="1:26" ht="14.25" x14ac:dyDescent="0.2">
      <c r="A2" s="281"/>
      <c r="B2" s="281"/>
      <c r="C2" s="281"/>
      <c r="D2" s="319"/>
      <c r="E2" s="327"/>
      <c r="F2" s="327"/>
      <c r="G2" s="327"/>
      <c r="H2" s="327"/>
      <c r="I2" s="327"/>
      <c r="J2" s="327"/>
      <c r="K2" s="319"/>
      <c r="L2" s="440" t="s">
        <v>181</v>
      </c>
      <c r="M2" s="319"/>
      <c r="N2" s="281"/>
      <c r="O2" s="281"/>
      <c r="P2" s="281"/>
      <c r="Q2" s="281"/>
      <c r="R2" s="281"/>
      <c r="S2" s="281"/>
      <c r="T2" s="281"/>
      <c r="U2" s="281"/>
      <c r="V2" s="281"/>
      <c r="W2" s="281"/>
      <c r="X2" s="281"/>
      <c r="Y2" s="281"/>
      <c r="Z2" s="281"/>
    </row>
    <row r="3" spans="1:26" ht="14.25" x14ac:dyDescent="0.2">
      <c r="A3" s="281"/>
      <c r="B3" s="281"/>
      <c r="C3" s="281"/>
      <c r="D3" s="319"/>
      <c r="E3" s="327"/>
      <c r="F3" s="327"/>
      <c r="G3" s="327"/>
      <c r="H3" s="327"/>
      <c r="I3" s="327"/>
      <c r="J3" s="327"/>
      <c r="K3" s="319"/>
      <c r="L3" s="439" t="s">
        <v>182</v>
      </c>
      <c r="M3" s="319"/>
      <c r="N3" s="281"/>
      <c r="O3" s="281"/>
      <c r="P3" s="281"/>
      <c r="Q3" s="281"/>
      <c r="R3" s="281"/>
      <c r="S3" s="281"/>
      <c r="T3" s="281"/>
      <c r="U3" s="281"/>
      <c r="V3" s="281"/>
      <c r="W3" s="281"/>
      <c r="X3" s="281"/>
      <c r="Y3" s="281"/>
      <c r="Z3" s="281"/>
    </row>
    <row r="4" spans="1:26" ht="35.1" customHeight="1" x14ac:dyDescent="0.2">
      <c r="A4" s="281"/>
      <c r="B4" s="440" t="s">
        <v>183</v>
      </c>
      <c r="C4" s="319"/>
      <c r="D4" s="319"/>
      <c r="E4" s="319"/>
      <c r="F4" s="319"/>
      <c r="G4" s="319"/>
      <c r="H4" s="319"/>
      <c r="I4" s="319"/>
      <c r="J4" s="319"/>
      <c r="K4" s="319"/>
      <c r="L4" s="319"/>
      <c r="M4" s="319"/>
      <c r="N4" s="281"/>
      <c r="O4" s="281"/>
      <c r="P4" s="281"/>
      <c r="Q4" s="281"/>
      <c r="R4" s="281"/>
      <c r="S4" s="281"/>
      <c r="T4" s="281"/>
      <c r="U4" s="281"/>
      <c r="V4" s="281"/>
      <c r="W4" s="281"/>
      <c r="X4" s="281"/>
      <c r="Y4" s="281"/>
      <c r="Z4" s="281"/>
    </row>
    <row r="5" spans="1:26" ht="14.25" x14ac:dyDescent="0.2">
      <c r="A5" s="281"/>
      <c r="B5" s="281"/>
      <c r="C5" s="281"/>
      <c r="D5" s="281"/>
      <c r="E5" s="281"/>
      <c r="F5" s="281"/>
      <c r="G5" s="281"/>
      <c r="H5" s="281"/>
      <c r="I5" s="281"/>
      <c r="J5" s="281"/>
      <c r="K5" s="281"/>
      <c r="L5" s="281"/>
      <c r="M5" s="281"/>
      <c r="N5" s="281"/>
      <c r="O5" s="281"/>
      <c r="P5" s="281"/>
      <c r="Q5" s="281"/>
      <c r="R5" s="281"/>
      <c r="S5" s="281"/>
      <c r="T5" s="281"/>
      <c r="U5" s="281"/>
      <c r="V5" s="281"/>
      <c r="W5" s="281"/>
      <c r="X5" s="281"/>
      <c r="Y5" s="281"/>
      <c r="Z5" s="281"/>
    </row>
    <row r="6" spans="1:26" s="284" customFormat="1" ht="27" customHeight="1" x14ac:dyDescent="0.25">
      <c r="A6" s="422" t="s">
        <v>184</v>
      </c>
      <c r="B6" s="422"/>
      <c r="C6" s="422"/>
      <c r="D6" s="433" t="s">
        <v>185</v>
      </c>
      <c r="E6" s="434"/>
      <c r="F6" s="435"/>
      <c r="G6" s="422" t="s">
        <v>186</v>
      </c>
      <c r="H6" s="422"/>
      <c r="I6" s="436" t="s">
        <v>187</v>
      </c>
      <c r="J6" s="437"/>
      <c r="K6" s="437"/>
      <c r="L6" s="437"/>
      <c r="M6" s="438"/>
      <c r="N6" s="283"/>
      <c r="O6" s="283"/>
      <c r="P6" s="283"/>
      <c r="Q6" s="283"/>
      <c r="R6" s="283"/>
      <c r="S6" s="283"/>
      <c r="T6" s="283"/>
      <c r="U6" s="283"/>
      <c r="V6" s="283"/>
      <c r="W6" s="283"/>
      <c r="X6" s="283"/>
      <c r="Y6" s="283"/>
      <c r="Z6" s="283"/>
    </row>
    <row r="7" spans="1:26" s="284" customFormat="1" ht="26.25" customHeight="1" x14ac:dyDescent="0.25">
      <c r="A7" s="422" t="s">
        <v>188</v>
      </c>
      <c r="B7" s="422"/>
      <c r="C7" s="422"/>
      <c r="D7" s="423">
        <v>44682</v>
      </c>
      <c r="E7" s="424"/>
      <c r="F7" s="425"/>
      <c r="G7" s="283"/>
      <c r="H7" s="283"/>
      <c r="I7" s="283"/>
      <c r="J7" s="283"/>
      <c r="K7" s="283"/>
      <c r="L7" s="283"/>
      <c r="M7" s="283"/>
      <c r="N7" s="283"/>
      <c r="O7" s="283"/>
      <c r="P7" s="283"/>
      <c r="Q7" s="283"/>
      <c r="R7" s="283"/>
      <c r="S7" s="283"/>
      <c r="T7" s="283"/>
      <c r="U7" s="283"/>
      <c r="V7" s="283"/>
      <c r="W7" s="283"/>
      <c r="X7" s="283"/>
      <c r="Y7" s="283"/>
      <c r="Z7" s="283"/>
    </row>
    <row r="8" spans="1:26" ht="26.25" customHeight="1" x14ac:dyDescent="0.2">
      <c r="A8" s="281"/>
      <c r="B8" s="281"/>
      <c r="C8" s="281"/>
      <c r="D8" s="281"/>
      <c r="E8" s="281"/>
      <c r="F8" s="281"/>
      <c r="G8" s="281"/>
      <c r="H8" s="281"/>
      <c r="I8" s="281"/>
      <c r="J8" s="281"/>
      <c r="K8" s="281"/>
      <c r="L8" s="281"/>
      <c r="M8" s="281"/>
      <c r="N8" s="281"/>
      <c r="O8" s="281"/>
      <c r="P8" s="281"/>
      <c r="Q8" s="281"/>
      <c r="R8" s="281"/>
      <c r="S8" s="281"/>
      <c r="T8" s="281"/>
      <c r="U8" s="281"/>
      <c r="V8" s="281"/>
      <c r="W8" s="281"/>
      <c r="X8" s="281"/>
      <c r="Y8" s="281"/>
      <c r="Z8" s="281"/>
    </row>
    <row r="9" spans="1:26" s="285" customFormat="1" ht="25.5" customHeight="1" x14ac:dyDescent="0.25">
      <c r="A9" s="426" t="s">
        <v>189</v>
      </c>
      <c r="B9" s="429" t="s">
        <v>190</v>
      </c>
      <c r="C9" s="430"/>
      <c r="D9" s="430"/>
      <c r="E9" s="430"/>
      <c r="F9" s="430"/>
      <c r="G9" s="431"/>
      <c r="H9" s="429" t="s">
        <v>191</v>
      </c>
      <c r="I9" s="430"/>
      <c r="J9" s="430"/>
      <c r="K9" s="430"/>
      <c r="L9" s="430"/>
      <c r="M9" s="431"/>
      <c r="N9" s="282"/>
      <c r="O9" s="282"/>
      <c r="P9" s="282"/>
      <c r="Q9" s="282"/>
      <c r="R9" s="282"/>
      <c r="S9" s="282"/>
      <c r="T9" s="282"/>
      <c r="U9" s="282"/>
      <c r="V9" s="282"/>
      <c r="W9" s="282"/>
      <c r="X9" s="282"/>
      <c r="Y9" s="282"/>
      <c r="Z9" s="282"/>
    </row>
    <row r="10" spans="1:26" s="285" customFormat="1" ht="25.5" customHeight="1" x14ac:dyDescent="0.25">
      <c r="A10" s="427"/>
      <c r="B10" s="421" t="s">
        <v>192</v>
      </c>
      <c r="C10" s="421"/>
      <c r="D10" s="421"/>
      <c r="E10" s="421"/>
      <c r="F10" s="421"/>
      <c r="G10" s="421"/>
      <c r="H10" s="421" t="s">
        <v>193</v>
      </c>
      <c r="I10" s="421"/>
      <c r="J10" s="421"/>
      <c r="K10" s="421"/>
      <c r="L10" s="421"/>
      <c r="M10" s="421"/>
      <c r="N10" s="282"/>
      <c r="O10" s="282"/>
      <c r="P10" s="282"/>
      <c r="Q10" s="282"/>
      <c r="R10" s="282"/>
      <c r="S10" s="282"/>
      <c r="T10" s="282"/>
      <c r="U10" s="282"/>
      <c r="V10" s="282"/>
      <c r="W10" s="282"/>
      <c r="X10" s="282"/>
      <c r="Y10" s="282"/>
      <c r="Z10" s="282"/>
    </row>
    <row r="11" spans="1:26" s="285" customFormat="1" ht="25.5" customHeight="1" x14ac:dyDescent="0.25">
      <c r="A11" s="427"/>
      <c r="B11" s="421" t="s">
        <v>194</v>
      </c>
      <c r="C11" s="421"/>
      <c r="D11" s="421"/>
      <c r="E11" s="421"/>
      <c r="F11" s="421"/>
      <c r="G11" s="421"/>
      <c r="H11" s="421" t="s">
        <v>195</v>
      </c>
      <c r="I11" s="421"/>
      <c r="J11" s="421"/>
      <c r="K11" s="421"/>
      <c r="L11" s="421"/>
      <c r="M11" s="421"/>
      <c r="N11" s="282"/>
      <c r="O11" s="282"/>
      <c r="P11" s="282"/>
      <c r="Q11" s="282"/>
      <c r="R11" s="282"/>
      <c r="S11" s="282"/>
      <c r="T11" s="282"/>
      <c r="U11" s="282"/>
      <c r="V11" s="282"/>
      <c r="W11" s="282"/>
      <c r="X11" s="282"/>
      <c r="Y11" s="282"/>
      <c r="Z11" s="282"/>
    </row>
    <row r="12" spans="1:26" s="285" customFormat="1" ht="25.5" customHeight="1" x14ac:dyDescent="0.25">
      <c r="A12" s="427"/>
      <c r="B12" s="421" t="s">
        <v>196</v>
      </c>
      <c r="C12" s="421"/>
      <c r="D12" s="421"/>
      <c r="E12" s="421"/>
      <c r="F12" s="421"/>
      <c r="G12" s="421"/>
      <c r="H12" s="432" t="s">
        <v>197</v>
      </c>
      <c r="I12" s="432"/>
      <c r="J12" s="432"/>
      <c r="K12" s="432"/>
      <c r="L12" s="432"/>
      <c r="M12" s="432"/>
      <c r="N12" s="282"/>
      <c r="O12" s="282"/>
      <c r="P12" s="282"/>
      <c r="Q12" s="282"/>
      <c r="R12" s="282"/>
      <c r="S12" s="282"/>
      <c r="T12" s="282"/>
      <c r="U12" s="282"/>
      <c r="V12" s="282"/>
      <c r="W12" s="282"/>
      <c r="X12" s="282"/>
      <c r="Y12" s="282"/>
      <c r="Z12" s="282"/>
    </row>
    <row r="13" spans="1:26" s="285" customFormat="1" ht="25.5" customHeight="1" x14ac:dyDescent="0.25">
      <c r="A13" s="427"/>
      <c r="B13" s="421" t="s">
        <v>198</v>
      </c>
      <c r="C13" s="421"/>
      <c r="D13" s="421"/>
      <c r="E13" s="421"/>
      <c r="F13" s="421"/>
      <c r="G13" s="421"/>
      <c r="H13" s="411" t="s">
        <v>199</v>
      </c>
      <c r="I13" s="412"/>
      <c r="J13" s="412"/>
      <c r="K13" s="412"/>
      <c r="L13" s="412"/>
      <c r="M13" s="413"/>
      <c r="N13" s="282"/>
      <c r="O13" s="282"/>
      <c r="P13" s="282"/>
      <c r="Q13" s="282"/>
      <c r="R13" s="282"/>
      <c r="S13" s="282"/>
      <c r="T13" s="282"/>
      <c r="U13" s="282"/>
      <c r="V13" s="282"/>
      <c r="W13" s="282"/>
      <c r="X13" s="282"/>
      <c r="Y13" s="282"/>
      <c r="Z13" s="282"/>
    </row>
    <row r="14" spans="1:26" s="285" customFormat="1" ht="25.5" customHeight="1" x14ac:dyDescent="0.25">
      <c r="A14" s="427"/>
      <c r="B14" s="411" t="s">
        <v>200</v>
      </c>
      <c r="C14" s="412"/>
      <c r="D14" s="412"/>
      <c r="E14" s="412"/>
      <c r="F14" s="412"/>
      <c r="G14" s="413"/>
      <c r="H14" s="411" t="s">
        <v>200</v>
      </c>
      <c r="I14" s="412"/>
      <c r="J14" s="412"/>
      <c r="K14" s="412"/>
      <c r="L14" s="412"/>
      <c r="M14" s="413"/>
      <c r="N14" s="282"/>
      <c r="O14" s="282"/>
      <c r="P14" s="282"/>
      <c r="Q14" s="282"/>
      <c r="R14" s="282"/>
      <c r="S14" s="282"/>
      <c r="T14" s="282"/>
      <c r="U14" s="282"/>
      <c r="V14" s="282"/>
      <c r="W14" s="282"/>
      <c r="X14" s="282"/>
      <c r="Y14" s="282"/>
      <c r="Z14" s="282"/>
    </row>
    <row r="15" spans="1:26" s="285" customFormat="1" ht="25.5" customHeight="1" x14ac:dyDescent="0.25">
      <c r="A15" s="427"/>
      <c r="B15" s="411"/>
      <c r="C15" s="412"/>
      <c r="D15" s="412"/>
      <c r="E15" s="412"/>
      <c r="F15" s="412"/>
      <c r="G15" s="413"/>
      <c r="H15" s="411"/>
      <c r="I15" s="412"/>
      <c r="J15" s="412"/>
      <c r="K15" s="412"/>
      <c r="L15" s="412"/>
      <c r="M15" s="413"/>
      <c r="N15" s="282"/>
      <c r="O15" s="282"/>
      <c r="P15" s="282"/>
      <c r="Q15" s="282"/>
      <c r="R15" s="282"/>
      <c r="S15" s="282"/>
      <c r="T15" s="282"/>
      <c r="U15" s="282"/>
      <c r="V15" s="282"/>
      <c r="W15" s="282"/>
      <c r="X15" s="282"/>
      <c r="Y15" s="282"/>
      <c r="Z15" s="282"/>
    </row>
    <row r="16" spans="1:26" s="285" customFormat="1" ht="25.5" customHeight="1" x14ac:dyDescent="0.25">
      <c r="A16" s="427"/>
      <c r="B16" s="411"/>
      <c r="C16" s="412"/>
      <c r="D16" s="412"/>
      <c r="E16" s="412"/>
      <c r="F16" s="412"/>
      <c r="G16" s="413"/>
      <c r="H16" s="411"/>
      <c r="I16" s="412"/>
      <c r="J16" s="412"/>
      <c r="K16" s="412"/>
      <c r="L16" s="412"/>
      <c r="M16" s="413"/>
      <c r="N16" s="282"/>
      <c r="O16" s="282"/>
      <c r="P16" s="282"/>
      <c r="Q16" s="282"/>
      <c r="R16" s="282"/>
      <c r="S16" s="282"/>
      <c r="T16" s="282"/>
      <c r="U16" s="282"/>
      <c r="V16" s="282"/>
      <c r="W16" s="282"/>
      <c r="X16" s="282"/>
      <c r="Y16" s="282"/>
      <c r="Z16" s="282"/>
    </row>
    <row r="17" spans="1:26" s="285" customFormat="1" ht="25.5" customHeight="1" x14ac:dyDescent="0.25">
      <c r="A17" s="427"/>
      <c r="B17" s="411"/>
      <c r="C17" s="412"/>
      <c r="D17" s="412"/>
      <c r="E17" s="412"/>
      <c r="F17" s="412"/>
      <c r="G17" s="413"/>
      <c r="H17" s="411"/>
      <c r="I17" s="412"/>
      <c r="J17" s="412"/>
      <c r="K17" s="412"/>
      <c r="L17" s="412"/>
      <c r="M17" s="413"/>
      <c r="N17" s="282"/>
      <c r="O17" s="282"/>
      <c r="P17" s="282"/>
      <c r="Q17" s="282"/>
      <c r="R17" s="282"/>
      <c r="S17" s="282"/>
      <c r="T17" s="282"/>
      <c r="U17" s="282"/>
      <c r="V17" s="282"/>
      <c r="W17" s="282"/>
      <c r="X17" s="282"/>
      <c r="Y17" s="282"/>
      <c r="Z17" s="282"/>
    </row>
    <row r="18" spans="1:26" s="285" customFormat="1" ht="25.5" customHeight="1" x14ac:dyDescent="0.25">
      <c r="A18" s="428"/>
      <c r="B18" s="411"/>
      <c r="C18" s="412"/>
      <c r="D18" s="412"/>
      <c r="E18" s="412"/>
      <c r="F18" s="412"/>
      <c r="G18" s="413"/>
      <c r="H18" s="411"/>
      <c r="I18" s="412"/>
      <c r="J18" s="412"/>
      <c r="K18" s="412"/>
      <c r="L18" s="412"/>
      <c r="M18" s="413"/>
      <c r="N18" s="282"/>
      <c r="O18" s="282"/>
      <c r="P18" s="282"/>
      <c r="Q18" s="282"/>
      <c r="R18" s="282"/>
      <c r="S18" s="282"/>
      <c r="T18" s="282"/>
      <c r="U18" s="282"/>
      <c r="V18" s="282"/>
      <c r="W18" s="282"/>
      <c r="X18" s="282"/>
      <c r="Y18" s="282"/>
      <c r="Z18" s="282"/>
    </row>
    <row r="19" spans="1:26" s="285" customFormat="1" ht="25.5" customHeight="1" x14ac:dyDescent="0.25">
      <c r="A19" s="414" t="s">
        <v>201</v>
      </c>
      <c r="B19" s="417" t="s">
        <v>202</v>
      </c>
      <c r="C19" s="418"/>
      <c r="D19" s="418"/>
      <c r="E19" s="418"/>
      <c r="F19" s="418"/>
      <c r="G19" s="419"/>
      <c r="H19" s="420" t="s">
        <v>203</v>
      </c>
      <c r="I19" s="418"/>
      <c r="J19" s="418"/>
      <c r="K19" s="418"/>
      <c r="L19" s="418"/>
      <c r="M19" s="419"/>
      <c r="N19" s="282"/>
      <c r="O19" s="282"/>
      <c r="P19" s="282"/>
      <c r="Q19" s="282"/>
      <c r="R19" s="282"/>
      <c r="S19" s="282"/>
      <c r="T19" s="282"/>
      <c r="U19" s="282"/>
      <c r="V19" s="282"/>
      <c r="W19" s="282"/>
      <c r="X19" s="282"/>
      <c r="Y19" s="282"/>
      <c r="Z19" s="282"/>
    </row>
    <row r="20" spans="1:26" s="285" customFormat="1" ht="25.5" customHeight="1" x14ac:dyDescent="0.25">
      <c r="A20" s="415"/>
      <c r="B20" s="421" t="s">
        <v>204</v>
      </c>
      <c r="C20" s="421"/>
      <c r="D20" s="421"/>
      <c r="E20" s="421"/>
      <c r="F20" s="421"/>
      <c r="G20" s="421"/>
      <c r="H20" s="421" t="s">
        <v>205</v>
      </c>
      <c r="I20" s="421"/>
      <c r="J20" s="421"/>
      <c r="K20" s="421"/>
      <c r="L20" s="421"/>
      <c r="M20" s="421"/>
      <c r="N20" s="282"/>
      <c r="O20" s="282"/>
      <c r="P20" s="282"/>
      <c r="Q20" s="282"/>
      <c r="R20" s="282"/>
      <c r="S20" s="282"/>
      <c r="T20" s="282"/>
      <c r="U20" s="282"/>
      <c r="V20" s="282"/>
      <c r="W20" s="282"/>
      <c r="X20" s="282"/>
      <c r="Y20" s="282"/>
      <c r="Z20" s="282"/>
    </row>
    <row r="21" spans="1:26" s="285" customFormat="1" ht="25.5" customHeight="1" x14ac:dyDescent="0.25">
      <c r="A21" s="415"/>
      <c r="B21" s="421" t="s">
        <v>206</v>
      </c>
      <c r="C21" s="421"/>
      <c r="D21" s="421"/>
      <c r="E21" s="421"/>
      <c r="F21" s="421"/>
      <c r="G21" s="421"/>
      <c r="H21" s="421" t="s">
        <v>207</v>
      </c>
      <c r="I21" s="421"/>
      <c r="J21" s="421"/>
      <c r="K21" s="421"/>
      <c r="L21" s="421"/>
      <c r="M21" s="421"/>
      <c r="N21" s="282"/>
      <c r="O21" s="282"/>
      <c r="P21" s="282"/>
      <c r="Q21" s="282"/>
      <c r="R21" s="282"/>
      <c r="S21" s="282"/>
      <c r="T21" s="282"/>
      <c r="U21" s="282"/>
      <c r="V21" s="282"/>
      <c r="W21" s="282"/>
      <c r="X21" s="282"/>
      <c r="Y21" s="282"/>
      <c r="Z21" s="282"/>
    </row>
    <row r="22" spans="1:26" s="285" customFormat="1" ht="25.5" customHeight="1" x14ac:dyDescent="0.25">
      <c r="A22" s="415"/>
      <c r="B22" s="421" t="s">
        <v>208</v>
      </c>
      <c r="C22" s="421"/>
      <c r="D22" s="421"/>
      <c r="E22" s="421"/>
      <c r="F22" s="421"/>
      <c r="G22" s="421"/>
      <c r="H22" s="421" t="s">
        <v>209</v>
      </c>
      <c r="I22" s="421"/>
      <c r="J22" s="421"/>
      <c r="K22" s="421"/>
      <c r="L22" s="421"/>
      <c r="M22" s="421"/>
      <c r="N22" s="282"/>
      <c r="O22" s="282"/>
      <c r="P22" s="282"/>
      <c r="Q22" s="282"/>
      <c r="R22" s="282"/>
      <c r="S22" s="282"/>
      <c r="T22" s="282"/>
      <c r="U22" s="282"/>
      <c r="V22" s="282"/>
      <c r="W22" s="282"/>
      <c r="X22" s="282"/>
      <c r="Y22" s="282"/>
      <c r="Z22" s="282"/>
    </row>
    <row r="23" spans="1:26" s="285" customFormat="1" ht="25.5" customHeight="1" x14ac:dyDescent="0.25">
      <c r="A23" s="415"/>
      <c r="B23" s="411" t="s">
        <v>199</v>
      </c>
      <c r="C23" s="412"/>
      <c r="D23" s="412"/>
      <c r="E23" s="412"/>
      <c r="F23" s="412"/>
      <c r="G23" s="413"/>
      <c r="H23" s="421" t="s">
        <v>210</v>
      </c>
      <c r="I23" s="421"/>
      <c r="J23" s="421"/>
      <c r="K23" s="421"/>
      <c r="L23" s="421"/>
      <c r="M23" s="421"/>
      <c r="N23" s="282"/>
      <c r="O23" s="282"/>
      <c r="P23" s="282"/>
      <c r="Q23" s="282"/>
      <c r="R23" s="282"/>
      <c r="S23" s="282"/>
      <c r="T23" s="282"/>
      <c r="U23" s="282"/>
      <c r="V23" s="282"/>
      <c r="W23" s="282"/>
      <c r="X23" s="282"/>
      <c r="Y23" s="282"/>
      <c r="Z23" s="282"/>
    </row>
    <row r="24" spans="1:26" s="285" customFormat="1" ht="25.5" customHeight="1" x14ac:dyDescent="0.25">
      <c r="A24" s="415"/>
      <c r="B24" s="411" t="s">
        <v>200</v>
      </c>
      <c r="C24" s="412"/>
      <c r="D24" s="412"/>
      <c r="E24" s="412"/>
      <c r="F24" s="412"/>
      <c r="G24" s="413"/>
      <c r="H24" s="411" t="s">
        <v>200</v>
      </c>
      <c r="I24" s="412"/>
      <c r="J24" s="412"/>
      <c r="K24" s="412"/>
      <c r="L24" s="412"/>
      <c r="M24" s="413"/>
      <c r="N24" s="282"/>
      <c r="O24" s="282"/>
      <c r="P24" s="282"/>
      <c r="Q24" s="282"/>
      <c r="R24" s="282"/>
      <c r="S24" s="282"/>
      <c r="T24" s="282"/>
      <c r="U24" s="282"/>
      <c r="V24" s="282"/>
      <c r="W24" s="282"/>
      <c r="X24" s="282"/>
      <c r="Y24" s="282"/>
      <c r="Z24" s="282"/>
    </row>
    <row r="25" spans="1:26" s="285" customFormat="1" ht="25.5" customHeight="1" x14ac:dyDescent="0.25">
      <c r="A25" s="415"/>
      <c r="B25" s="411"/>
      <c r="C25" s="412"/>
      <c r="D25" s="412"/>
      <c r="E25" s="412"/>
      <c r="F25" s="412"/>
      <c r="G25" s="413"/>
      <c r="H25" s="411"/>
      <c r="I25" s="412"/>
      <c r="J25" s="412"/>
      <c r="K25" s="412"/>
      <c r="L25" s="412"/>
      <c r="M25" s="413"/>
      <c r="N25" s="282"/>
      <c r="O25" s="282"/>
      <c r="P25" s="282"/>
      <c r="Q25" s="282"/>
      <c r="R25" s="282"/>
      <c r="S25" s="282"/>
      <c r="T25" s="282"/>
      <c r="U25" s="282"/>
      <c r="V25" s="282"/>
      <c r="W25" s="282"/>
      <c r="X25" s="282"/>
      <c r="Y25" s="282"/>
      <c r="Z25" s="282"/>
    </row>
    <row r="26" spans="1:26" s="285" customFormat="1" ht="25.5" customHeight="1" x14ac:dyDescent="0.25">
      <c r="A26" s="415"/>
      <c r="B26" s="411"/>
      <c r="C26" s="412"/>
      <c r="D26" s="412"/>
      <c r="E26" s="412"/>
      <c r="F26" s="412"/>
      <c r="G26" s="413"/>
      <c r="H26" s="411"/>
      <c r="I26" s="412"/>
      <c r="J26" s="412"/>
      <c r="K26" s="412"/>
      <c r="L26" s="412"/>
      <c r="M26" s="413"/>
      <c r="N26" s="282"/>
      <c r="O26" s="282"/>
      <c r="P26" s="282"/>
      <c r="Q26" s="282"/>
      <c r="R26" s="282"/>
      <c r="S26" s="282"/>
      <c r="T26" s="282"/>
      <c r="U26" s="282"/>
      <c r="V26" s="282"/>
      <c r="W26" s="282"/>
      <c r="X26" s="282"/>
      <c r="Y26" s="282"/>
      <c r="Z26" s="282"/>
    </row>
    <row r="27" spans="1:26" s="285" customFormat="1" ht="25.5" customHeight="1" x14ac:dyDescent="0.25">
      <c r="A27" s="416"/>
      <c r="B27" s="411"/>
      <c r="C27" s="412"/>
      <c r="D27" s="412"/>
      <c r="E27" s="412"/>
      <c r="F27" s="412"/>
      <c r="G27" s="413"/>
      <c r="H27" s="411"/>
      <c r="I27" s="412"/>
      <c r="J27" s="412"/>
      <c r="K27" s="412"/>
      <c r="L27" s="412"/>
      <c r="M27" s="413"/>
      <c r="N27" s="282"/>
      <c r="O27" s="282"/>
      <c r="P27" s="282"/>
      <c r="Q27" s="282"/>
      <c r="R27" s="282"/>
      <c r="S27" s="282"/>
      <c r="T27" s="282"/>
      <c r="U27" s="282"/>
      <c r="V27" s="282"/>
      <c r="W27" s="282"/>
      <c r="X27" s="282"/>
      <c r="Y27" s="282"/>
      <c r="Z27" s="282"/>
    </row>
    <row r="28" spans="1:26" ht="18" customHeight="1" x14ac:dyDescent="0.2">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spans="1:26" s="287" customFormat="1" ht="23.25" customHeight="1" x14ac:dyDescent="0.2">
      <c r="A29" s="402" t="s">
        <v>211</v>
      </c>
      <c r="B29" s="402"/>
      <c r="C29" s="403" t="s">
        <v>212</v>
      </c>
      <c r="D29" s="404"/>
      <c r="E29" s="402" t="s">
        <v>213</v>
      </c>
      <c r="F29" s="403" t="s">
        <v>214</v>
      </c>
      <c r="G29" s="407"/>
      <c r="H29" s="407"/>
      <c r="I29" s="409" t="s">
        <v>215</v>
      </c>
      <c r="J29" s="410"/>
      <c r="K29" s="399" t="s">
        <v>216</v>
      </c>
      <c r="L29" s="400"/>
      <c r="M29" s="401"/>
      <c r="N29" s="286"/>
      <c r="O29" s="286"/>
      <c r="P29" s="286"/>
      <c r="Q29" s="286"/>
      <c r="R29" s="286"/>
      <c r="S29" s="286"/>
      <c r="T29" s="286"/>
      <c r="U29" s="286"/>
      <c r="V29" s="286"/>
      <c r="W29" s="286"/>
      <c r="X29" s="286"/>
      <c r="Y29" s="286"/>
      <c r="Z29" s="286"/>
    </row>
    <row r="30" spans="1:26" s="287" customFormat="1" ht="23.25" customHeight="1" x14ac:dyDescent="0.2">
      <c r="A30" s="402"/>
      <c r="B30" s="402"/>
      <c r="C30" s="405"/>
      <c r="D30" s="406"/>
      <c r="E30" s="402"/>
      <c r="F30" s="405"/>
      <c r="G30" s="408"/>
      <c r="H30" s="408"/>
      <c r="I30" s="409" t="s">
        <v>217</v>
      </c>
      <c r="J30" s="410"/>
      <c r="K30" s="399" t="s">
        <v>218</v>
      </c>
      <c r="L30" s="400"/>
      <c r="M30" s="401"/>
      <c r="N30" s="288"/>
      <c r="O30" s="288"/>
      <c r="P30" s="288"/>
      <c r="Q30" s="288"/>
      <c r="R30" s="288"/>
      <c r="S30" s="288"/>
      <c r="T30" s="288"/>
      <c r="U30" s="288"/>
      <c r="V30" s="288"/>
      <c r="W30" s="288"/>
      <c r="X30" s="288"/>
      <c r="Y30" s="288"/>
      <c r="Z30" s="288"/>
    </row>
    <row r="31" spans="1:26" ht="18" customHeight="1" x14ac:dyDescent="0.2">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row>
    <row r="32" spans="1:26" ht="18" customHeight="1" x14ac:dyDescent="0.2">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row>
    <row r="33" spans="1:26" ht="18" customHeight="1" x14ac:dyDescent="0.2">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row>
    <row r="34" spans="1:26" ht="18" customHeight="1" x14ac:dyDescent="0.2">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row>
    <row r="35" spans="1:26" ht="18" customHeight="1" x14ac:dyDescent="0.2">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6" ht="18" customHeight="1" x14ac:dyDescent="0.2">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6" ht="18" customHeight="1" x14ac:dyDescent="0.2">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row>
    <row r="38" spans="1:26" ht="18" customHeight="1" x14ac:dyDescent="0.2">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row>
    <row r="39" spans="1:26" ht="18" customHeight="1" x14ac:dyDescent="0.2">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row>
    <row r="40" spans="1:26" ht="18" customHeight="1" x14ac:dyDescent="0.2">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row>
    <row r="41" spans="1:26" ht="18" customHeight="1" x14ac:dyDescent="0.2">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row>
    <row r="42" spans="1:26" ht="15.75" customHeight="1" x14ac:dyDescent="0.2">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row>
    <row r="43" spans="1:26" ht="15.75" customHeight="1" x14ac:dyDescent="0.2">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row>
    <row r="44" spans="1:26" ht="15.75" customHeight="1" x14ac:dyDescent="0.2">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row>
    <row r="45" spans="1:26" ht="15.75" customHeight="1" x14ac:dyDescent="0.2">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row>
    <row r="46" spans="1:26" ht="15.75" customHeight="1" x14ac:dyDescent="0.2">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row>
    <row r="47" spans="1:26" ht="15.75" customHeight="1" x14ac:dyDescent="0.2">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row>
    <row r="48" spans="1:26" ht="15.75" customHeight="1" x14ac:dyDescent="0.2">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row>
    <row r="49" spans="1:26" ht="15.75" customHeight="1" x14ac:dyDescent="0.2">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row>
    <row r="50" spans="1:26" ht="15.75" customHeight="1" x14ac:dyDescent="0.2">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row>
    <row r="51" spans="1:26" ht="15.75" customHeight="1" x14ac:dyDescent="0.2">
      <c r="A51" s="281"/>
      <c r="B51" s="281"/>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row>
    <row r="52" spans="1:26" ht="15.75" customHeight="1" x14ac:dyDescent="0.2">
      <c r="A52" s="281"/>
      <c r="B52" s="281"/>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row>
    <row r="53" spans="1:26" ht="15.75" customHeight="1" x14ac:dyDescent="0.2">
      <c r="A53" s="281"/>
      <c r="B53" s="281"/>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row>
    <row r="54" spans="1:26" ht="15.75" customHeight="1" x14ac:dyDescent="0.2">
      <c r="A54" s="281"/>
      <c r="B54" s="281"/>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row>
    <row r="55" spans="1:26" ht="15.75" customHeight="1" x14ac:dyDescent="0.2">
      <c r="A55" s="281"/>
      <c r="B55" s="281"/>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row>
    <row r="56" spans="1:26" ht="15.75" customHeight="1" x14ac:dyDescent="0.2">
      <c r="A56" s="281"/>
      <c r="B56" s="281"/>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row>
    <row r="57" spans="1:26" ht="15.75" customHeight="1" x14ac:dyDescent="0.2">
      <c r="A57" s="281"/>
      <c r="B57" s="281"/>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row>
    <row r="58" spans="1:26" ht="15.75" customHeight="1" x14ac:dyDescent="0.2">
      <c r="A58" s="281"/>
      <c r="B58" s="281"/>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row>
    <row r="59" spans="1:26" ht="15.75" customHeight="1" x14ac:dyDescent="0.2">
      <c r="A59" s="281"/>
      <c r="B59" s="281"/>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row>
    <row r="60" spans="1:26" ht="15.75" customHeight="1" x14ac:dyDescent="0.2">
      <c r="A60" s="281"/>
      <c r="B60" s="281"/>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row>
    <row r="61" spans="1:26" ht="15.75" customHeight="1" x14ac:dyDescent="0.2">
      <c r="A61" s="281"/>
      <c r="B61" s="281"/>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row>
    <row r="62" spans="1:26" ht="15.75" customHeight="1" x14ac:dyDescent="0.2">
      <c r="A62" s="281"/>
      <c r="B62" s="281"/>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row>
    <row r="63" spans="1:26" ht="15.75" customHeight="1" x14ac:dyDescent="0.2">
      <c r="A63" s="281"/>
      <c r="B63" s="281"/>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row>
    <row r="64" spans="1:26" ht="15.75" customHeight="1" x14ac:dyDescent="0.2">
      <c r="A64" s="281"/>
      <c r="B64" s="281"/>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row>
    <row r="65" spans="1:26" ht="15.75" customHeight="1" x14ac:dyDescent="0.2">
      <c r="A65" s="281"/>
      <c r="B65" s="281"/>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row>
    <row r="66" spans="1:26" ht="15.75" customHeight="1" x14ac:dyDescent="0.2">
      <c r="A66" s="281"/>
      <c r="B66" s="281"/>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row>
    <row r="67" spans="1:26" ht="15.75" customHeight="1" x14ac:dyDescent="0.2">
      <c r="A67" s="281"/>
      <c r="B67" s="281"/>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row>
    <row r="68" spans="1:26" ht="15.75" customHeight="1" x14ac:dyDescent="0.2">
      <c r="A68" s="281"/>
      <c r="B68" s="281"/>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row>
    <row r="69" spans="1:26" ht="15.75" customHeight="1" x14ac:dyDescent="0.2">
      <c r="A69" s="281"/>
      <c r="B69" s="281"/>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row>
    <row r="70" spans="1:26" ht="15.75" customHeight="1" x14ac:dyDescent="0.2">
      <c r="A70" s="281"/>
      <c r="B70" s="281"/>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row>
    <row r="71" spans="1:26" ht="15.75" customHeight="1" x14ac:dyDescent="0.2">
      <c r="A71" s="281"/>
      <c r="B71" s="281"/>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row>
    <row r="72" spans="1:26" ht="15.75" customHeight="1" x14ac:dyDescent="0.2">
      <c r="A72" s="281"/>
      <c r="B72" s="281"/>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row>
    <row r="73" spans="1:26" ht="15.75" customHeight="1" x14ac:dyDescent="0.2">
      <c r="A73" s="281"/>
      <c r="B73" s="281"/>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row>
    <row r="74" spans="1:26" ht="15.75" customHeight="1" x14ac:dyDescent="0.2">
      <c r="A74" s="281"/>
      <c r="B74" s="281"/>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row>
    <row r="75" spans="1:26" ht="15.75" customHeight="1" x14ac:dyDescent="0.2">
      <c r="A75" s="281"/>
      <c r="B75" s="281"/>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row>
    <row r="76" spans="1:26" ht="15.75" customHeight="1" x14ac:dyDescent="0.2">
      <c r="A76" s="281"/>
      <c r="B76" s="281"/>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row>
    <row r="77" spans="1:26" ht="15.75" customHeight="1" x14ac:dyDescent="0.2">
      <c r="A77" s="281"/>
      <c r="B77" s="281"/>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row>
    <row r="78" spans="1:26" ht="15.75" customHeight="1" x14ac:dyDescent="0.2">
      <c r="A78" s="281"/>
      <c r="B78" s="281"/>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row>
    <row r="79" spans="1:26" ht="15.75" customHeight="1" x14ac:dyDescent="0.2">
      <c r="A79" s="281"/>
      <c r="B79" s="281"/>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row>
    <row r="80" spans="1:26" ht="15.75" customHeight="1" x14ac:dyDescent="0.2">
      <c r="A80" s="281"/>
      <c r="B80" s="281"/>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row>
    <row r="81" spans="1:26" ht="15.75" customHeight="1" x14ac:dyDescent="0.2">
      <c r="A81" s="281"/>
      <c r="B81" s="281"/>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row>
    <row r="82" spans="1:26" ht="15.75" customHeight="1" x14ac:dyDescent="0.2">
      <c r="A82" s="281"/>
      <c r="B82" s="281"/>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row>
    <row r="83" spans="1:26" ht="15.75" customHeight="1" x14ac:dyDescent="0.2">
      <c r="A83" s="281"/>
      <c r="B83" s="281"/>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row>
    <row r="84" spans="1:26" ht="15.75" customHeight="1" x14ac:dyDescent="0.2">
      <c r="A84" s="281"/>
      <c r="B84" s="281"/>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row>
    <row r="85" spans="1:26" ht="15.75" customHeight="1" x14ac:dyDescent="0.2">
      <c r="A85" s="281"/>
      <c r="B85" s="281"/>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row>
    <row r="86" spans="1:26" ht="15.75" customHeight="1" x14ac:dyDescent="0.2">
      <c r="A86" s="281"/>
      <c r="B86" s="281"/>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row>
    <row r="87" spans="1:26" ht="15.75" customHeight="1" x14ac:dyDescent="0.2">
      <c r="A87" s="281"/>
      <c r="B87" s="281"/>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row>
    <row r="88" spans="1:26" ht="15.75" customHeight="1" x14ac:dyDescent="0.2">
      <c r="A88" s="281"/>
      <c r="B88" s="281"/>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row>
    <row r="89" spans="1:26" ht="15.75" customHeight="1" x14ac:dyDescent="0.2">
      <c r="A89" s="281"/>
      <c r="B89" s="281"/>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row>
    <row r="90" spans="1:26" ht="15.75" customHeight="1" x14ac:dyDescent="0.2">
      <c r="A90" s="281"/>
      <c r="B90" s="281"/>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row>
    <row r="91" spans="1:26" ht="15.75" customHeight="1" x14ac:dyDescent="0.2">
      <c r="A91" s="281"/>
      <c r="B91" s="281"/>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row>
    <row r="92" spans="1:26" ht="15.75" customHeight="1" x14ac:dyDescent="0.2">
      <c r="A92" s="281"/>
      <c r="B92" s="281"/>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row>
    <row r="93" spans="1:26" ht="15.75" customHeight="1" x14ac:dyDescent="0.2">
      <c r="A93" s="281"/>
      <c r="B93" s="281"/>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row>
    <row r="94" spans="1:26" ht="15.75" customHeight="1" x14ac:dyDescent="0.2">
      <c r="A94" s="281"/>
      <c r="B94" s="281"/>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row>
    <row r="95" spans="1:26" ht="15.75" customHeight="1" x14ac:dyDescent="0.2">
      <c r="A95" s="281"/>
      <c r="B95" s="281"/>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row>
    <row r="96" spans="1:26" ht="15.75" customHeight="1" x14ac:dyDescent="0.2">
      <c r="A96" s="281"/>
      <c r="B96" s="281"/>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row>
    <row r="97" spans="1:26" ht="15.75" customHeight="1" x14ac:dyDescent="0.2">
      <c r="A97" s="281"/>
      <c r="B97" s="281"/>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row>
    <row r="98" spans="1:26" ht="15.75" customHeight="1" x14ac:dyDescent="0.2">
      <c r="A98" s="281"/>
      <c r="B98" s="281"/>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row>
    <row r="99" spans="1:26" ht="15.75" customHeight="1" x14ac:dyDescent="0.2">
      <c r="A99" s="281"/>
      <c r="B99" s="281"/>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row>
    <row r="100" spans="1:26" ht="15.75" customHeight="1" x14ac:dyDescent="0.2">
      <c r="A100" s="281"/>
      <c r="B100" s="281"/>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row>
    <row r="101" spans="1:26" ht="15.75" customHeight="1" x14ac:dyDescent="0.2">
      <c r="A101" s="281"/>
      <c r="B101" s="281"/>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row>
    <row r="102" spans="1:26" ht="15.75" customHeight="1" x14ac:dyDescent="0.2">
      <c r="A102" s="281"/>
      <c r="B102" s="281"/>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row>
    <row r="103" spans="1:26" ht="15.75" customHeight="1" x14ac:dyDescent="0.2">
      <c r="A103" s="281"/>
      <c r="B103" s="281"/>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row>
    <row r="104" spans="1:26" ht="15.75" customHeight="1" x14ac:dyDescent="0.2">
      <c r="A104" s="281"/>
      <c r="B104" s="281"/>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row>
    <row r="105" spans="1:26" ht="15.75" customHeight="1" x14ac:dyDescent="0.2">
      <c r="A105" s="281"/>
      <c r="B105" s="281"/>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row>
    <row r="106" spans="1:26" ht="15.75" customHeight="1" x14ac:dyDescent="0.2">
      <c r="A106" s="281"/>
      <c r="B106" s="281"/>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row>
    <row r="107" spans="1:26" ht="15.75" customHeight="1" x14ac:dyDescent="0.2">
      <c r="A107" s="281"/>
      <c r="B107" s="281"/>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row>
    <row r="108" spans="1:26" ht="15.75" customHeight="1" x14ac:dyDescent="0.2">
      <c r="A108" s="281"/>
      <c r="B108" s="281"/>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row>
    <row r="109" spans="1:26" ht="15.75" customHeight="1" x14ac:dyDescent="0.2">
      <c r="A109" s="281"/>
      <c r="B109" s="281"/>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row>
    <row r="110" spans="1:26" ht="15.75" customHeight="1" x14ac:dyDescent="0.2">
      <c r="A110" s="281"/>
      <c r="B110" s="281"/>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row>
    <row r="111" spans="1:26" ht="15.75" customHeight="1" x14ac:dyDescent="0.2">
      <c r="A111" s="281"/>
      <c r="B111" s="281"/>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row>
    <row r="112" spans="1:26" ht="15.75" customHeight="1" x14ac:dyDescent="0.2">
      <c r="A112" s="281"/>
      <c r="B112" s="281"/>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row>
    <row r="113" spans="1:26" ht="15.75" customHeight="1" x14ac:dyDescent="0.2">
      <c r="A113" s="281"/>
      <c r="B113" s="281"/>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row>
    <row r="114" spans="1:26" ht="15.75" customHeight="1" x14ac:dyDescent="0.2">
      <c r="A114" s="281"/>
      <c r="B114" s="281"/>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row>
    <row r="115" spans="1:26" ht="15.75" customHeight="1" x14ac:dyDescent="0.2">
      <c r="A115" s="281"/>
      <c r="B115" s="281"/>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row>
    <row r="116" spans="1:26" ht="15.75" customHeight="1" x14ac:dyDescent="0.2">
      <c r="A116" s="281"/>
      <c r="B116" s="281"/>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row>
    <row r="117" spans="1:26" ht="15.75" customHeight="1" x14ac:dyDescent="0.2">
      <c r="A117" s="281"/>
      <c r="B117" s="281"/>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row>
    <row r="118" spans="1:26" ht="15.75" customHeight="1" x14ac:dyDescent="0.2">
      <c r="A118" s="281"/>
      <c r="B118" s="281"/>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row>
    <row r="119" spans="1:26" ht="15.75" customHeight="1" x14ac:dyDescent="0.2">
      <c r="A119" s="281"/>
      <c r="B119" s="281"/>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row>
    <row r="120" spans="1:26" ht="15.75" customHeight="1" x14ac:dyDescent="0.2">
      <c r="A120" s="281"/>
      <c r="B120" s="281"/>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row>
    <row r="121" spans="1:26" ht="15.75" customHeight="1" x14ac:dyDescent="0.2">
      <c r="A121" s="281"/>
      <c r="B121" s="281"/>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row>
    <row r="122" spans="1:26" ht="15.75" customHeight="1" x14ac:dyDescent="0.2">
      <c r="A122" s="281"/>
      <c r="B122" s="281"/>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row>
    <row r="123" spans="1:26" ht="15.75" customHeight="1" x14ac:dyDescent="0.2">
      <c r="A123" s="281"/>
      <c r="B123" s="281"/>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row>
    <row r="124" spans="1:26" ht="15.75" customHeight="1" x14ac:dyDescent="0.2">
      <c r="A124" s="281"/>
      <c r="B124" s="281"/>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row>
    <row r="125" spans="1:26" ht="15.75" customHeight="1" x14ac:dyDescent="0.2">
      <c r="A125" s="281"/>
      <c r="B125" s="281"/>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row>
    <row r="126" spans="1:26" ht="15.75" customHeight="1" x14ac:dyDescent="0.2">
      <c r="A126" s="281"/>
      <c r="B126" s="281"/>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row>
    <row r="127" spans="1:26" ht="15.75" customHeight="1" x14ac:dyDescent="0.2">
      <c r="A127" s="281"/>
      <c r="B127" s="281"/>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row>
    <row r="128" spans="1:26" ht="15.75" customHeight="1" x14ac:dyDescent="0.2">
      <c r="A128" s="281"/>
      <c r="B128" s="281"/>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row>
    <row r="129" spans="1:26" ht="15.75" customHeight="1" x14ac:dyDescent="0.2">
      <c r="A129" s="281"/>
      <c r="B129" s="281"/>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row>
    <row r="130" spans="1:26" ht="15.75" customHeight="1" x14ac:dyDescent="0.2">
      <c r="A130" s="281"/>
      <c r="B130" s="281"/>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row>
    <row r="131" spans="1:26" ht="15.75" customHeight="1" x14ac:dyDescent="0.2">
      <c r="A131" s="281"/>
      <c r="B131" s="281"/>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row>
    <row r="132" spans="1:26" ht="15.75" customHeight="1" x14ac:dyDescent="0.2">
      <c r="A132" s="281"/>
      <c r="B132" s="281"/>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row>
    <row r="133" spans="1:26" ht="15.75" customHeight="1" x14ac:dyDescent="0.2">
      <c r="A133" s="281"/>
      <c r="B133" s="281"/>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row>
    <row r="134" spans="1:26" ht="15.75" customHeight="1" x14ac:dyDescent="0.2">
      <c r="A134" s="281"/>
      <c r="B134" s="281"/>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row>
    <row r="135" spans="1:26" ht="15.75" customHeight="1" x14ac:dyDescent="0.2">
      <c r="A135" s="281"/>
      <c r="B135" s="281"/>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row>
    <row r="136" spans="1:26" ht="15.75" customHeight="1" x14ac:dyDescent="0.2">
      <c r="A136" s="281"/>
      <c r="B136" s="281"/>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row>
    <row r="137" spans="1:26" ht="15.75" customHeight="1" x14ac:dyDescent="0.2">
      <c r="A137" s="281"/>
      <c r="B137" s="281"/>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row>
    <row r="138" spans="1:26" ht="15.75" customHeight="1" x14ac:dyDescent="0.2">
      <c r="A138" s="281"/>
      <c r="B138" s="281"/>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row>
    <row r="139" spans="1:26" ht="15.75" customHeight="1" x14ac:dyDescent="0.2">
      <c r="A139" s="281"/>
      <c r="B139" s="281"/>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row>
    <row r="140" spans="1:26" ht="15.75" customHeight="1" x14ac:dyDescent="0.2">
      <c r="A140" s="281"/>
      <c r="B140" s="281"/>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row>
    <row r="141" spans="1:26" ht="15.75" customHeight="1" x14ac:dyDescent="0.2">
      <c r="A141" s="281"/>
      <c r="B141" s="281"/>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row>
    <row r="142" spans="1:26" ht="15.75" customHeight="1" x14ac:dyDescent="0.2">
      <c r="A142" s="281"/>
      <c r="B142" s="281"/>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row>
    <row r="143" spans="1:26" ht="15.75" customHeight="1" x14ac:dyDescent="0.2">
      <c r="A143" s="281"/>
      <c r="B143" s="281"/>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row>
    <row r="144" spans="1:26" ht="15.75" customHeight="1" x14ac:dyDescent="0.2">
      <c r="A144" s="281"/>
      <c r="B144" s="281"/>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row>
    <row r="145" spans="1:26" ht="15.75" customHeight="1" x14ac:dyDescent="0.2">
      <c r="A145" s="281"/>
      <c r="B145" s="281"/>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row>
    <row r="146" spans="1:26" ht="15.75" customHeight="1" x14ac:dyDescent="0.2">
      <c r="A146" s="281"/>
      <c r="B146" s="281"/>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row>
    <row r="147" spans="1:26" ht="15.75" customHeight="1" x14ac:dyDescent="0.2">
      <c r="A147" s="281"/>
      <c r="B147" s="281"/>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row>
    <row r="148" spans="1:26" ht="15.75" customHeight="1" x14ac:dyDescent="0.2">
      <c r="A148" s="281"/>
      <c r="B148" s="281"/>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row>
    <row r="149" spans="1:26" ht="15.75" customHeight="1" x14ac:dyDescent="0.2">
      <c r="A149" s="281"/>
      <c r="B149" s="281"/>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row>
    <row r="150" spans="1:26" ht="15.75" customHeight="1" x14ac:dyDescent="0.2">
      <c r="A150" s="281"/>
      <c r="B150" s="281"/>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row>
    <row r="151" spans="1:26" ht="15.75" customHeight="1" x14ac:dyDescent="0.2">
      <c r="A151" s="281"/>
      <c r="B151" s="281"/>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row>
    <row r="152" spans="1:26" ht="15.75" customHeight="1" x14ac:dyDescent="0.2">
      <c r="A152" s="281"/>
      <c r="B152" s="281"/>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row>
    <row r="153" spans="1:26" ht="15.75" customHeight="1" x14ac:dyDescent="0.2">
      <c r="A153" s="281"/>
      <c r="B153" s="281"/>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row>
    <row r="154" spans="1:26" ht="15.75" customHeight="1" x14ac:dyDescent="0.2">
      <c r="A154" s="281"/>
      <c r="B154" s="281"/>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row>
    <row r="155" spans="1:26" ht="15.75" customHeight="1" x14ac:dyDescent="0.2">
      <c r="A155" s="281"/>
      <c r="B155" s="281"/>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row>
    <row r="156" spans="1:26" ht="15.75" customHeight="1" x14ac:dyDescent="0.2">
      <c r="A156" s="281"/>
      <c r="B156" s="281"/>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row>
    <row r="157" spans="1:26" ht="15.75" customHeight="1" x14ac:dyDescent="0.2">
      <c r="A157" s="281"/>
      <c r="B157" s="281"/>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row>
    <row r="158" spans="1:26" ht="15.75" customHeight="1" x14ac:dyDescent="0.2">
      <c r="A158" s="281"/>
      <c r="B158" s="281"/>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row>
    <row r="159" spans="1:26" ht="15.75" customHeight="1" x14ac:dyDescent="0.2">
      <c r="A159" s="281"/>
      <c r="B159" s="281"/>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row>
    <row r="160" spans="1:26" ht="15.75" customHeight="1" x14ac:dyDescent="0.2">
      <c r="A160" s="281"/>
      <c r="B160" s="281"/>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row>
    <row r="161" spans="1:26" ht="15.75" customHeight="1" x14ac:dyDescent="0.2">
      <c r="A161" s="281"/>
      <c r="B161" s="281"/>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row>
    <row r="162" spans="1:26" ht="15.75" customHeight="1" x14ac:dyDescent="0.2">
      <c r="A162" s="281"/>
      <c r="B162" s="281"/>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row>
    <row r="163" spans="1:26" ht="15.75" customHeight="1" x14ac:dyDescent="0.2">
      <c r="A163" s="281"/>
      <c r="B163" s="281"/>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row>
    <row r="164" spans="1:26" ht="15.75" customHeight="1" x14ac:dyDescent="0.2">
      <c r="A164" s="281"/>
      <c r="B164" s="281"/>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row>
    <row r="165" spans="1:26" ht="15.75" customHeight="1" x14ac:dyDescent="0.2">
      <c r="A165" s="281"/>
      <c r="B165" s="281"/>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row>
    <row r="166" spans="1:26" ht="15.75" customHeight="1" x14ac:dyDescent="0.2">
      <c r="A166" s="281"/>
      <c r="B166" s="281"/>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row>
    <row r="167" spans="1:26" ht="15.75" customHeight="1" x14ac:dyDescent="0.2">
      <c r="A167" s="281"/>
      <c r="B167" s="281"/>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row>
    <row r="168" spans="1:26" ht="15.75" customHeight="1" x14ac:dyDescent="0.2">
      <c r="A168" s="281"/>
      <c r="B168" s="281"/>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row>
    <row r="169" spans="1:26" ht="15.75" customHeight="1" x14ac:dyDescent="0.2">
      <c r="A169" s="281"/>
      <c r="B169" s="281"/>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row>
    <row r="170" spans="1:26" ht="15.75" customHeight="1" x14ac:dyDescent="0.2">
      <c r="A170" s="281"/>
      <c r="B170" s="281"/>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row>
    <row r="171" spans="1:26" ht="15.75" customHeight="1" x14ac:dyDescent="0.2">
      <c r="A171" s="281"/>
      <c r="B171" s="281"/>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row>
    <row r="172" spans="1:26" ht="15.75" customHeight="1" x14ac:dyDescent="0.2">
      <c r="A172" s="281"/>
      <c r="B172" s="281"/>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row>
    <row r="173" spans="1:26" ht="15.75" customHeight="1" x14ac:dyDescent="0.2">
      <c r="A173" s="281"/>
      <c r="B173" s="281"/>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row>
    <row r="174" spans="1:26" ht="15.75" customHeight="1" x14ac:dyDescent="0.2">
      <c r="A174" s="281"/>
      <c r="B174" s="281"/>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row>
    <row r="175" spans="1:26" ht="15.75" customHeight="1" x14ac:dyDescent="0.2">
      <c r="A175" s="281"/>
      <c r="B175" s="281"/>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row>
    <row r="176" spans="1:26" ht="15.75" customHeight="1" x14ac:dyDescent="0.2">
      <c r="A176" s="281"/>
      <c r="B176" s="281"/>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row>
    <row r="177" spans="1:26" ht="15.75" customHeight="1" x14ac:dyDescent="0.2">
      <c r="A177" s="281"/>
      <c r="B177" s="281"/>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row>
    <row r="178" spans="1:26" ht="15.75" customHeight="1" x14ac:dyDescent="0.2">
      <c r="A178" s="281"/>
      <c r="B178" s="281"/>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row>
    <row r="179" spans="1:26" ht="15.75" customHeight="1" x14ac:dyDescent="0.2">
      <c r="A179" s="281"/>
      <c r="B179" s="281"/>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row>
    <row r="180" spans="1:26" ht="15.75" customHeight="1" x14ac:dyDescent="0.2">
      <c r="A180" s="281"/>
      <c r="B180" s="281"/>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row>
    <row r="181" spans="1:26" ht="15.75" customHeight="1" x14ac:dyDescent="0.2">
      <c r="A181" s="281"/>
      <c r="B181" s="281"/>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row>
    <row r="182" spans="1:26" ht="15.75" customHeight="1" x14ac:dyDescent="0.2">
      <c r="A182" s="281"/>
      <c r="B182" s="281"/>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row>
    <row r="183" spans="1:26" ht="15.75" customHeight="1" x14ac:dyDescent="0.2">
      <c r="A183" s="281"/>
      <c r="B183" s="281"/>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row>
    <row r="184" spans="1:26" ht="15.75" customHeight="1" x14ac:dyDescent="0.2">
      <c r="A184" s="281"/>
      <c r="B184" s="281"/>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row>
    <row r="185" spans="1:26" ht="15.75" customHeight="1" x14ac:dyDescent="0.2">
      <c r="A185" s="281"/>
      <c r="B185" s="281"/>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row>
    <row r="186" spans="1:26" ht="15.75" customHeight="1" x14ac:dyDescent="0.2">
      <c r="A186" s="281"/>
      <c r="B186" s="281"/>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row>
    <row r="187" spans="1:26" ht="15.75" customHeight="1" x14ac:dyDescent="0.2">
      <c r="A187" s="281"/>
      <c r="B187" s="281"/>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row>
    <row r="188" spans="1:26" ht="15.75" customHeight="1" x14ac:dyDescent="0.2">
      <c r="A188" s="281"/>
      <c r="B188" s="281"/>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row>
    <row r="189" spans="1:26" ht="15.75" customHeight="1" x14ac:dyDescent="0.2">
      <c r="A189" s="281"/>
      <c r="B189" s="281"/>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row>
    <row r="190" spans="1:26" ht="15.75" customHeight="1" x14ac:dyDescent="0.2">
      <c r="A190" s="281"/>
      <c r="B190" s="281"/>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row>
    <row r="191" spans="1:26" ht="15.75" customHeight="1" x14ac:dyDescent="0.2">
      <c r="A191" s="281"/>
      <c r="B191" s="281"/>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row>
    <row r="192" spans="1:26" ht="15.75" customHeight="1" x14ac:dyDescent="0.2">
      <c r="A192" s="281"/>
      <c r="B192" s="281"/>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row>
    <row r="193" spans="1:26" ht="15.75" customHeight="1" x14ac:dyDescent="0.2">
      <c r="A193" s="281"/>
      <c r="B193" s="281"/>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row>
    <row r="194" spans="1:26" ht="15.75" customHeight="1" x14ac:dyDescent="0.2">
      <c r="A194" s="281"/>
      <c r="B194" s="281"/>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row>
    <row r="195" spans="1:26" ht="15.75" customHeight="1" x14ac:dyDescent="0.2">
      <c r="A195" s="281"/>
      <c r="B195" s="281"/>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row>
    <row r="196" spans="1:26" ht="15.75" customHeight="1" x14ac:dyDescent="0.2">
      <c r="A196" s="281"/>
      <c r="B196" s="281"/>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row>
    <row r="197" spans="1:26" ht="15.75" customHeight="1" x14ac:dyDescent="0.2">
      <c r="A197" s="281"/>
      <c r="B197" s="281"/>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row>
    <row r="198" spans="1:26" ht="15.75" customHeight="1" x14ac:dyDescent="0.2">
      <c r="A198" s="281"/>
      <c r="B198" s="281"/>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row>
    <row r="199" spans="1:26" ht="15.75" customHeight="1" x14ac:dyDescent="0.2">
      <c r="A199" s="281"/>
      <c r="B199" s="281"/>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row>
    <row r="200" spans="1:26" ht="15.75" customHeight="1" x14ac:dyDescent="0.2">
      <c r="A200" s="281"/>
      <c r="B200" s="281"/>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row>
    <row r="201" spans="1:26" ht="15.75" customHeight="1" x14ac:dyDescent="0.2">
      <c r="A201" s="281"/>
      <c r="B201" s="281"/>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row>
    <row r="202" spans="1:26" ht="15.75" customHeight="1" x14ac:dyDescent="0.2">
      <c r="A202" s="281"/>
      <c r="B202" s="281"/>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row>
    <row r="203" spans="1:26" ht="15.75" customHeight="1" x14ac:dyDescent="0.2">
      <c r="A203" s="281"/>
      <c r="B203" s="281"/>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row>
    <row r="204" spans="1:26" ht="15.75" customHeight="1" x14ac:dyDescent="0.2">
      <c r="A204" s="281"/>
      <c r="B204" s="281"/>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row>
    <row r="205" spans="1:26" ht="15.75" customHeight="1" x14ac:dyDescent="0.2">
      <c r="A205" s="281"/>
      <c r="B205" s="281"/>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row>
    <row r="206" spans="1:26" ht="15.75" customHeight="1" x14ac:dyDescent="0.2">
      <c r="A206" s="281"/>
      <c r="B206" s="281"/>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row>
    <row r="207" spans="1:26" ht="15.75" customHeight="1" x14ac:dyDescent="0.2">
      <c r="A207" s="281"/>
      <c r="B207" s="281"/>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row>
    <row r="208" spans="1:26" ht="15.75" customHeight="1" x14ac:dyDescent="0.2">
      <c r="A208" s="281"/>
      <c r="B208" s="281"/>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row>
    <row r="209" spans="1:26" ht="15.75" customHeight="1" x14ac:dyDescent="0.2">
      <c r="A209" s="281"/>
      <c r="B209" s="281"/>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row>
    <row r="210" spans="1:26" ht="15.75" customHeight="1" x14ac:dyDescent="0.2">
      <c r="A210" s="281"/>
      <c r="B210" s="281"/>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row>
    <row r="211" spans="1:26" ht="15.75" customHeight="1" x14ac:dyDescent="0.2">
      <c r="A211" s="281"/>
      <c r="B211" s="281"/>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row>
    <row r="212" spans="1:26" ht="15.75" customHeight="1" x14ac:dyDescent="0.2">
      <c r="A212" s="281"/>
      <c r="B212" s="281"/>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row>
    <row r="213" spans="1:26" ht="15.75" customHeight="1" x14ac:dyDescent="0.2">
      <c r="A213" s="281"/>
      <c r="B213" s="281"/>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row>
    <row r="214" spans="1:26" ht="15.75" customHeight="1" x14ac:dyDescent="0.2">
      <c r="A214" s="281"/>
      <c r="B214" s="281"/>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row>
    <row r="215" spans="1:26" ht="15.75" customHeight="1" x14ac:dyDescent="0.2">
      <c r="A215" s="281"/>
      <c r="B215" s="281"/>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row>
    <row r="216" spans="1:26" ht="15.75" customHeight="1" x14ac:dyDescent="0.2">
      <c r="A216" s="281"/>
      <c r="B216" s="281"/>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row>
    <row r="217" spans="1:26" ht="15.75" customHeight="1" x14ac:dyDescent="0.2">
      <c r="A217" s="281"/>
      <c r="B217" s="281"/>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row>
    <row r="218" spans="1:26" ht="15.75" customHeight="1" x14ac:dyDescent="0.2">
      <c r="A218" s="281"/>
      <c r="B218" s="281"/>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row>
    <row r="219" spans="1:26" ht="15.75" customHeight="1" x14ac:dyDescent="0.2">
      <c r="A219" s="281"/>
      <c r="B219" s="281"/>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row>
    <row r="220" spans="1:26" ht="15.75" customHeight="1" x14ac:dyDescent="0.2">
      <c r="A220" s="281"/>
      <c r="B220" s="281"/>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row>
    <row r="221" spans="1:26" ht="15.75" customHeight="1" x14ac:dyDescent="0.2">
      <c r="A221" s="281"/>
      <c r="B221" s="281"/>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row>
    <row r="222" spans="1:26" ht="15.75" customHeight="1" x14ac:dyDescent="0.2">
      <c r="A222" s="281"/>
      <c r="B222" s="281"/>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row>
    <row r="223" spans="1:26" ht="15.75" customHeight="1" x14ac:dyDescent="0.2">
      <c r="A223" s="281"/>
      <c r="B223" s="281"/>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row>
    <row r="224" spans="1:26" ht="15.75" customHeight="1" x14ac:dyDescent="0.2">
      <c r="A224" s="281"/>
      <c r="B224" s="281"/>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row>
    <row r="225" spans="1:26" ht="15.75" customHeight="1" x14ac:dyDescent="0.2">
      <c r="A225" s="281"/>
      <c r="B225" s="281"/>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row>
    <row r="226" spans="1:26" ht="15.75" customHeight="1" x14ac:dyDescent="0.2">
      <c r="A226" s="281"/>
      <c r="B226" s="281"/>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row>
    <row r="227" spans="1:26" ht="15.75" customHeight="1" x14ac:dyDescent="0.2">
      <c r="A227" s="281"/>
      <c r="B227" s="281"/>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row>
    <row r="228" spans="1:26" ht="15.75" customHeight="1" x14ac:dyDescent="0.2">
      <c r="A228" s="281"/>
      <c r="B228" s="281"/>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row>
    <row r="229" spans="1:26" ht="15.75" customHeight="1" x14ac:dyDescent="0.2">
      <c r="A229" s="281"/>
      <c r="B229" s="281"/>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row>
    <row r="230" spans="1:26" ht="15.75" customHeight="1" x14ac:dyDescent="0.2">
      <c r="A230" s="281"/>
      <c r="B230" s="281"/>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row>
    <row r="231" spans="1:26" ht="15.75" customHeight="1" x14ac:dyDescent="0.2">
      <c r="A231" s="281"/>
      <c r="B231" s="281"/>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row>
    <row r="232" spans="1:26" ht="15.75" customHeight="1" x14ac:dyDescent="0.2">
      <c r="A232" s="281"/>
      <c r="B232" s="281"/>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row>
    <row r="233" spans="1:26" ht="15.75" customHeight="1" x14ac:dyDescent="0.2">
      <c r="A233" s="281"/>
      <c r="B233" s="281"/>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row>
    <row r="234" spans="1:26" ht="15.75" customHeight="1" x14ac:dyDescent="0.2">
      <c r="A234" s="281"/>
      <c r="B234" s="281"/>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row>
    <row r="235" spans="1:26" ht="15.75" customHeight="1" x14ac:dyDescent="0.2">
      <c r="A235" s="281"/>
      <c r="B235" s="281"/>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row>
    <row r="236" spans="1:26" ht="15.75" customHeight="1" x14ac:dyDescent="0.2">
      <c r="A236" s="281"/>
      <c r="B236" s="281"/>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row>
    <row r="237" spans="1:26" ht="15.75" customHeight="1" x14ac:dyDescent="0.2">
      <c r="A237" s="281"/>
      <c r="B237" s="281"/>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row>
    <row r="238" spans="1:26" ht="15.75" customHeight="1" x14ac:dyDescent="0.2">
      <c r="A238" s="281"/>
      <c r="B238" s="281"/>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row>
    <row r="239" spans="1:26" ht="15.75" customHeight="1" x14ac:dyDescent="0.2">
      <c r="A239" s="281"/>
      <c r="B239" s="281"/>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row>
    <row r="240" spans="1:26" ht="15.75" customHeight="1" x14ac:dyDescent="0.2">
      <c r="A240" s="281"/>
      <c r="B240" s="281"/>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row>
    <row r="241" spans="1:26" ht="15.75" customHeight="1" x14ac:dyDescent="0.2">
      <c r="A241" s="281"/>
      <c r="B241" s="281"/>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row>
    <row r="242" spans="1:26" ht="15.75" customHeight="1" x14ac:dyDescent="0.2">
      <c r="A242" s="281"/>
      <c r="B242" s="281"/>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row>
    <row r="243" spans="1:26" ht="15.75" customHeight="1" x14ac:dyDescent="0.2">
      <c r="A243" s="281"/>
      <c r="B243" s="281"/>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row>
    <row r="244" spans="1:26" ht="15.75" customHeight="1" x14ac:dyDescent="0.2">
      <c r="A244" s="281"/>
      <c r="B244" s="281"/>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row>
    <row r="245" spans="1:26" ht="15.75" customHeight="1" x14ac:dyDescent="0.2">
      <c r="A245" s="281"/>
      <c r="B245" s="281"/>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row>
    <row r="246" spans="1:26" ht="15.75" customHeight="1" x14ac:dyDescent="0.2">
      <c r="A246" s="281"/>
      <c r="B246" s="281"/>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row>
    <row r="247" spans="1:26" ht="15.75" customHeight="1" x14ac:dyDescent="0.2">
      <c r="A247" s="281"/>
      <c r="B247" s="281"/>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row>
    <row r="248" spans="1:26" ht="15.75" customHeight="1" x14ac:dyDescent="0.2">
      <c r="A248" s="281"/>
      <c r="B248" s="281"/>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row>
    <row r="249" spans="1:26" ht="15.75" customHeight="1" x14ac:dyDescent="0.2">
      <c r="A249" s="281"/>
      <c r="B249" s="281"/>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row>
    <row r="250" spans="1:26" ht="15.75" customHeight="1" x14ac:dyDescent="0.2">
      <c r="A250" s="281"/>
      <c r="B250" s="281"/>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row>
    <row r="251" spans="1:26" ht="15.75" customHeight="1" x14ac:dyDescent="0.2">
      <c r="A251" s="281"/>
      <c r="B251" s="281"/>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row>
    <row r="252" spans="1:26" ht="15.75" customHeight="1" x14ac:dyDescent="0.2">
      <c r="A252" s="281"/>
      <c r="B252" s="281"/>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row>
    <row r="253" spans="1:26" ht="15.75" customHeight="1" x14ac:dyDescent="0.2">
      <c r="A253" s="281"/>
      <c r="B253" s="281"/>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row>
    <row r="254" spans="1:26" ht="15.75" customHeight="1" x14ac:dyDescent="0.2">
      <c r="A254" s="281"/>
      <c r="B254" s="281"/>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row>
    <row r="255" spans="1:26" ht="15.75" customHeight="1" x14ac:dyDescent="0.2">
      <c r="A255" s="281"/>
      <c r="B255" s="281"/>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row>
    <row r="256" spans="1:26" ht="15.75" customHeight="1" x14ac:dyDescent="0.2">
      <c r="A256" s="281"/>
      <c r="B256" s="281"/>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row>
    <row r="257" spans="1:26" ht="15.75" customHeight="1" x14ac:dyDescent="0.2">
      <c r="A257" s="281"/>
      <c r="B257" s="281"/>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row>
    <row r="258" spans="1:26" ht="15.75" customHeight="1" x14ac:dyDescent="0.2">
      <c r="A258" s="281"/>
      <c r="B258" s="281"/>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row>
    <row r="259" spans="1:26" ht="15.75" customHeight="1" x14ac:dyDescent="0.2">
      <c r="A259" s="281"/>
      <c r="B259" s="281"/>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row>
    <row r="260" spans="1:26" ht="15.75" customHeight="1" x14ac:dyDescent="0.2">
      <c r="A260" s="281"/>
      <c r="B260" s="281"/>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row>
    <row r="261" spans="1:26" ht="15.75" customHeight="1" x14ac:dyDescent="0.2">
      <c r="A261" s="281"/>
      <c r="B261" s="281"/>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row>
    <row r="262" spans="1:26" ht="15.75" customHeight="1" x14ac:dyDescent="0.2">
      <c r="A262" s="281"/>
      <c r="B262" s="281"/>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row>
    <row r="263" spans="1:26" ht="15.75" customHeight="1" x14ac:dyDescent="0.2">
      <c r="A263" s="281"/>
      <c r="B263" s="281"/>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row>
    <row r="264" spans="1:26" ht="15.75" customHeight="1" x14ac:dyDescent="0.2">
      <c r="A264" s="281"/>
      <c r="B264" s="281"/>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row>
    <row r="265" spans="1:26" ht="15.75" customHeight="1" x14ac:dyDescent="0.2">
      <c r="A265" s="281"/>
      <c r="B265" s="281"/>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row>
    <row r="266" spans="1:26" ht="15.75" customHeight="1" x14ac:dyDescent="0.2">
      <c r="A266" s="281"/>
      <c r="B266" s="281"/>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row>
    <row r="267" spans="1:26" ht="15.75" customHeight="1" x14ac:dyDescent="0.2">
      <c r="A267" s="281"/>
      <c r="B267" s="281"/>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row>
    <row r="268" spans="1:26" ht="15.75" customHeight="1" x14ac:dyDescent="0.2">
      <c r="A268" s="281"/>
      <c r="B268" s="281"/>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row>
    <row r="269" spans="1:26" ht="15.75" customHeight="1" x14ac:dyDescent="0.2">
      <c r="A269" s="281"/>
      <c r="B269" s="281"/>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row>
    <row r="270" spans="1:26" ht="15.75" customHeight="1" x14ac:dyDescent="0.2">
      <c r="A270" s="281"/>
      <c r="B270" s="281"/>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row>
    <row r="271" spans="1:26" ht="15.75" customHeight="1" x14ac:dyDescent="0.2">
      <c r="A271" s="281"/>
      <c r="B271" s="281"/>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row>
    <row r="272" spans="1:26" ht="15.75" customHeight="1" x14ac:dyDescent="0.2">
      <c r="A272" s="281"/>
      <c r="B272" s="281"/>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row>
    <row r="273" spans="1:26" ht="15.75" customHeight="1" x14ac:dyDescent="0.2">
      <c r="A273" s="281"/>
      <c r="B273" s="281"/>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row>
    <row r="274" spans="1:26" ht="15.75" customHeight="1" x14ac:dyDescent="0.2">
      <c r="A274" s="281"/>
      <c r="B274" s="281"/>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row>
    <row r="275" spans="1:26" ht="15.75" customHeight="1" x14ac:dyDescent="0.2">
      <c r="A275" s="281"/>
      <c r="B275" s="281"/>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row>
    <row r="276" spans="1:26" ht="15.75" customHeight="1" x14ac:dyDescent="0.2">
      <c r="A276" s="281"/>
      <c r="B276" s="281"/>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row>
    <row r="277" spans="1:26" ht="15.75" customHeight="1" x14ac:dyDescent="0.2">
      <c r="A277" s="281"/>
      <c r="B277" s="281"/>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row>
    <row r="278" spans="1:26" ht="15.75" customHeight="1" x14ac:dyDescent="0.2">
      <c r="A278" s="281"/>
      <c r="B278" s="281"/>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row>
    <row r="279" spans="1:26" ht="15.75" customHeight="1" x14ac:dyDescent="0.2">
      <c r="A279" s="281"/>
      <c r="B279" s="281"/>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row>
    <row r="280" spans="1:26" ht="15.75" customHeight="1" x14ac:dyDescent="0.2">
      <c r="A280" s="281"/>
      <c r="B280" s="281"/>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row>
    <row r="281" spans="1:26" ht="15.75" customHeight="1" x14ac:dyDescent="0.2">
      <c r="A281" s="281"/>
      <c r="B281" s="281"/>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row>
    <row r="282" spans="1:26" ht="15.75" customHeight="1" x14ac:dyDescent="0.2">
      <c r="A282" s="281"/>
      <c r="B282" s="281"/>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row>
    <row r="283" spans="1:26" ht="15.75" customHeight="1" x14ac:dyDescent="0.2">
      <c r="A283" s="281"/>
      <c r="B283" s="281"/>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row>
    <row r="284" spans="1:26" ht="15.75" customHeight="1" x14ac:dyDescent="0.2">
      <c r="A284" s="281"/>
      <c r="B284" s="281"/>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row>
    <row r="285" spans="1:26" ht="15.75" customHeight="1" x14ac:dyDescent="0.2">
      <c r="A285" s="281"/>
      <c r="B285" s="281"/>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row>
    <row r="286" spans="1:26" ht="15.75" customHeight="1" x14ac:dyDescent="0.2">
      <c r="A286" s="281"/>
      <c r="B286" s="281"/>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row>
    <row r="287" spans="1:26" ht="15.75" customHeight="1" x14ac:dyDescent="0.2">
      <c r="A287" s="281"/>
      <c r="B287" s="281"/>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row>
    <row r="288" spans="1:26" ht="15.75" customHeight="1" x14ac:dyDescent="0.2">
      <c r="A288" s="281"/>
      <c r="B288" s="281"/>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row>
    <row r="289" spans="1:26" ht="15.75" customHeight="1" x14ac:dyDescent="0.2">
      <c r="A289" s="281"/>
      <c r="B289" s="281"/>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row>
    <row r="290" spans="1:26" ht="15.75" customHeight="1" x14ac:dyDescent="0.2">
      <c r="A290" s="281"/>
      <c r="B290" s="281"/>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row>
    <row r="291" spans="1:26" ht="15.75" customHeight="1" x14ac:dyDescent="0.2">
      <c r="A291" s="281"/>
      <c r="B291" s="281"/>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row>
    <row r="292" spans="1:26" ht="15.75" customHeight="1" x14ac:dyDescent="0.2">
      <c r="A292" s="281"/>
      <c r="B292" s="281"/>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row>
    <row r="293" spans="1:26" ht="15.75" customHeight="1" x14ac:dyDescent="0.2">
      <c r="A293" s="281"/>
      <c r="B293" s="281"/>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row>
    <row r="294" spans="1:26" ht="15.75" customHeight="1" x14ac:dyDescent="0.2">
      <c r="A294" s="281"/>
      <c r="B294" s="281"/>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row>
    <row r="295" spans="1:26" ht="15.75" customHeight="1" x14ac:dyDescent="0.2">
      <c r="A295" s="281"/>
      <c r="B295" s="281"/>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row>
    <row r="296" spans="1:26" ht="15.75" customHeight="1" x14ac:dyDescent="0.2">
      <c r="A296" s="281"/>
      <c r="B296" s="281"/>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row>
    <row r="297" spans="1:26" ht="15.75" customHeight="1" x14ac:dyDescent="0.2">
      <c r="A297" s="281"/>
      <c r="B297" s="281"/>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row>
    <row r="298" spans="1:26" ht="15.75" customHeight="1" x14ac:dyDescent="0.2">
      <c r="A298" s="281"/>
      <c r="B298" s="281"/>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row>
    <row r="299" spans="1:26" ht="15.75" customHeight="1" x14ac:dyDescent="0.2">
      <c r="A299" s="281"/>
      <c r="B299" s="281"/>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row>
    <row r="300" spans="1:26" ht="15.75" customHeight="1" x14ac:dyDescent="0.2">
      <c r="A300" s="281"/>
      <c r="B300" s="281"/>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row>
    <row r="301" spans="1:26" ht="15.75" customHeight="1" x14ac:dyDescent="0.2">
      <c r="A301" s="281"/>
      <c r="B301" s="281"/>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row>
    <row r="302" spans="1:26" ht="15.75" customHeight="1" x14ac:dyDescent="0.2">
      <c r="A302" s="281"/>
      <c r="B302" s="281"/>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row>
    <row r="303" spans="1:26" ht="15.75" customHeight="1" x14ac:dyDescent="0.2">
      <c r="A303" s="281"/>
      <c r="B303" s="281"/>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row>
    <row r="304" spans="1:26" ht="15.75" customHeight="1" x14ac:dyDescent="0.2">
      <c r="A304" s="281"/>
      <c r="B304" s="281"/>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row>
    <row r="305" spans="1:26" ht="15.75" customHeight="1" x14ac:dyDescent="0.2">
      <c r="A305" s="281"/>
      <c r="B305" s="281"/>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row>
    <row r="306" spans="1:26" ht="15.75" customHeight="1" x14ac:dyDescent="0.2">
      <c r="A306" s="281"/>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row>
    <row r="307" spans="1:26" ht="15.75" customHeight="1" x14ac:dyDescent="0.2">
      <c r="A307" s="281"/>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row>
    <row r="308" spans="1:26" ht="15.75" customHeight="1" x14ac:dyDescent="0.2">
      <c r="A308" s="281"/>
      <c r="B308" s="281"/>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row>
    <row r="309" spans="1:26" ht="15.75" customHeight="1" x14ac:dyDescent="0.2">
      <c r="A309" s="281"/>
      <c r="B309" s="281"/>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row>
    <row r="310" spans="1:26" ht="15.75" customHeight="1" x14ac:dyDescent="0.2">
      <c r="A310" s="281"/>
      <c r="B310" s="281"/>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row>
    <row r="311" spans="1:26" ht="15.75" customHeight="1" x14ac:dyDescent="0.2">
      <c r="A311" s="281"/>
      <c r="B311" s="281"/>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row>
    <row r="312" spans="1:26" ht="15.75" customHeight="1" x14ac:dyDescent="0.2">
      <c r="A312" s="281"/>
      <c r="B312" s="281"/>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row>
    <row r="313" spans="1:26" ht="15.75" customHeight="1" x14ac:dyDescent="0.2">
      <c r="A313" s="281"/>
      <c r="B313" s="281"/>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row>
    <row r="314" spans="1:26" ht="15.75" customHeight="1" x14ac:dyDescent="0.2">
      <c r="A314" s="281"/>
      <c r="B314" s="281"/>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row>
    <row r="315" spans="1:26" ht="15.75" customHeight="1" x14ac:dyDescent="0.2">
      <c r="A315" s="281"/>
      <c r="B315" s="281"/>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row>
    <row r="316" spans="1:26" ht="15.75" customHeight="1" x14ac:dyDescent="0.2">
      <c r="A316" s="281"/>
      <c r="B316" s="281"/>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row>
    <row r="317" spans="1:26" ht="15.75" customHeight="1" x14ac:dyDescent="0.2">
      <c r="A317" s="281"/>
      <c r="B317" s="281"/>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row>
    <row r="318" spans="1:26" ht="15.75" customHeight="1" x14ac:dyDescent="0.2">
      <c r="A318" s="281"/>
      <c r="B318" s="281"/>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row>
    <row r="319" spans="1:26" ht="15.75" customHeight="1" x14ac:dyDescent="0.2">
      <c r="A319" s="281"/>
      <c r="B319" s="281"/>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row>
    <row r="320" spans="1:26" ht="15.75" customHeight="1" x14ac:dyDescent="0.2">
      <c r="A320" s="281"/>
      <c r="B320" s="281"/>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row>
    <row r="321" spans="1:26" ht="15.75" customHeight="1" x14ac:dyDescent="0.2">
      <c r="A321" s="281"/>
      <c r="B321" s="281"/>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row>
    <row r="322" spans="1:26" ht="15.75" customHeight="1" x14ac:dyDescent="0.2">
      <c r="A322" s="281"/>
      <c r="B322" s="281"/>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row>
    <row r="323" spans="1:26" ht="15.75" customHeight="1" x14ac:dyDescent="0.2">
      <c r="A323" s="281"/>
      <c r="B323" s="281"/>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row>
    <row r="324" spans="1:26" ht="15.75" customHeight="1" x14ac:dyDescent="0.2">
      <c r="A324" s="281"/>
      <c r="B324" s="281"/>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row>
    <row r="325" spans="1:26" ht="15.75" customHeight="1" x14ac:dyDescent="0.2">
      <c r="A325" s="281"/>
      <c r="B325" s="281"/>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row>
    <row r="326" spans="1:26" ht="15.75" customHeight="1" x14ac:dyDescent="0.2">
      <c r="A326" s="281"/>
      <c r="B326" s="281"/>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row>
    <row r="327" spans="1:26" ht="15.75" customHeight="1" x14ac:dyDescent="0.2">
      <c r="A327" s="281"/>
      <c r="B327" s="281"/>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row>
    <row r="328" spans="1:26" ht="15.75" customHeight="1" x14ac:dyDescent="0.2">
      <c r="A328" s="281"/>
      <c r="B328" s="281"/>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row>
    <row r="329" spans="1:26" ht="15.75" customHeight="1" x14ac:dyDescent="0.2">
      <c r="A329" s="281"/>
      <c r="B329" s="281"/>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row>
    <row r="330" spans="1:26" ht="15.75" customHeight="1" x14ac:dyDescent="0.2">
      <c r="A330" s="281"/>
      <c r="B330" s="281"/>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row>
    <row r="331" spans="1:26" ht="15.75" customHeight="1" x14ac:dyDescent="0.2">
      <c r="A331" s="281"/>
      <c r="B331" s="281"/>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row>
    <row r="332" spans="1:26" ht="15.75" customHeight="1" x14ac:dyDescent="0.2">
      <c r="A332" s="281"/>
      <c r="B332" s="281"/>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row>
    <row r="333" spans="1:26" ht="15.75" customHeight="1" x14ac:dyDescent="0.2">
      <c r="A333" s="281"/>
      <c r="B333" s="281"/>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row>
    <row r="334" spans="1:26" ht="15.75" customHeight="1" x14ac:dyDescent="0.2">
      <c r="A334" s="281"/>
      <c r="B334" s="281"/>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row>
    <row r="335" spans="1:26" ht="15.75" customHeight="1" x14ac:dyDescent="0.2">
      <c r="A335" s="281"/>
      <c r="B335" s="281"/>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row>
    <row r="336" spans="1:26" ht="15.75" customHeight="1" x14ac:dyDescent="0.2">
      <c r="A336" s="281"/>
      <c r="B336" s="281"/>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row>
    <row r="337" spans="1:26" ht="15.75" customHeight="1" x14ac:dyDescent="0.2">
      <c r="A337" s="281"/>
      <c r="B337" s="281"/>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row>
    <row r="338" spans="1:26" ht="15.75" customHeight="1" x14ac:dyDescent="0.2">
      <c r="A338" s="281"/>
      <c r="B338" s="281"/>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row>
    <row r="339" spans="1:26" ht="15.75" customHeight="1" x14ac:dyDescent="0.2">
      <c r="A339" s="281"/>
      <c r="B339" s="281"/>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row>
    <row r="340" spans="1:26" ht="15.75" customHeight="1" x14ac:dyDescent="0.2">
      <c r="A340" s="281"/>
      <c r="B340" s="281"/>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row>
    <row r="341" spans="1:26" ht="15.75" customHeight="1" x14ac:dyDescent="0.2">
      <c r="A341" s="281"/>
      <c r="B341" s="281"/>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row>
    <row r="342" spans="1:26" ht="15.75" customHeight="1" x14ac:dyDescent="0.2">
      <c r="A342" s="281"/>
      <c r="B342" s="281"/>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row>
    <row r="343" spans="1:26" ht="15.75" customHeight="1" x14ac:dyDescent="0.2">
      <c r="A343" s="281"/>
      <c r="B343" s="281"/>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row>
    <row r="344" spans="1:26" ht="15.75" customHeight="1" x14ac:dyDescent="0.2">
      <c r="A344" s="281"/>
      <c r="B344" s="281"/>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row>
    <row r="345" spans="1:26" ht="15.75" customHeight="1" x14ac:dyDescent="0.2">
      <c r="A345" s="281"/>
      <c r="B345" s="281"/>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row>
    <row r="346" spans="1:26" ht="15.75" customHeight="1" x14ac:dyDescent="0.2">
      <c r="A346" s="281"/>
      <c r="B346" s="281"/>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row>
    <row r="347" spans="1:26" ht="15.75" customHeight="1" x14ac:dyDescent="0.2">
      <c r="A347" s="281"/>
      <c r="B347" s="281"/>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row>
    <row r="348" spans="1:26" ht="15.75" customHeight="1" x14ac:dyDescent="0.2">
      <c r="A348" s="281"/>
      <c r="B348" s="281"/>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row>
    <row r="349" spans="1:26" ht="15.75" customHeight="1" x14ac:dyDescent="0.2">
      <c r="A349" s="281"/>
      <c r="B349" s="281"/>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row>
    <row r="350" spans="1:26" ht="15.75" customHeight="1" x14ac:dyDescent="0.2">
      <c r="A350" s="281"/>
      <c r="B350" s="281"/>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row>
    <row r="351" spans="1:26" ht="15.75" customHeight="1" x14ac:dyDescent="0.2">
      <c r="A351" s="281"/>
      <c r="B351" s="281"/>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row>
    <row r="352" spans="1:26" ht="15.75" customHeight="1" x14ac:dyDescent="0.2">
      <c r="A352" s="281"/>
      <c r="B352" s="281"/>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row>
    <row r="353" spans="1:26" ht="15.75" customHeight="1" x14ac:dyDescent="0.2">
      <c r="A353" s="281"/>
      <c r="B353" s="281"/>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row>
    <row r="354" spans="1:26" ht="15.75" customHeight="1" x14ac:dyDescent="0.2">
      <c r="A354" s="281"/>
      <c r="B354" s="281"/>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row>
    <row r="355" spans="1:26" ht="15.75" customHeight="1" x14ac:dyDescent="0.2">
      <c r="A355" s="281"/>
      <c r="B355" s="281"/>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row>
    <row r="356" spans="1:26" ht="15.75" customHeight="1" x14ac:dyDescent="0.2">
      <c r="A356" s="281"/>
      <c r="B356" s="281"/>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row>
    <row r="357" spans="1:26" ht="15.75" customHeight="1" x14ac:dyDescent="0.2">
      <c r="A357" s="281"/>
      <c r="B357" s="281"/>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row>
    <row r="358" spans="1:26" ht="15.75" customHeight="1" x14ac:dyDescent="0.2">
      <c r="A358" s="281"/>
      <c r="B358" s="281"/>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row>
    <row r="359" spans="1:26" ht="15.75" customHeight="1" x14ac:dyDescent="0.2">
      <c r="A359" s="281"/>
      <c r="B359" s="281"/>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row>
    <row r="360" spans="1:26" ht="15.75" customHeight="1" x14ac:dyDescent="0.2">
      <c r="A360" s="281"/>
      <c r="B360" s="281"/>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row>
    <row r="361" spans="1:26" ht="15.75" customHeight="1" x14ac:dyDescent="0.2">
      <c r="A361" s="281"/>
      <c r="B361" s="281"/>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row>
    <row r="362" spans="1:26" ht="15.75" customHeight="1" x14ac:dyDescent="0.2">
      <c r="A362" s="281"/>
      <c r="B362" s="281"/>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row>
    <row r="363" spans="1:26" ht="15.75" customHeight="1" x14ac:dyDescent="0.2">
      <c r="A363" s="281"/>
      <c r="B363" s="281"/>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row>
    <row r="364" spans="1:26" ht="15.75" customHeight="1" x14ac:dyDescent="0.2">
      <c r="A364" s="281"/>
      <c r="B364" s="281"/>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row>
    <row r="365" spans="1:26" ht="15.75" customHeight="1" x14ac:dyDescent="0.2">
      <c r="A365" s="281"/>
      <c r="B365" s="281"/>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row>
    <row r="366" spans="1:26" ht="15.75" customHeight="1" x14ac:dyDescent="0.2">
      <c r="A366" s="281"/>
      <c r="B366" s="281"/>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row>
    <row r="367" spans="1:26" ht="15.75" customHeight="1" x14ac:dyDescent="0.2">
      <c r="A367" s="281"/>
      <c r="B367" s="281"/>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row>
    <row r="368" spans="1:26" ht="15.75" customHeight="1" x14ac:dyDescent="0.2">
      <c r="A368" s="281"/>
      <c r="B368" s="281"/>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row>
    <row r="369" spans="1:26" ht="15.75" customHeight="1" x14ac:dyDescent="0.2">
      <c r="A369" s="281"/>
      <c r="B369" s="281"/>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row>
    <row r="370" spans="1:26" ht="15.75" customHeight="1" x14ac:dyDescent="0.2">
      <c r="A370" s="281"/>
      <c r="B370" s="281"/>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row>
    <row r="371" spans="1:26" ht="15.75" customHeight="1" x14ac:dyDescent="0.2">
      <c r="A371" s="281"/>
      <c r="B371" s="281"/>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row>
    <row r="372" spans="1:26" ht="15.75" customHeight="1" x14ac:dyDescent="0.2">
      <c r="A372" s="281"/>
      <c r="B372" s="281"/>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row>
    <row r="373" spans="1:26" ht="15.75" customHeight="1" x14ac:dyDescent="0.2">
      <c r="A373" s="281"/>
      <c r="B373" s="281"/>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row>
    <row r="374" spans="1:26" ht="15.75" customHeight="1" x14ac:dyDescent="0.2">
      <c r="A374" s="281"/>
      <c r="B374" s="281"/>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row>
    <row r="375" spans="1:26" ht="15.75" customHeight="1" x14ac:dyDescent="0.2">
      <c r="A375" s="281"/>
      <c r="B375" s="281"/>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row>
    <row r="376" spans="1:26" ht="15.75" customHeight="1" x14ac:dyDescent="0.2">
      <c r="A376" s="281"/>
      <c r="B376" s="281"/>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row>
    <row r="377" spans="1:26" ht="15.75" customHeight="1" x14ac:dyDescent="0.2">
      <c r="A377" s="281"/>
      <c r="B377" s="281"/>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row>
    <row r="378" spans="1:26" ht="15.75" customHeight="1" x14ac:dyDescent="0.2">
      <c r="A378" s="281"/>
      <c r="B378" s="281"/>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row>
    <row r="379" spans="1:26" ht="15.75" customHeight="1" x14ac:dyDescent="0.2">
      <c r="A379" s="281"/>
      <c r="B379" s="281"/>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row>
    <row r="380" spans="1:26" ht="15.75" customHeight="1" x14ac:dyDescent="0.2">
      <c r="A380" s="281"/>
      <c r="B380" s="281"/>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row>
    <row r="381" spans="1:26" ht="15.75" customHeight="1" x14ac:dyDescent="0.2">
      <c r="A381" s="281"/>
      <c r="B381" s="281"/>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row>
    <row r="382" spans="1:26" ht="15.75" customHeight="1" x14ac:dyDescent="0.2">
      <c r="A382" s="281"/>
      <c r="B382" s="281"/>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row>
    <row r="383" spans="1:26" ht="15.75" customHeight="1" x14ac:dyDescent="0.2">
      <c r="A383" s="281"/>
      <c r="B383" s="281"/>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row>
    <row r="384" spans="1:26" ht="15.75" customHeight="1" x14ac:dyDescent="0.2">
      <c r="A384" s="281"/>
      <c r="B384" s="281"/>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row>
    <row r="385" spans="1:26" ht="15.75" customHeight="1" x14ac:dyDescent="0.2">
      <c r="A385" s="281"/>
      <c r="B385" s="281"/>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row>
    <row r="386" spans="1:26" ht="15.75" customHeight="1" x14ac:dyDescent="0.2">
      <c r="A386" s="281"/>
      <c r="B386" s="281"/>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row>
    <row r="387" spans="1:26" ht="15.75" customHeight="1" x14ac:dyDescent="0.2">
      <c r="A387" s="281"/>
      <c r="B387" s="281"/>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row>
    <row r="388" spans="1:26" ht="15.75" customHeight="1" x14ac:dyDescent="0.2">
      <c r="A388" s="281"/>
      <c r="B388" s="281"/>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row>
    <row r="389" spans="1:26" ht="15.75" customHeight="1" x14ac:dyDescent="0.2">
      <c r="A389" s="281"/>
      <c r="B389" s="281"/>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row>
    <row r="390" spans="1:26" ht="15.75" customHeight="1" x14ac:dyDescent="0.2">
      <c r="A390" s="281"/>
      <c r="B390" s="281"/>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row>
    <row r="391" spans="1:26" ht="15.75" customHeight="1" x14ac:dyDescent="0.2">
      <c r="A391" s="281"/>
      <c r="B391" s="281"/>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row>
    <row r="392" spans="1:26" ht="15.75" customHeight="1" x14ac:dyDescent="0.2">
      <c r="A392" s="281"/>
      <c r="B392" s="281"/>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row>
    <row r="393" spans="1:26" ht="15.75" customHeight="1" x14ac:dyDescent="0.2">
      <c r="A393" s="281"/>
      <c r="B393" s="281"/>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row>
    <row r="394" spans="1:26" ht="15.75" customHeight="1" x14ac:dyDescent="0.2">
      <c r="A394" s="281"/>
      <c r="B394" s="281"/>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row>
    <row r="395" spans="1:26" ht="15.75" customHeight="1" x14ac:dyDescent="0.2">
      <c r="A395" s="281"/>
      <c r="B395" s="281"/>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row>
    <row r="396" spans="1:26" ht="15.75" customHeight="1" x14ac:dyDescent="0.2">
      <c r="A396" s="281"/>
      <c r="B396" s="281"/>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row>
    <row r="397" spans="1:26" ht="15.75" customHeight="1" x14ac:dyDescent="0.2">
      <c r="A397" s="281"/>
      <c r="B397" s="281"/>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row>
    <row r="398" spans="1:26" ht="15.75" customHeight="1" x14ac:dyDescent="0.2">
      <c r="A398" s="281"/>
      <c r="B398" s="281"/>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row>
    <row r="399" spans="1:26" ht="15.75" customHeight="1" x14ac:dyDescent="0.2">
      <c r="A399" s="281"/>
      <c r="B399" s="281"/>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row>
    <row r="400" spans="1:26" ht="15.75" customHeight="1" x14ac:dyDescent="0.2">
      <c r="A400" s="281"/>
      <c r="B400" s="281"/>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row>
    <row r="401" spans="1:26" ht="15.75" customHeight="1" x14ac:dyDescent="0.2">
      <c r="A401" s="281"/>
      <c r="B401" s="281"/>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row>
    <row r="402" spans="1:26" ht="15.75" customHeight="1" x14ac:dyDescent="0.2">
      <c r="A402" s="281"/>
      <c r="B402" s="281"/>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row>
    <row r="403" spans="1:26" ht="15.75" customHeight="1" x14ac:dyDescent="0.2">
      <c r="A403" s="281"/>
      <c r="B403" s="281"/>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row>
    <row r="404" spans="1:26" ht="15.75" customHeight="1" x14ac:dyDescent="0.2">
      <c r="A404" s="281"/>
      <c r="B404" s="281"/>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row>
    <row r="405" spans="1:26" ht="15.75" customHeight="1" x14ac:dyDescent="0.2">
      <c r="A405" s="281"/>
      <c r="B405" s="281"/>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row>
    <row r="406" spans="1:26" ht="15.75" customHeight="1" x14ac:dyDescent="0.2">
      <c r="A406" s="281"/>
      <c r="B406" s="281"/>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row>
    <row r="407" spans="1:26" ht="15.75" customHeight="1" x14ac:dyDescent="0.2">
      <c r="A407" s="281"/>
      <c r="B407" s="281"/>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row>
    <row r="408" spans="1:26" ht="15.75" customHeight="1" x14ac:dyDescent="0.2">
      <c r="A408" s="281"/>
      <c r="B408" s="281"/>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row>
    <row r="409" spans="1:26" ht="15.75" customHeight="1" x14ac:dyDescent="0.2">
      <c r="A409" s="281"/>
      <c r="B409" s="281"/>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row>
    <row r="410" spans="1:26" ht="15.75" customHeight="1" x14ac:dyDescent="0.2">
      <c r="A410" s="281"/>
      <c r="B410" s="281"/>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row>
    <row r="411" spans="1:26" ht="15.75" customHeight="1" x14ac:dyDescent="0.2">
      <c r="A411" s="281"/>
      <c r="B411" s="281"/>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row>
    <row r="412" spans="1:26" ht="15.75" customHeight="1" x14ac:dyDescent="0.2">
      <c r="A412" s="281"/>
      <c r="B412" s="281"/>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row>
    <row r="413" spans="1:26" ht="15.75" customHeight="1" x14ac:dyDescent="0.2">
      <c r="A413" s="281"/>
      <c r="B413" s="281"/>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row>
    <row r="414" spans="1:26" ht="15.75" customHeight="1" x14ac:dyDescent="0.2">
      <c r="A414" s="281"/>
      <c r="B414" s="281"/>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row>
    <row r="415" spans="1:26" ht="15.75" customHeight="1" x14ac:dyDescent="0.2">
      <c r="A415" s="281"/>
      <c r="B415" s="281"/>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row>
    <row r="416" spans="1:26" ht="15.75" customHeight="1" x14ac:dyDescent="0.2">
      <c r="A416" s="281"/>
      <c r="B416" s="281"/>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row>
    <row r="417" spans="1:26" ht="15.75" customHeight="1" x14ac:dyDescent="0.2">
      <c r="A417" s="281"/>
      <c r="B417" s="281"/>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row>
    <row r="418" spans="1:26" ht="15.75" customHeight="1" x14ac:dyDescent="0.2">
      <c r="A418" s="281"/>
      <c r="B418" s="281"/>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row>
    <row r="419" spans="1:26" ht="15.75" customHeight="1" x14ac:dyDescent="0.2">
      <c r="A419" s="281"/>
      <c r="B419" s="281"/>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row>
    <row r="420" spans="1:26" ht="15.75" customHeight="1" x14ac:dyDescent="0.2">
      <c r="A420" s="281"/>
      <c r="B420" s="281"/>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row>
    <row r="421" spans="1:26" ht="15.75" customHeight="1" x14ac:dyDescent="0.2">
      <c r="A421" s="281"/>
      <c r="B421" s="281"/>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row>
    <row r="422" spans="1:26" ht="15.75" customHeight="1" x14ac:dyDescent="0.2">
      <c r="A422" s="281"/>
      <c r="B422" s="281"/>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row>
    <row r="423" spans="1:26" ht="15.75" customHeight="1" x14ac:dyDescent="0.2">
      <c r="A423" s="281"/>
      <c r="B423" s="281"/>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row>
    <row r="424" spans="1:26" ht="15.75" customHeight="1" x14ac:dyDescent="0.2">
      <c r="A424" s="281"/>
      <c r="B424" s="281"/>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row>
    <row r="425" spans="1:26" ht="15.75" customHeight="1" x14ac:dyDescent="0.2">
      <c r="A425" s="281"/>
      <c r="B425" s="281"/>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row>
    <row r="426" spans="1:26" ht="15.75" customHeight="1" x14ac:dyDescent="0.2">
      <c r="A426" s="281"/>
      <c r="B426" s="281"/>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row>
    <row r="427" spans="1:26" ht="15.75" customHeight="1" x14ac:dyDescent="0.2">
      <c r="A427" s="281"/>
      <c r="B427" s="281"/>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row>
    <row r="428" spans="1:26" ht="15.75" customHeight="1" x14ac:dyDescent="0.2">
      <c r="A428" s="281"/>
      <c r="B428" s="281"/>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row>
    <row r="429" spans="1:26" ht="15.75" customHeight="1" x14ac:dyDescent="0.2">
      <c r="A429" s="281"/>
      <c r="B429" s="281"/>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row>
    <row r="430" spans="1:26" ht="15.75" customHeight="1" x14ac:dyDescent="0.2">
      <c r="A430" s="281"/>
      <c r="B430" s="281"/>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row>
    <row r="431" spans="1:26" ht="15.75" customHeight="1" x14ac:dyDescent="0.2">
      <c r="A431" s="281"/>
      <c r="B431" s="281"/>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row>
    <row r="432" spans="1:26" ht="15.75" customHeight="1" x14ac:dyDescent="0.2">
      <c r="A432" s="281"/>
      <c r="B432" s="281"/>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row>
    <row r="433" spans="1:26" ht="15.75" customHeight="1" x14ac:dyDescent="0.2">
      <c r="A433" s="281"/>
      <c r="B433" s="281"/>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row>
    <row r="434" spans="1:26" ht="15.75" customHeight="1" x14ac:dyDescent="0.2">
      <c r="A434" s="281"/>
      <c r="B434" s="281"/>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row>
    <row r="435" spans="1:26" ht="15.75" customHeight="1" x14ac:dyDescent="0.2">
      <c r="A435" s="281"/>
      <c r="B435" s="281"/>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row>
    <row r="436" spans="1:26" ht="15.75" customHeight="1" x14ac:dyDescent="0.2">
      <c r="A436" s="281"/>
      <c r="B436" s="281"/>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row>
    <row r="437" spans="1:26" ht="15.75" customHeight="1" x14ac:dyDescent="0.2">
      <c r="A437" s="281"/>
      <c r="B437" s="281"/>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row>
    <row r="438" spans="1:26" ht="15.75" customHeight="1" x14ac:dyDescent="0.2">
      <c r="A438" s="281"/>
      <c r="B438" s="281"/>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row>
    <row r="439" spans="1:26" ht="15.75" customHeight="1" x14ac:dyDescent="0.2">
      <c r="A439" s="281"/>
      <c r="B439" s="281"/>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row>
    <row r="440" spans="1:26" ht="15.75" customHeight="1" x14ac:dyDescent="0.2">
      <c r="A440" s="281"/>
      <c r="B440" s="281"/>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row>
    <row r="441" spans="1:26" ht="15.75" customHeight="1" x14ac:dyDescent="0.2">
      <c r="A441" s="281"/>
      <c r="B441" s="281"/>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row>
    <row r="442" spans="1:26" ht="15.75" customHeight="1" x14ac:dyDescent="0.2">
      <c r="A442" s="281"/>
      <c r="B442" s="281"/>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row>
    <row r="443" spans="1:26" ht="15.75" customHeight="1" x14ac:dyDescent="0.2">
      <c r="A443" s="281"/>
      <c r="B443" s="281"/>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row>
    <row r="444" spans="1:26" ht="15.75" customHeight="1" x14ac:dyDescent="0.2">
      <c r="A444" s="281"/>
      <c r="B444" s="281"/>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row>
    <row r="445" spans="1:26" ht="15.75" customHeight="1" x14ac:dyDescent="0.2">
      <c r="A445" s="281"/>
      <c r="B445" s="281"/>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row>
    <row r="446" spans="1:26" ht="15.75" customHeight="1" x14ac:dyDescent="0.2">
      <c r="A446" s="281"/>
      <c r="B446" s="281"/>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row>
    <row r="447" spans="1:26" ht="15.75" customHeight="1" x14ac:dyDescent="0.2">
      <c r="A447" s="281"/>
      <c r="B447" s="281"/>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row>
    <row r="448" spans="1:26" ht="15.75" customHeight="1" x14ac:dyDescent="0.2">
      <c r="A448" s="281"/>
      <c r="B448" s="281"/>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row>
    <row r="449" spans="1:26" ht="15.75" customHeight="1" x14ac:dyDescent="0.2">
      <c r="A449" s="281"/>
      <c r="B449" s="281"/>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row>
    <row r="450" spans="1:26" ht="15.75" customHeight="1" x14ac:dyDescent="0.2">
      <c r="A450" s="281"/>
      <c r="B450" s="281"/>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row>
    <row r="451" spans="1:26" ht="15.75" customHeight="1" x14ac:dyDescent="0.2">
      <c r="A451" s="281"/>
      <c r="B451" s="281"/>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row>
    <row r="452" spans="1:26" ht="15.75" customHeight="1" x14ac:dyDescent="0.2">
      <c r="A452" s="281"/>
      <c r="B452" s="281"/>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row>
    <row r="453" spans="1:26" ht="15.75" customHeight="1" x14ac:dyDescent="0.2">
      <c r="A453" s="281"/>
      <c r="B453" s="281"/>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row>
    <row r="454" spans="1:26" ht="15.75" customHeight="1" x14ac:dyDescent="0.2">
      <c r="A454" s="281"/>
      <c r="B454" s="281"/>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row>
    <row r="455" spans="1:26" ht="15.75" customHeight="1" x14ac:dyDescent="0.2">
      <c r="A455" s="281"/>
      <c r="B455" s="281"/>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row>
    <row r="456" spans="1:26" ht="15.75" customHeight="1" x14ac:dyDescent="0.2">
      <c r="A456" s="281"/>
      <c r="B456" s="281"/>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row>
    <row r="457" spans="1:26" ht="15.75" customHeight="1" x14ac:dyDescent="0.2">
      <c r="A457" s="281"/>
      <c r="B457" s="281"/>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row>
    <row r="458" spans="1:26" ht="15.75" customHeight="1" x14ac:dyDescent="0.2">
      <c r="A458" s="281"/>
      <c r="B458" s="281"/>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row>
    <row r="459" spans="1:26" ht="15.75" customHeight="1" x14ac:dyDescent="0.2">
      <c r="A459" s="281"/>
      <c r="B459" s="281"/>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row>
    <row r="460" spans="1:26" ht="15.75" customHeight="1" x14ac:dyDescent="0.2">
      <c r="A460" s="281"/>
      <c r="B460" s="281"/>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row>
    <row r="461" spans="1:26" ht="15.75" customHeight="1" x14ac:dyDescent="0.2">
      <c r="A461" s="281"/>
      <c r="B461" s="281"/>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row>
    <row r="462" spans="1:26" ht="15.75" customHeight="1" x14ac:dyDescent="0.2">
      <c r="A462" s="281"/>
      <c r="B462" s="281"/>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row>
    <row r="463" spans="1:26" ht="15.75" customHeight="1" x14ac:dyDescent="0.2">
      <c r="A463" s="281"/>
      <c r="B463" s="281"/>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row>
    <row r="464" spans="1:26" ht="15.75" customHeight="1" x14ac:dyDescent="0.2">
      <c r="A464" s="281"/>
      <c r="B464" s="281"/>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row>
    <row r="465" spans="1:26" ht="15.75" customHeight="1" x14ac:dyDescent="0.2">
      <c r="A465" s="281"/>
      <c r="B465" s="281"/>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row>
    <row r="466" spans="1:26" ht="15.75" customHeight="1" x14ac:dyDescent="0.2">
      <c r="A466" s="281"/>
      <c r="B466" s="281"/>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row>
    <row r="467" spans="1:26" ht="15.75" customHeight="1" x14ac:dyDescent="0.2">
      <c r="A467" s="281"/>
      <c r="B467" s="281"/>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row>
    <row r="468" spans="1:26" ht="15.75" customHeight="1" x14ac:dyDescent="0.2">
      <c r="A468" s="281"/>
      <c r="B468" s="281"/>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row>
    <row r="469" spans="1:26" ht="15.75" customHeight="1" x14ac:dyDescent="0.2">
      <c r="A469" s="281"/>
      <c r="B469" s="281"/>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row>
    <row r="470" spans="1:26" ht="15.75" customHeight="1" x14ac:dyDescent="0.2">
      <c r="A470" s="281"/>
      <c r="B470" s="281"/>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row>
    <row r="471" spans="1:26" ht="15.75" customHeight="1" x14ac:dyDescent="0.2">
      <c r="A471" s="281"/>
      <c r="B471" s="281"/>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row>
    <row r="472" spans="1:26" ht="15.75" customHeight="1" x14ac:dyDescent="0.2">
      <c r="A472" s="281"/>
      <c r="B472" s="281"/>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row>
    <row r="473" spans="1:26" ht="15.75" customHeight="1" x14ac:dyDescent="0.2">
      <c r="A473" s="281"/>
      <c r="B473" s="281"/>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row>
    <row r="474" spans="1:26" ht="15.75" customHeight="1" x14ac:dyDescent="0.2">
      <c r="A474" s="281"/>
      <c r="B474" s="281"/>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row>
    <row r="475" spans="1:26" ht="15.75" customHeight="1" x14ac:dyDescent="0.2">
      <c r="A475" s="281"/>
      <c r="B475" s="281"/>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row>
    <row r="476" spans="1:26" ht="15.75" customHeight="1" x14ac:dyDescent="0.2">
      <c r="A476" s="281"/>
      <c r="B476" s="281"/>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row>
    <row r="477" spans="1:26" ht="15.75" customHeight="1" x14ac:dyDescent="0.2">
      <c r="A477" s="281"/>
      <c r="B477" s="281"/>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row>
    <row r="478" spans="1:26" ht="15.75" customHeight="1" x14ac:dyDescent="0.2">
      <c r="A478" s="281"/>
      <c r="B478" s="281"/>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row>
    <row r="479" spans="1:26" ht="15.75" customHeight="1" x14ac:dyDescent="0.2">
      <c r="A479" s="281"/>
      <c r="B479" s="281"/>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row>
    <row r="480" spans="1:26" ht="15.75" customHeight="1" x14ac:dyDescent="0.2">
      <c r="A480" s="281"/>
      <c r="B480" s="281"/>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row>
    <row r="481" spans="1:26" ht="15.75" customHeight="1" x14ac:dyDescent="0.2">
      <c r="A481" s="281"/>
      <c r="B481" s="281"/>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row>
    <row r="482" spans="1:26" ht="15.75" customHeight="1" x14ac:dyDescent="0.2">
      <c r="A482" s="281"/>
      <c r="B482" s="281"/>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row>
    <row r="483" spans="1:26" ht="15.75" customHeight="1" x14ac:dyDescent="0.2">
      <c r="A483" s="281"/>
      <c r="B483" s="281"/>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row>
    <row r="484" spans="1:26" ht="15.75" customHeight="1" x14ac:dyDescent="0.2">
      <c r="A484" s="281"/>
      <c r="B484" s="281"/>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row>
    <row r="485" spans="1:26" ht="15.75" customHeight="1" x14ac:dyDescent="0.2">
      <c r="A485" s="281"/>
      <c r="B485" s="281"/>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row>
    <row r="486" spans="1:26" ht="15.75" customHeight="1" x14ac:dyDescent="0.2">
      <c r="A486" s="281"/>
      <c r="B486" s="281"/>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row>
    <row r="487" spans="1:26" ht="15.75" customHeight="1" x14ac:dyDescent="0.2">
      <c r="A487" s="281"/>
      <c r="B487" s="281"/>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row>
    <row r="488" spans="1:26" ht="15.75" customHeight="1" x14ac:dyDescent="0.2">
      <c r="A488" s="281"/>
      <c r="B488" s="281"/>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row>
    <row r="489" spans="1:26" ht="15.75" customHeight="1" x14ac:dyDescent="0.2">
      <c r="A489" s="281"/>
      <c r="B489" s="281"/>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row>
    <row r="490" spans="1:26" ht="15.75" customHeight="1" x14ac:dyDescent="0.2">
      <c r="A490" s="281"/>
      <c r="B490" s="281"/>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row>
    <row r="491" spans="1:26" ht="15.75" customHeight="1" x14ac:dyDescent="0.2">
      <c r="A491" s="281"/>
      <c r="B491" s="281"/>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row>
    <row r="492" spans="1:26" ht="15.75" customHeight="1" x14ac:dyDescent="0.2">
      <c r="A492" s="281"/>
      <c r="B492" s="281"/>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row>
    <row r="493" spans="1:26" ht="15.75" customHeight="1" x14ac:dyDescent="0.2">
      <c r="A493" s="281"/>
      <c r="B493" s="281"/>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row>
    <row r="494" spans="1:26" ht="15.75" customHeight="1" x14ac:dyDescent="0.2">
      <c r="A494" s="281"/>
      <c r="B494" s="281"/>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row>
    <row r="495" spans="1:26" ht="15.75" customHeight="1" x14ac:dyDescent="0.2">
      <c r="A495" s="281"/>
      <c r="B495" s="281"/>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row>
    <row r="496" spans="1:26" ht="15.75" customHeight="1" x14ac:dyDescent="0.2">
      <c r="A496" s="281"/>
      <c r="B496" s="281"/>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row>
    <row r="497" spans="1:26" ht="15.75" customHeight="1" x14ac:dyDescent="0.2">
      <c r="A497" s="281"/>
      <c r="B497" s="281"/>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row>
    <row r="498" spans="1:26" ht="15.75" customHeight="1" x14ac:dyDescent="0.2">
      <c r="A498" s="281"/>
      <c r="B498" s="281"/>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row>
    <row r="499" spans="1:26" ht="15.75" customHeight="1" x14ac:dyDescent="0.2">
      <c r="A499" s="281"/>
      <c r="B499" s="281"/>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row>
    <row r="500" spans="1:26" ht="15.75" customHeight="1" x14ac:dyDescent="0.2">
      <c r="A500" s="281"/>
      <c r="B500" s="281"/>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row>
    <row r="501" spans="1:26" ht="15.75" customHeight="1" x14ac:dyDescent="0.2">
      <c r="A501" s="281"/>
      <c r="B501" s="281"/>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row>
    <row r="502" spans="1:26" ht="15.75" customHeight="1" x14ac:dyDescent="0.2">
      <c r="A502" s="281"/>
      <c r="B502" s="281"/>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row>
    <row r="503" spans="1:26" ht="15.75" customHeight="1" x14ac:dyDescent="0.2">
      <c r="A503" s="281"/>
      <c r="B503" s="281"/>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row>
    <row r="504" spans="1:26" ht="15.75" customHeight="1" x14ac:dyDescent="0.2">
      <c r="A504" s="281"/>
      <c r="B504" s="281"/>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row>
    <row r="505" spans="1:26" ht="15.75" customHeight="1" x14ac:dyDescent="0.2">
      <c r="A505" s="281"/>
      <c r="B505" s="281"/>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row>
    <row r="506" spans="1:26" ht="15.75" customHeight="1" x14ac:dyDescent="0.2">
      <c r="A506" s="281"/>
      <c r="B506" s="281"/>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row>
    <row r="507" spans="1:26" ht="15.75" customHeight="1" x14ac:dyDescent="0.2">
      <c r="A507" s="281"/>
      <c r="B507" s="281"/>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row>
    <row r="508" spans="1:26" ht="15.75" customHeight="1" x14ac:dyDescent="0.2">
      <c r="A508" s="281"/>
      <c r="B508" s="281"/>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row>
    <row r="509" spans="1:26" ht="15.75" customHeight="1" x14ac:dyDescent="0.2">
      <c r="A509" s="281"/>
      <c r="B509" s="281"/>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row>
    <row r="510" spans="1:26" ht="15.75" customHeight="1" x14ac:dyDescent="0.2">
      <c r="A510" s="281"/>
      <c r="B510" s="281"/>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row>
    <row r="511" spans="1:26" ht="15.75" customHeight="1" x14ac:dyDescent="0.2">
      <c r="A511" s="281"/>
      <c r="B511" s="281"/>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row>
    <row r="512" spans="1:26" ht="15.75" customHeight="1" x14ac:dyDescent="0.2">
      <c r="A512" s="281"/>
      <c r="B512" s="281"/>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row>
    <row r="513" spans="1:26" ht="15.75" customHeight="1" x14ac:dyDescent="0.2">
      <c r="A513" s="281"/>
      <c r="B513" s="281"/>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row>
    <row r="514" spans="1:26" ht="15.75" customHeight="1" x14ac:dyDescent="0.2">
      <c r="A514" s="281"/>
      <c r="B514" s="281"/>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row>
    <row r="515" spans="1:26" ht="15.75" customHeight="1" x14ac:dyDescent="0.2">
      <c r="A515" s="281"/>
      <c r="B515" s="281"/>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row>
    <row r="516" spans="1:26" ht="15.75" customHeight="1" x14ac:dyDescent="0.2">
      <c r="A516" s="281"/>
      <c r="B516" s="281"/>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row>
    <row r="517" spans="1:26" ht="15.75" customHeight="1" x14ac:dyDescent="0.2">
      <c r="A517" s="281"/>
      <c r="B517" s="281"/>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row>
    <row r="518" spans="1:26" ht="15.75" customHeight="1" x14ac:dyDescent="0.2">
      <c r="A518" s="281"/>
      <c r="B518" s="281"/>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row>
    <row r="519" spans="1:26" ht="15.75" customHeight="1" x14ac:dyDescent="0.2">
      <c r="A519" s="281"/>
      <c r="B519" s="281"/>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row>
    <row r="520" spans="1:26" ht="15.75" customHeight="1" x14ac:dyDescent="0.2">
      <c r="A520" s="281"/>
      <c r="B520" s="281"/>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row>
    <row r="521" spans="1:26" ht="15.75" customHeight="1" x14ac:dyDescent="0.2">
      <c r="A521" s="281"/>
      <c r="B521" s="281"/>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row>
    <row r="522" spans="1:26" ht="15.75" customHeight="1" x14ac:dyDescent="0.2">
      <c r="A522" s="281"/>
      <c r="B522" s="281"/>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row>
    <row r="523" spans="1:26" ht="15.75" customHeight="1" x14ac:dyDescent="0.2">
      <c r="A523" s="281"/>
      <c r="B523" s="281"/>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row>
    <row r="524" spans="1:26" ht="15.75" customHeight="1" x14ac:dyDescent="0.2">
      <c r="A524" s="281"/>
      <c r="B524" s="281"/>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row>
    <row r="525" spans="1:26" ht="15.75" customHeight="1" x14ac:dyDescent="0.2">
      <c r="A525" s="281"/>
      <c r="B525" s="281"/>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row>
    <row r="526" spans="1:26" ht="15.75" customHeight="1" x14ac:dyDescent="0.2">
      <c r="A526" s="281"/>
      <c r="B526" s="281"/>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row>
    <row r="527" spans="1:26" ht="15.75" customHeight="1" x14ac:dyDescent="0.2">
      <c r="A527" s="281"/>
      <c r="B527" s="281"/>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row>
    <row r="528" spans="1:26" ht="15.75" customHeight="1" x14ac:dyDescent="0.2">
      <c r="A528" s="281"/>
      <c r="B528" s="281"/>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row>
    <row r="529" spans="1:26" ht="15.75" customHeight="1" x14ac:dyDescent="0.2">
      <c r="A529" s="281"/>
      <c r="B529" s="281"/>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row>
    <row r="530" spans="1:26" ht="15.75" customHeight="1" x14ac:dyDescent="0.2">
      <c r="A530" s="281"/>
      <c r="B530" s="281"/>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row>
    <row r="531" spans="1:26" ht="15.75" customHeight="1" x14ac:dyDescent="0.2">
      <c r="A531" s="281"/>
      <c r="B531" s="281"/>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row>
    <row r="532" spans="1:26" ht="15.75" customHeight="1" x14ac:dyDescent="0.2">
      <c r="A532" s="281"/>
      <c r="B532" s="281"/>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row>
    <row r="533" spans="1:26" ht="15.75" customHeight="1" x14ac:dyDescent="0.2">
      <c r="A533" s="281"/>
      <c r="B533" s="281"/>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row>
    <row r="534" spans="1:26" ht="15.75" customHeight="1" x14ac:dyDescent="0.2">
      <c r="A534" s="281"/>
      <c r="B534" s="281"/>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row>
    <row r="535" spans="1:26" ht="15.75" customHeight="1" x14ac:dyDescent="0.2">
      <c r="A535" s="281"/>
      <c r="B535" s="281"/>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row>
    <row r="536" spans="1:26" ht="15.75" customHeight="1" x14ac:dyDescent="0.2">
      <c r="A536" s="281"/>
      <c r="B536" s="281"/>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row>
    <row r="537" spans="1:26" ht="15.75" customHeight="1" x14ac:dyDescent="0.2">
      <c r="A537" s="281"/>
      <c r="B537" s="281"/>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row>
    <row r="538" spans="1:26" ht="15.75" customHeight="1" x14ac:dyDescent="0.2">
      <c r="A538" s="281"/>
      <c r="B538" s="281"/>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row>
    <row r="539" spans="1:26" ht="15.75" customHeight="1" x14ac:dyDescent="0.2">
      <c r="A539" s="281"/>
      <c r="B539" s="281"/>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row>
    <row r="540" spans="1:26" ht="15.75" customHeight="1" x14ac:dyDescent="0.2">
      <c r="A540" s="281"/>
      <c r="B540" s="281"/>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row>
    <row r="541" spans="1:26" ht="15.75" customHeight="1" x14ac:dyDescent="0.2">
      <c r="A541" s="281"/>
      <c r="B541" s="281"/>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row>
    <row r="542" spans="1:26" ht="15.75" customHeight="1" x14ac:dyDescent="0.2">
      <c r="A542" s="281"/>
      <c r="B542" s="281"/>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row>
    <row r="543" spans="1:26" ht="15.75" customHeight="1" x14ac:dyDescent="0.2">
      <c r="A543" s="281"/>
      <c r="B543" s="281"/>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row>
    <row r="544" spans="1:26" ht="15.75" customHeight="1" x14ac:dyDescent="0.2">
      <c r="A544" s="281"/>
      <c r="B544" s="281"/>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row>
    <row r="545" spans="1:26" ht="15.75" customHeight="1" x14ac:dyDescent="0.2">
      <c r="A545" s="281"/>
      <c r="B545" s="281"/>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row>
    <row r="546" spans="1:26" ht="15.75" customHeight="1" x14ac:dyDescent="0.2">
      <c r="A546" s="281"/>
      <c r="B546" s="281"/>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row>
    <row r="547" spans="1:26" ht="15.75" customHeight="1" x14ac:dyDescent="0.2">
      <c r="A547" s="281"/>
      <c r="B547" s="281"/>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row>
    <row r="548" spans="1:26" ht="15.75" customHeight="1" x14ac:dyDescent="0.2">
      <c r="A548" s="281"/>
      <c r="B548" s="281"/>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row>
    <row r="549" spans="1:26" ht="15.75" customHeight="1" x14ac:dyDescent="0.2">
      <c r="A549" s="281"/>
      <c r="B549" s="281"/>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row>
    <row r="550" spans="1:26" ht="15.75" customHeight="1" x14ac:dyDescent="0.2">
      <c r="A550" s="281"/>
      <c r="B550" s="281"/>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row>
    <row r="551" spans="1:26" ht="15.75" customHeight="1" x14ac:dyDescent="0.2">
      <c r="A551" s="281"/>
      <c r="B551" s="281"/>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row>
    <row r="552" spans="1:26" ht="15.75" customHeight="1" x14ac:dyDescent="0.2">
      <c r="A552" s="281"/>
      <c r="B552" s="281"/>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row>
    <row r="553" spans="1:26" ht="15.75" customHeight="1" x14ac:dyDescent="0.2">
      <c r="A553" s="281"/>
      <c r="B553" s="281"/>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row>
    <row r="554" spans="1:26" ht="15.75" customHeight="1" x14ac:dyDescent="0.2">
      <c r="A554" s="281"/>
      <c r="B554" s="281"/>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row>
    <row r="555" spans="1:26" ht="15.75" customHeight="1" x14ac:dyDescent="0.2">
      <c r="A555" s="281"/>
      <c r="B555" s="281"/>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row>
    <row r="556" spans="1:26" ht="15.75" customHeight="1" x14ac:dyDescent="0.2">
      <c r="A556" s="281"/>
      <c r="B556" s="281"/>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row>
    <row r="557" spans="1:26" ht="15.75" customHeight="1" x14ac:dyDescent="0.2">
      <c r="A557" s="281"/>
      <c r="B557" s="281"/>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row>
    <row r="558" spans="1:26" ht="15.75" customHeight="1" x14ac:dyDescent="0.2">
      <c r="A558" s="281"/>
      <c r="B558" s="281"/>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row>
    <row r="559" spans="1:26" ht="15.75" customHeight="1" x14ac:dyDescent="0.2">
      <c r="A559" s="281"/>
      <c r="B559" s="281"/>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row>
    <row r="560" spans="1:26" ht="15.75" customHeight="1" x14ac:dyDescent="0.2">
      <c r="A560" s="281"/>
      <c r="B560" s="281"/>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row>
    <row r="561" spans="1:26" ht="15.75" customHeight="1" x14ac:dyDescent="0.2">
      <c r="A561" s="281"/>
      <c r="B561" s="281"/>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row>
    <row r="562" spans="1:26" ht="15.75" customHeight="1" x14ac:dyDescent="0.2">
      <c r="A562" s="281"/>
      <c r="B562" s="281"/>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row>
    <row r="563" spans="1:26" ht="15.75" customHeight="1" x14ac:dyDescent="0.2">
      <c r="A563" s="281"/>
      <c r="B563" s="281"/>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row>
    <row r="564" spans="1:26" ht="15.75" customHeight="1" x14ac:dyDescent="0.2">
      <c r="A564" s="281"/>
      <c r="B564" s="281"/>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row>
    <row r="565" spans="1:26" ht="15.75" customHeight="1" x14ac:dyDescent="0.2">
      <c r="A565" s="281"/>
      <c r="B565" s="281"/>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row>
    <row r="566" spans="1:26" ht="15.75" customHeight="1" x14ac:dyDescent="0.2">
      <c r="A566" s="281"/>
      <c r="B566" s="281"/>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row>
    <row r="567" spans="1:26" ht="15.75" customHeight="1" x14ac:dyDescent="0.2">
      <c r="A567" s="281"/>
      <c r="B567" s="281"/>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row>
    <row r="568" spans="1:26" ht="15.75" customHeight="1" x14ac:dyDescent="0.2">
      <c r="A568" s="281"/>
      <c r="B568" s="281"/>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row>
    <row r="569" spans="1:26" ht="15.75" customHeight="1" x14ac:dyDescent="0.2">
      <c r="A569" s="281"/>
      <c r="B569" s="281"/>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row>
    <row r="570" spans="1:26" ht="15.75" customHeight="1" x14ac:dyDescent="0.2">
      <c r="A570" s="281"/>
      <c r="B570" s="281"/>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row>
    <row r="571" spans="1:26" ht="15.75" customHeight="1" x14ac:dyDescent="0.2">
      <c r="A571" s="281"/>
      <c r="B571" s="281"/>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row>
    <row r="572" spans="1:26" ht="15.75" customHeight="1" x14ac:dyDescent="0.2">
      <c r="A572" s="281"/>
      <c r="B572" s="281"/>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row>
    <row r="573" spans="1:26" ht="15.75" customHeight="1" x14ac:dyDescent="0.2">
      <c r="A573" s="281"/>
      <c r="B573" s="281"/>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row>
    <row r="574" spans="1:26" ht="15.75" customHeight="1" x14ac:dyDescent="0.2">
      <c r="A574" s="281"/>
      <c r="B574" s="281"/>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row>
    <row r="575" spans="1:26" ht="15.75" customHeight="1" x14ac:dyDescent="0.2">
      <c r="A575" s="281"/>
      <c r="B575" s="281"/>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row>
    <row r="576" spans="1:26" ht="15.75" customHeight="1" x14ac:dyDescent="0.2">
      <c r="A576" s="281"/>
      <c r="B576" s="281"/>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row>
    <row r="577" spans="1:26" ht="15.75" customHeight="1" x14ac:dyDescent="0.2">
      <c r="A577" s="281"/>
      <c r="B577" s="281"/>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row>
    <row r="578" spans="1:26" ht="15.75" customHeight="1" x14ac:dyDescent="0.2">
      <c r="A578" s="281"/>
      <c r="B578" s="281"/>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row>
    <row r="579" spans="1:26" ht="15.75" customHeight="1" x14ac:dyDescent="0.2">
      <c r="A579" s="281"/>
      <c r="B579" s="281"/>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row>
    <row r="580" spans="1:26" ht="15.75" customHeight="1" x14ac:dyDescent="0.2">
      <c r="A580" s="281"/>
      <c r="B580" s="281"/>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row>
    <row r="581" spans="1:26" ht="15.75" customHeight="1" x14ac:dyDescent="0.2">
      <c r="A581" s="281"/>
      <c r="B581" s="281"/>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row>
    <row r="582" spans="1:26" ht="15.75" customHeight="1" x14ac:dyDescent="0.2">
      <c r="A582" s="281"/>
      <c r="B582" s="281"/>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row>
    <row r="583" spans="1:26" ht="15.75" customHeight="1" x14ac:dyDescent="0.2">
      <c r="A583" s="281"/>
      <c r="B583" s="281"/>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row>
    <row r="584" spans="1:26" ht="15.75" customHeight="1" x14ac:dyDescent="0.2">
      <c r="A584" s="281"/>
      <c r="B584" s="281"/>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row>
    <row r="585" spans="1:26" ht="15.75" customHeight="1" x14ac:dyDescent="0.2">
      <c r="A585" s="281"/>
      <c r="B585" s="281"/>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row>
    <row r="586" spans="1:26" ht="15.75" customHeight="1" x14ac:dyDescent="0.2">
      <c r="A586" s="281"/>
      <c r="B586" s="281"/>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row>
    <row r="587" spans="1:26" ht="15.75" customHeight="1" x14ac:dyDescent="0.2">
      <c r="A587" s="281"/>
      <c r="B587" s="281"/>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row>
    <row r="588" spans="1:26" ht="15.75" customHeight="1" x14ac:dyDescent="0.2">
      <c r="A588" s="281"/>
      <c r="B588" s="281"/>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row>
    <row r="589" spans="1:26" ht="15.75" customHeight="1" x14ac:dyDescent="0.2">
      <c r="A589" s="281"/>
      <c r="B589" s="281"/>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row>
    <row r="590" spans="1:26" ht="15.75" customHeight="1" x14ac:dyDescent="0.2">
      <c r="A590" s="281"/>
      <c r="B590" s="281"/>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row>
    <row r="591" spans="1:26" ht="15.75" customHeight="1" x14ac:dyDescent="0.2">
      <c r="A591" s="281"/>
      <c r="B591" s="281"/>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row>
    <row r="592" spans="1:26" ht="15.75" customHeight="1" x14ac:dyDescent="0.2">
      <c r="A592" s="281"/>
      <c r="B592" s="281"/>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row>
    <row r="593" spans="1:26" ht="15.75" customHeight="1" x14ac:dyDescent="0.2">
      <c r="A593" s="281"/>
      <c r="B593" s="281"/>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row>
    <row r="594" spans="1:26" ht="15.75" customHeight="1" x14ac:dyDescent="0.2">
      <c r="A594" s="281"/>
      <c r="B594" s="281"/>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row>
    <row r="595" spans="1:26" ht="15.75" customHeight="1" x14ac:dyDescent="0.2">
      <c r="A595" s="281"/>
      <c r="B595" s="281"/>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row>
    <row r="596" spans="1:26" ht="15.75" customHeight="1" x14ac:dyDescent="0.2">
      <c r="A596" s="281"/>
      <c r="B596" s="281"/>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row>
    <row r="597" spans="1:26" ht="15.75" customHeight="1" x14ac:dyDescent="0.2">
      <c r="A597" s="281"/>
      <c r="B597" s="281"/>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row>
    <row r="598" spans="1:26" ht="15.75" customHeight="1" x14ac:dyDescent="0.2">
      <c r="A598" s="281"/>
      <c r="B598" s="281"/>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row>
    <row r="599" spans="1:26" ht="15.75" customHeight="1" x14ac:dyDescent="0.2">
      <c r="A599" s="281"/>
      <c r="B599" s="281"/>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row>
    <row r="600" spans="1:26" ht="15.75" customHeight="1" x14ac:dyDescent="0.2">
      <c r="A600" s="281"/>
      <c r="B600" s="281"/>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row>
    <row r="601" spans="1:26" ht="15.75" customHeight="1" x14ac:dyDescent="0.2">
      <c r="A601" s="281"/>
      <c r="B601" s="281"/>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row>
    <row r="602" spans="1:26" ht="15.75" customHeight="1" x14ac:dyDescent="0.2">
      <c r="A602" s="281"/>
      <c r="B602" s="281"/>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row>
    <row r="603" spans="1:26" ht="15.75" customHeight="1" x14ac:dyDescent="0.2">
      <c r="A603" s="281"/>
      <c r="B603" s="281"/>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row>
    <row r="604" spans="1:26" ht="15.75" customHeight="1" x14ac:dyDescent="0.2">
      <c r="A604" s="281"/>
      <c r="B604" s="281"/>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row>
    <row r="605" spans="1:26" ht="15.75" customHeight="1" x14ac:dyDescent="0.2">
      <c r="A605" s="281"/>
      <c r="B605" s="281"/>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row>
    <row r="606" spans="1:26" ht="15.75" customHeight="1" x14ac:dyDescent="0.2">
      <c r="A606" s="281"/>
      <c r="B606" s="281"/>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row>
    <row r="607" spans="1:26" ht="15.75" customHeight="1" x14ac:dyDescent="0.2">
      <c r="A607" s="281"/>
      <c r="B607" s="281"/>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row>
    <row r="608" spans="1:26" ht="15.75" customHeight="1" x14ac:dyDescent="0.2">
      <c r="A608" s="281"/>
      <c r="B608" s="281"/>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row>
    <row r="609" spans="1:26" ht="15.75" customHeight="1" x14ac:dyDescent="0.2">
      <c r="A609" s="281"/>
      <c r="B609" s="281"/>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row>
    <row r="610" spans="1:26" ht="15.75" customHeight="1" x14ac:dyDescent="0.2">
      <c r="A610" s="281"/>
      <c r="B610" s="281"/>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row>
    <row r="611" spans="1:26" ht="15.75" customHeight="1" x14ac:dyDescent="0.2">
      <c r="A611" s="281"/>
      <c r="B611" s="281"/>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row>
    <row r="612" spans="1:26" ht="15.75" customHeight="1" x14ac:dyDescent="0.2">
      <c r="A612" s="281"/>
      <c r="B612" s="281"/>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row>
    <row r="613" spans="1:26" ht="15.75" customHeight="1" x14ac:dyDescent="0.2">
      <c r="A613" s="281"/>
      <c r="B613" s="281"/>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row>
    <row r="614" spans="1:26" ht="15.75" customHeight="1" x14ac:dyDescent="0.2">
      <c r="A614" s="281"/>
      <c r="B614" s="281"/>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row>
    <row r="615" spans="1:26" ht="15.75" customHeight="1" x14ac:dyDescent="0.2">
      <c r="A615" s="281"/>
      <c r="B615" s="281"/>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row>
    <row r="616" spans="1:26" ht="15.75" customHeight="1" x14ac:dyDescent="0.2">
      <c r="A616" s="281"/>
      <c r="B616" s="281"/>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row>
    <row r="617" spans="1:26" ht="15.75" customHeight="1" x14ac:dyDescent="0.2">
      <c r="A617" s="281"/>
      <c r="B617" s="281"/>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row>
    <row r="618" spans="1:26" ht="15.75" customHeight="1" x14ac:dyDescent="0.2">
      <c r="A618" s="281"/>
      <c r="B618" s="281"/>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row>
    <row r="619" spans="1:26" ht="15.75" customHeight="1" x14ac:dyDescent="0.2">
      <c r="A619" s="281"/>
      <c r="B619" s="281"/>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row>
    <row r="620" spans="1:26" ht="15.75" customHeight="1" x14ac:dyDescent="0.2">
      <c r="A620" s="281"/>
      <c r="B620" s="281"/>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row>
    <row r="621" spans="1:26" ht="15.75" customHeight="1" x14ac:dyDescent="0.2">
      <c r="A621" s="281"/>
      <c r="B621" s="281"/>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row>
    <row r="622" spans="1:26" ht="15.75" customHeight="1" x14ac:dyDescent="0.2">
      <c r="A622" s="281"/>
      <c r="B622" s="281"/>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row>
    <row r="623" spans="1:26" ht="15.75" customHeight="1" x14ac:dyDescent="0.2">
      <c r="A623" s="281"/>
      <c r="B623" s="281"/>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row>
    <row r="624" spans="1:26" ht="15.75" customHeight="1" x14ac:dyDescent="0.2">
      <c r="A624" s="281"/>
      <c r="B624" s="281"/>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row>
    <row r="625" spans="1:26" ht="15.75" customHeight="1" x14ac:dyDescent="0.2">
      <c r="A625" s="281"/>
      <c r="B625" s="281"/>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row>
    <row r="626" spans="1:26" ht="15.75" customHeight="1" x14ac:dyDescent="0.2">
      <c r="A626" s="281"/>
      <c r="B626" s="281"/>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row>
    <row r="627" spans="1:26" ht="15.75" customHeight="1" x14ac:dyDescent="0.2">
      <c r="A627" s="281"/>
      <c r="B627" s="281"/>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row>
    <row r="628" spans="1:26" ht="15.75" customHeight="1" x14ac:dyDescent="0.2">
      <c r="A628" s="281"/>
      <c r="B628" s="281"/>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row>
    <row r="629" spans="1:26" ht="15.75" customHeight="1" x14ac:dyDescent="0.2">
      <c r="A629" s="281"/>
      <c r="B629" s="281"/>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row>
    <row r="630" spans="1:26" ht="15.75" customHeight="1" x14ac:dyDescent="0.2">
      <c r="A630" s="281"/>
      <c r="B630" s="281"/>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row>
    <row r="631" spans="1:26" ht="15.75" customHeight="1" x14ac:dyDescent="0.2">
      <c r="A631" s="281"/>
      <c r="B631" s="281"/>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row>
    <row r="632" spans="1:26" ht="15.75" customHeight="1" x14ac:dyDescent="0.2">
      <c r="A632" s="281"/>
      <c r="B632" s="281"/>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row>
    <row r="633" spans="1:26" ht="15.75" customHeight="1" x14ac:dyDescent="0.2">
      <c r="A633" s="281"/>
      <c r="B633" s="281"/>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row>
    <row r="634" spans="1:26" ht="15.75" customHeight="1" x14ac:dyDescent="0.2">
      <c r="A634" s="281"/>
      <c r="B634" s="281"/>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row>
    <row r="635" spans="1:26" ht="15.75" customHeight="1" x14ac:dyDescent="0.2">
      <c r="A635" s="281"/>
      <c r="B635" s="281"/>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row>
    <row r="636" spans="1:26" ht="15.75" customHeight="1" x14ac:dyDescent="0.2">
      <c r="A636" s="281"/>
      <c r="B636" s="281"/>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row>
    <row r="637" spans="1:26" ht="15.75" customHeight="1" x14ac:dyDescent="0.2">
      <c r="A637" s="281"/>
      <c r="B637" s="281"/>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row>
    <row r="638" spans="1:26" ht="15.75" customHeight="1" x14ac:dyDescent="0.2">
      <c r="A638" s="281"/>
      <c r="B638" s="281"/>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row>
    <row r="639" spans="1:26" ht="15.75" customHeight="1" x14ac:dyDescent="0.2">
      <c r="A639" s="281"/>
      <c r="B639" s="281"/>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row>
    <row r="640" spans="1:26" ht="15.75" customHeight="1" x14ac:dyDescent="0.2">
      <c r="A640" s="281"/>
      <c r="B640" s="281"/>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row>
    <row r="641" spans="1:26" ht="15.75" customHeight="1" x14ac:dyDescent="0.2">
      <c r="A641" s="281"/>
      <c r="B641" s="281"/>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row>
    <row r="642" spans="1:26" ht="15.75" customHeight="1" x14ac:dyDescent="0.2">
      <c r="A642" s="281"/>
      <c r="B642" s="281"/>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row>
    <row r="643" spans="1:26" ht="15.75" customHeight="1" x14ac:dyDescent="0.2">
      <c r="A643" s="281"/>
      <c r="B643" s="281"/>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row>
    <row r="644" spans="1:26" ht="15.75" customHeight="1" x14ac:dyDescent="0.2">
      <c r="A644" s="281"/>
      <c r="B644" s="281"/>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row>
    <row r="645" spans="1:26" ht="15.75" customHeight="1" x14ac:dyDescent="0.2">
      <c r="A645" s="281"/>
      <c r="B645" s="281"/>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row>
    <row r="646" spans="1:26" ht="15.75" customHeight="1" x14ac:dyDescent="0.2">
      <c r="A646" s="281"/>
      <c r="B646" s="281"/>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row>
    <row r="647" spans="1:26" ht="15.75" customHeight="1" x14ac:dyDescent="0.2">
      <c r="A647" s="281"/>
      <c r="B647" s="281"/>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row>
    <row r="648" spans="1:26" ht="15.75" customHeight="1" x14ac:dyDescent="0.2">
      <c r="A648" s="281"/>
      <c r="B648" s="281"/>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row>
    <row r="649" spans="1:26" ht="15.75" customHeight="1" x14ac:dyDescent="0.2">
      <c r="A649" s="281"/>
      <c r="B649" s="281"/>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row>
    <row r="650" spans="1:26" ht="15.75" customHeight="1" x14ac:dyDescent="0.2">
      <c r="A650" s="281"/>
      <c r="B650" s="281"/>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row>
    <row r="651" spans="1:26" ht="15.75" customHeight="1" x14ac:dyDescent="0.2">
      <c r="A651" s="281"/>
      <c r="B651" s="281"/>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row>
    <row r="652" spans="1:26" ht="15.75" customHeight="1" x14ac:dyDescent="0.2">
      <c r="A652" s="281"/>
      <c r="B652" s="281"/>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row>
    <row r="653" spans="1:26" ht="15.75" customHeight="1" x14ac:dyDescent="0.2">
      <c r="A653" s="281"/>
      <c r="B653" s="281"/>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row>
    <row r="654" spans="1:26" ht="15.75" customHeight="1" x14ac:dyDescent="0.2">
      <c r="A654" s="281"/>
      <c r="B654" s="281"/>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row>
    <row r="655" spans="1:26" ht="15.75" customHeight="1" x14ac:dyDescent="0.2">
      <c r="A655" s="281"/>
      <c r="B655" s="281"/>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row>
    <row r="656" spans="1:26" ht="15.75" customHeight="1" x14ac:dyDescent="0.2">
      <c r="A656" s="281"/>
      <c r="B656" s="281"/>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row>
    <row r="657" spans="1:26" ht="15.75" customHeight="1" x14ac:dyDescent="0.2">
      <c r="A657" s="281"/>
      <c r="B657" s="281"/>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row>
    <row r="658" spans="1:26" ht="15.75" customHeight="1" x14ac:dyDescent="0.2">
      <c r="A658" s="281"/>
      <c r="B658" s="281"/>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row>
    <row r="659" spans="1:26" ht="15.75" customHeight="1" x14ac:dyDescent="0.2">
      <c r="A659" s="281"/>
      <c r="B659" s="281"/>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row>
    <row r="660" spans="1:26" ht="15.75" customHeight="1" x14ac:dyDescent="0.2">
      <c r="A660" s="281"/>
      <c r="B660" s="281"/>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row>
    <row r="661" spans="1:26" ht="15.75" customHeight="1" x14ac:dyDescent="0.2">
      <c r="A661" s="281"/>
      <c r="B661" s="281"/>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row>
    <row r="662" spans="1:26" ht="15.75" customHeight="1" x14ac:dyDescent="0.2">
      <c r="A662" s="281"/>
      <c r="B662" s="281"/>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row>
    <row r="663" spans="1:26" ht="15.75" customHeight="1" x14ac:dyDescent="0.2">
      <c r="A663" s="281"/>
      <c r="B663" s="281"/>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row>
    <row r="664" spans="1:26" ht="15.75" customHeight="1" x14ac:dyDescent="0.2">
      <c r="A664" s="281"/>
      <c r="B664" s="281"/>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row>
    <row r="665" spans="1:26" ht="15.75" customHeight="1" x14ac:dyDescent="0.2">
      <c r="A665" s="281"/>
      <c r="B665" s="281"/>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row>
    <row r="666" spans="1:26" ht="15.75" customHeight="1" x14ac:dyDescent="0.2">
      <c r="A666" s="281"/>
      <c r="B666" s="281"/>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row>
    <row r="667" spans="1:26" ht="15.75" customHeight="1" x14ac:dyDescent="0.2">
      <c r="A667" s="281"/>
      <c r="B667" s="281"/>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row>
    <row r="668" spans="1:26" ht="15.75" customHeight="1" x14ac:dyDescent="0.2">
      <c r="A668" s="281"/>
      <c r="B668" s="281"/>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row>
    <row r="669" spans="1:26" ht="15.75" customHeight="1" x14ac:dyDescent="0.2">
      <c r="A669" s="281"/>
      <c r="B669" s="281"/>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row>
    <row r="670" spans="1:26" ht="15.75" customHeight="1" x14ac:dyDescent="0.2">
      <c r="A670" s="281"/>
      <c r="B670" s="281"/>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row>
    <row r="671" spans="1:26" ht="15.75" customHeight="1" x14ac:dyDescent="0.2">
      <c r="A671" s="281"/>
      <c r="B671" s="281"/>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row>
    <row r="672" spans="1:26" ht="15.75" customHeight="1" x14ac:dyDescent="0.2">
      <c r="A672" s="281"/>
      <c r="B672" s="281"/>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row>
    <row r="673" spans="1:26" ht="15.75" customHeight="1" x14ac:dyDescent="0.2">
      <c r="A673" s="281"/>
      <c r="B673" s="281"/>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row>
    <row r="674" spans="1:26" ht="15.75" customHeight="1" x14ac:dyDescent="0.2">
      <c r="A674" s="281"/>
      <c r="B674" s="281"/>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row>
    <row r="675" spans="1:26" ht="15.75" customHeight="1" x14ac:dyDescent="0.2">
      <c r="A675" s="281"/>
      <c r="B675" s="281"/>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row>
    <row r="676" spans="1:26" ht="15.75" customHeight="1" x14ac:dyDescent="0.2">
      <c r="A676" s="281"/>
      <c r="B676" s="281"/>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row>
    <row r="677" spans="1:26" ht="15.75" customHeight="1" x14ac:dyDescent="0.2">
      <c r="A677" s="281"/>
      <c r="B677" s="281"/>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row>
    <row r="678" spans="1:26" ht="15.75" customHeight="1" x14ac:dyDescent="0.2">
      <c r="A678" s="281"/>
      <c r="B678" s="281"/>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row>
    <row r="679" spans="1:26" ht="15.75" customHeight="1" x14ac:dyDescent="0.2">
      <c r="A679" s="281"/>
      <c r="B679" s="281"/>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row>
    <row r="680" spans="1:26" ht="15.75" customHeight="1" x14ac:dyDescent="0.2">
      <c r="A680" s="281"/>
      <c r="B680" s="281"/>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row>
    <row r="681" spans="1:26" ht="15.75" customHeight="1" x14ac:dyDescent="0.2">
      <c r="A681" s="281"/>
      <c r="B681" s="281"/>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row>
    <row r="682" spans="1:26" ht="15.75" customHeight="1" x14ac:dyDescent="0.2">
      <c r="A682" s="281"/>
      <c r="B682" s="281"/>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row>
    <row r="683" spans="1:26" ht="15.75" customHeight="1" x14ac:dyDescent="0.2">
      <c r="A683" s="281"/>
      <c r="B683" s="281"/>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row>
    <row r="684" spans="1:26" ht="15.75" customHeight="1" x14ac:dyDescent="0.2">
      <c r="A684" s="281"/>
      <c r="B684" s="281"/>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row>
    <row r="685" spans="1:26" ht="15.75" customHeight="1" x14ac:dyDescent="0.2">
      <c r="A685" s="281"/>
      <c r="B685" s="281"/>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row>
    <row r="686" spans="1:26" ht="15.75" customHeight="1" x14ac:dyDescent="0.2">
      <c r="A686" s="281"/>
      <c r="B686" s="281"/>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row>
    <row r="687" spans="1:26" ht="15.75" customHeight="1" x14ac:dyDescent="0.2">
      <c r="A687" s="281"/>
      <c r="B687" s="281"/>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row>
    <row r="688" spans="1:26" ht="15.75" customHeight="1" x14ac:dyDescent="0.2">
      <c r="A688" s="281"/>
      <c r="B688" s="281"/>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row>
    <row r="689" spans="1:26" ht="15.75" customHeight="1" x14ac:dyDescent="0.2">
      <c r="A689" s="281"/>
      <c r="B689" s="281"/>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row>
    <row r="690" spans="1:26" ht="15.75" customHeight="1" x14ac:dyDescent="0.2">
      <c r="A690" s="281"/>
      <c r="B690" s="281"/>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row>
    <row r="691" spans="1:26" ht="15.75" customHeight="1" x14ac:dyDescent="0.2">
      <c r="A691" s="281"/>
      <c r="B691" s="281"/>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row>
    <row r="692" spans="1:26" ht="15.75" customHeight="1" x14ac:dyDescent="0.2">
      <c r="A692" s="281"/>
      <c r="B692" s="281"/>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row>
    <row r="693" spans="1:26" ht="15.75" customHeight="1" x14ac:dyDescent="0.2">
      <c r="A693" s="281"/>
      <c r="B693" s="281"/>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row>
    <row r="694" spans="1:26" ht="15.75" customHeight="1" x14ac:dyDescent="0.2">
      <c r="A694" s="281"/>
      <c r="B694" s="281"/>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row>
    <row r="695" spans="1:26" ht="15.75" customHeight="1" x14ac:dyDescent="0.2">
      <c r="A695" s="281"/>
      <c r="B695" s="281"/>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row>
    <row r="696" spans="1:26" ht="15.75" customHeight="1" x14ac:dyDescent="0.2">
      <c r="A696" s="281"/>
      <c r="B696" s="281"/>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row>
    <row r="697" spans="1:26" ht="15.75" customHeight="1" x14ac:dyDescent="0.2">
      <c r="A697" s="281"/>
      <c r="B697" s="281"/>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row>
    <row r="698" spans="1:26" ht="15.75" customHeight="1" x14ac:dyDescent="0.2">
      <c r="A698" s="281"/>
      <c r="B698" s="281"/>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row>
    <row r="699" spans="1:26" ht="15.75" customHeight="1" x14ac:dyDescent="0.2">
      <c r="A699" s="281"/>
      <c r="B699" s="281"/>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row>
    <row r="700" spans="1:26" ht="15.75" customHeight="1" x14ac:dyDescent="0.2">
      <c r="A700" s="281"/>
      <c r="B700" s="281"/>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row>
    <row r="701" spans="1:26" ht="15.75" customHeight="1" x14ac:dyDescent="0.2">
      <c r="A701" s="281"/>
      <c r="B701" s="281"/>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row>
    <row r="702" spans="1:26" ht="15.75" customHeight="1" x14ac:dyDescent="0.2">
      <c r="A702" s="281"/>
      <c r="B702" s="281"/>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row>
    <row r="703" spans="1:26" ht="15.75" customHeight="1" x14ac:dyDescent="0.2">
      <c r="A703" s="281"/>
      <c r="B703" s="281"/>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row>
    <row r="704" spans="1:26" ht="15.75" customHeight="1" x14ac:dyDescent="0.2">
      <c r="A704" s="281"/>
      <c r="B704" s="281"/>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row>
    <row r="705" spans="1:26" ht="15.75" customHeight="1" x14ac:dyDescent="0.2">
      <c r="A705" s="281"/>
      <c r="B705" s="281"/>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row>
    <row r="706" spans="1:26" ht="15.75" customHeight="1" x14ac:dyDescent="0.2">
      <c r="A706" s="281"/>
      <c r="B706" s="281"/>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row>
    <row r="707" spans="1:26" ht="15.75" customHeight="1" x14ac:dyDescent="0.2">
      <c r="A707" s="281"/>
      <c r="B707" s="281"/>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row>
    <row r="708" spans="1:26" ht="15.75" customHeight="1" x14ac:dyDescent="0.2">
      <c r="A708" s="281"/>
      <c r="B708" s="281"/>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row>
    <row r="709" spans="1:26" ht="15.75" customHeight="1" x14ac:dyDescent="0.2">
      <c r="A709" s="281"/>
      <c r="B709" s="281"/>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row>
    <row r="710" spans="1:26" ht="15.75" customHeight="1" x14ac:dyDescent="0.2">
      <c r="A710" s="281"/>
      <c r="B710" s="281"/>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row>
    <row r="711" spans="1:26" ht="15.75" customHeight="1" x14ac:dyDescent="0.2">
      <c r="A711" s="281"/>
      <c r="B711" s="281"/>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row>
    <row r="712" spans="1:26" ht="15.75" customHeight="1" x14ac:dyDescent="0.2">
      <c r="A712" s="281"/>
      <c r="B712" s="281"/>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row>
    <row r="713" spans="1:26" ht="15.75" customHeight="1" x14ac:dyDescent="0.2">
      <c r="A713" s="281"/>
      <c r="B713" s="281"/>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row>
    <row r="714" spans="1:26" ht="15.75" customHeight="1" x14ac:dyDescent="0.2">
      <c r="A714" s="281"/>
      <c r="B714" s="281"/>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row>
    <row r="715" spans="1:26" ht="15.75" customHeight="1" x14ac:dyDescent="0.2">
      <c r="A715" s="281"/>
      <c r="B715" s="281"/>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row>
    <row r="716" spans="1:26" ht="15.75" customHeight="1" x14ac:dyDescent="0.2">
      <c r="A716" s="281"/>
      <c r="B716" s="281"/>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row>
    <row r="717" spans="1:26" ht="15.75" customHeight="1" x14ac:dyDescent="0.2">
      <c r="A717" s="281"/>
      <c r="B717" s="281"/>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row>
    <row r="718" spans="1:26" ht="15.75" customHeight="1" x14ac:dyDescent="0.2">
      <c r="A718" s="281"/>
      <c r="B718" s="281"/>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row>
    <row r="719" spans="1:26" ht="15.75" customHeight="1" x14ac:dyDescent="0.2">
      <c r="A719" s="281"/>
      <c r="B719" s="281"/>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row>
    <row r="720" spans="1:26" ht="15.75" customHeight="1" x14ac:dyDescent="0.2">
      <c r="A720" s="281"/>
      <c r="B720" s="281"/>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row>
    <row r="721" spans="1:26" ht="15.75" customHeight="1" x14ac:dyDescent="0.2">
      <c r="A721" s="281"/>
      <c r="B721" s="281"/>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row>
    <row r="722" spans="1:26" ht="15.75" customHeight="1" x14ac:dyDescent="0.2">
      <c r="A722" s="281"/>
      <c r="B722" s="281"/>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row>
    <row r="723" spans="1:26" ht="15.75" customHeight="1" x14ac:dyDescent="0.2">
      <c r="A723" s="281"/>
      <c r="B723" s="281"/>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row>
    <row r="724" spans="1:26" ht="15.75" customHeight="1" x14ac:dyDescent="0.2">
      <c r="A724" s="281"/>
      <c r="B724" s="281"/>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row>
    <row r="725" spans="1:26" ht="15.75" customHeight="1" x14ac:dyDescent="0.2">
      <c r="A725" s="281"/>
      <c r="B725" s="281"/>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row>
    <row r="726" spans="1:26" ht="15.75" customHeight="1" x14ac:dyDescent="0.2">
      <c r="A726" s="281"/>
      <c r="B726" s="281"/>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row>
    <row r="727" spans="1:26" ht="15.75" customHeight="1" x14ac:dyDescent="0.2">
      <c r="A727" s="281"/>
      <c r="B727" s="281"/>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row>
    <row r="728" spans="1:26" ht="15.75" customHeight="1" x14ac:dyDescent="0.2">
      <c r="A728" s="281"/>
      <c r="B728" s="281"/>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row>
    <row r="729" spans="1:26" ht="15.75" customHeight="1" x14ac:dyDescent="0.2">
      <c r="A729" s="281"/>
      <c r="B729" s="281"/>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row>
    <row r="730" spans="1:26" ht="15.75" customHeight="1" x14ac:dyDescent="0.2">
      <c r="A730" s="281"/>
      <c r="B730" s="281"/>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row>
    <row r="731" spans="1:26" ht="15.75" customHeight="1" x14ac:dyDescent="0.2">
      <c r="A731" s="281"/>
      <c r="B731" s="281"/>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row>
    <row r="732" spans="1:26" ht="15.75" customHeight="1" x14ac:dyDescent="0.2">
      <c r="A732" s="281"/>
      <c r="B732" s="281"/>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row>
    <row r="733" spans="1:26" ht="15.75" customHeight="1" x14ac:dyDescent="0.2">
      <c r="A733" s="281"/>
      <c r="B733" s="281"/>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row>
    <row r="734" spans="1:26" ht="15.75" customHeight="1" x14ac:dyDescent="0.2">
      <c r="A734" s="281"/>
      <c r="B734" s="281"/>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row>
    <row r="735" spans="1:26" ht="15.75" customHeight="1" x14ac:dyDescent="0.2">
      <c r="A735" s="281"/>
      <c r="B735" s="281"/>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row>
    <row r="736" spans="1:26" ht="15.75" customHeight="1" x14ac:dyDescent="0.2">
      <c r="A736" s="281"/>
      <c r="B736" s="281"/>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row>
    <row r="737" spans="1:26" ht="15.75" customHeight="1" x14ac:dyDescent="0.2">
      <c r="A737" s="281"/>
      <c r="B737" s="281"/>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row>
    <row r="738" spans="1:26" ht="15.75" customHeight="1" x14ac:dyDescent="0.2">
      <c r="A738" s="281"/>
      <c r="B738" s="281"/>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row>
    <row r="739" spans="1:26" ht="15.75" customHeight="1" x14ac:dyDescent="0.2">
      <c r="A739" s="281"/>
      <c r="B739" s="281"/>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row>
    <row r="740" spans="1:26" ht="15.75" customHeight="1" x14ac:dyDescent="0.2">
      <c r="A740" s="281"/>
      <c r="B740" s="281"/>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row>
    <row r="741" spans="1:26" ht="15.75" customHeight="1" x14ac:dyDescent="0.2">
      <c r="A741" s="281"/>
      <c r="B741" s="281"/>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row>
    <row r="742" spans="1:26" ht="15.75" customHeight="1" x14ac:dyDescent="0.2">
      <c r="A742" s="281"/>
      <c r="B742" s="281"/>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row>
    <row r="743" spans="1:26" ht="15.75" customHeight="1" x14ac:dyDescent="0.2">
      <c r="A743" s="281"/>
      <c r="B743" s="281"/>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row>
    <row r="744" spans="1:26" ht="15.75" customHeight="1" x14ac:dyDescent="0.2">
      <c r="A744" s="281"/>
      <c r="B744" s="281"/>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row>
    <row r="745" spans="1:26" ht="15.75" customHeight="1" x14ac:dyDescent="0.2">
      <c r="A745" s="281"/>
      <c r="B745" s="281"/>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row>
    <row r="746" spans="1:26" ht="15.75" customHeight="1" x14ac:dyDescent="0.2">
      <c r="A746" s="281"/>
      <c r="B746" s="281"/>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row>
    <row r="747" spans="1:26" ht="15.75" customHeight="1" x14ac:dyDescent="0.2">
      <c r="A747" s="281"/>
      <c r="B747" s="281"/>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row>
    <row r="748" spans="1:26" ht="15.75" customHeight="1" x14ac:dyDescent="0.2">
      <c r="A748" s="281"/>
      <c r="B748" s="281"/>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row>
    <row r="749" spans="1:26" ht="15.75" customHeight="1" x14ac:dyDescent="0.2">
      <c r="A749" s="281"/>
      <c r="B749" s="281"/>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row>
    <row r="750" spans="1:26" ht="15.75" customHeight="1" x14ac:dyDescent="0.2">
      <c r="A750" s="281"/>
      <c r="B750" s="281"/>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row>
    <row r="751" spans="1:26" ht="15.75" customHeight="1" x14ac:dyDescent="0.2">
      <c r="A751" s="281"/>
      <c r="B751" s="281"/>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row>
    <row r="752" spans="1:26" ht="15.75" customHeight="1" x14ac:dyDescent="0.2">
      <c r="A752" s="281"/>
      <c r="B752" s="281"/>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row>
    <row r="753" spans="1:26" ht="15.75" customHeight="1" x14ac:dyDescent="0.2">
      <c r="A753" s="281"/>
      <c r="B753" s="281"/>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row>
    <row r="754" spans="1:26" ht="15.75" customHeight="1" x14ac:dyDescent="0.2">
      <c r="A754" s="281"/>
      <c r="B754" s="281"/>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row>
    <row r="755" spans="1:26" ht="15.75" customHeight="1" x14ac:dyDescent="0.2">
      <c r="A755" s="281"/>
      <c r="B755" s="281"/>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row>
    <row r="756" spans="1:26" ht="15.75" customHeight="1" x14ac:dyDescent="0.2">
      <c r="A756" s="281"/>
      <c r="B756" s="281"/>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row>
    <row r="757" spans="1:26" ht="15.75" customHeight="1" x14ac:dyDescent="0.2">
      <c r="A757" s="281"/>
      <c r="B757" s="281"/>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row>
    <row r="758" spans="1:26" ht="15.75" customHeight="1" x14ac:dyDescent="0.2">
      <c r="A758" s="281"/>
      <c r="B758" s="281"/>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row>
    <row r="759" spans="1:26" ht="15.75" customHeight="1" x14ac:dyDescent="0.2">
      <c r="A759" s="281"/>
      <c r="B759" s="281"/>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row>
    <row r="760" spans="1:26" ht="15.75" customHeight="1" x14ac:dyDescent="0.2">
      <c r="A760" s="281"/>
      <c r="B760" s="281"/>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row>
    <row r="761" spans="1:26" ht="15.75" customHeight="1" x14ac:dyDescent="0.2">
      <c r="A761" s="281"/>
      <c r="B761" s="281"/>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row>
    <row r="762" spans="1:26" ht="15.75" customHeight="1" x14ac:dyDescent="0.2">
      <c r="A762" s="281"/>
      <c r="B762" s="281"/>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row>
    <row r="763" spans="1:26" ht="15.75" customHeight="1" x14ac:dyDescent="0.2">
      <c r="A763" s="281"/>
      <c r="B763" s="281"/>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row>
    <row r="764" spans="1:26" ht="15.75" customHeight="1" x14ac:dyDescent="0.2">
      <c r="A764" s="281"/>
      <c r="B764" s="281"/>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row>
    <row r="765" spans="1:26" ht="15.75" customHeight="1" x14ac:dyDescent="0.2">
      <c r="A765" s="281"/>
      <c r="B765" s="281"/>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row>
    <row r="766" spans="1:26" ht="15.75" customHeight="1" x14ac:dyDescent="0.2">
      <c r="A766" s="281"/>
      <c r="B766" s="281"/>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row>
    <row r="767" spans="1:26" ht="15.75" customHeight="1" x14ac:dyDescent="0.2">
      <c r="A767" s="281"/>
      <c r="B767" s="281"/>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row>
    <row r="768" spans="1:26" ht="15.75" customHeight="1" x14ac:dyDescent="0.2">
      <c r="A768" s="281"/>
      <c r="B768" s="281"/>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row>
    <row r="769" spans="1:26" ht="15.75" customHeight="1" x14ac:dyDescent="0.2">
      <c r="A769" s="281"/>
      <c r="B769" s="281"/>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row>
    <row r="770" spans="1:26" ht="15.75" customHeight="1" x14ac:dyDescent="0.2">
      <c r="A770" s="281"/>
      <c r="B770" s="281"/>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row>
    <row r="771" spans="1:26" ht="15.75" customHeight="1" x14ac:dyDescent="0.2">
      <c r="A771" s="281"/>
      <c r="B771" s="281"/>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row>
    <row r="772" spans="1:26" ht="15.75" customHeight="1" x14ac:dyDescent="0.2">
      <c r="A772" s="281"/>
      <c r="B772" s="281"/>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row>
    <row r="773" spans="1:26" ht="15.75" customHeight="1" x14ac:dyDescent="0.2">
      <c r="A773" s="281"/>
      <c r="B773" s="281"/>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row>
    <row r="774" spans="1:26" ht="15.75" customHeight="1" x14ac:dyDescent="0.2">
      <c r="A774" s="281"/>
      <c r="B774" s="281"/>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row>
    <row r="775" spans="1:26" ht="15.75" customHeight="1" x14ac:dyDescent="0.2">
      <c r="A775" s="281"/>
      <c r="B775" s="281"/>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row>
    <row r="776" spans="1:26" ht="15.75" customHeight="1" x14ac:dyDescent="0.2">
      <c r="A776" s="281"/>
      <c r="B776" s="281"/>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row>
    <row r="777" spans="1:26" ht="15.75" customHeight="1" x14ac:dyDescent="0.2">
      <c r="A777" s="281"/>
      <c r="B777" s="281"/>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row>
    <row r="778" spans="1:26" ht="15.75" customHeight="1" x14ac:dyDescent="0.2">
      <c r="A778" s="281"/>
      <c r="B778" s="281"/>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row>
    <row r="779" spans="1:26" ht="15.75" customHeight="1" x14ac:dyDescent="0.2">
      <c r="A779" s="281"/>
      <c r="B779" s="281"/>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row>
    <row r="780" spans="1:26" ht="15.75" customHeight="1" x14ac:dyDescent="0.2">
      <c r="A780" s="281"/>
      <c r="B780" s="281"/>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row>
    <row r="781" spans="1:26" ht="15.75" customHeight="1" x14ac:dyDescent="0.2">
      <c r="A781" s="281"/>
      <c r="B781" s="281"/>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row>
    <row r="782" spans="1:26" ht="15.75" customHeight="1" x14ac:dyDescent="0.2">
      <c r="A782" s="281"/>
      <c r="B782" s="281"/>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row>
    <row r="783" spans="1:26" ht="15.75" customHeight="1" x14ac:dyDescent="0.2">
      <c r="A783" s="281"/>
      <c r="B783" s="281"/>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row>
    <row r="784" spans="1:26" ht="15.75" customHeight="1" x14ac:dyDescent="0.2">
      <c r="A784" s="281"/>
      <c r="B784" s="281"/>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row>
    <row r="785" spans="1:26" ht="15.75" customHeight="1" x14ac:dyDescent="0.2">
      <c r="A785" s="281"/>
      <c r="B785" s="281"/>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row>
    <row r="786" spans="1:26" ht="15.75" customHeight="1" x14ac:dyDescent="0.2">
      <c r="A786" s="281"/>
      <c r="B786" s="281"/>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row>
    <row r="787" spans="1:26" ht="15.75" customHeight="1" x14ac:dyDescent="0.2">
      <c r="A787" s="281"/>
      <c r="B787" s="281"/>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row>
    <row r="788" spans="1:26" ht="15.75" customHeight="1" x14ac:dyDescent="0.2">
      <c r="A788" s="281"/>
      <c r="B788" s="281"/>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row>
    <row r="789" spans="1:26" ht="15.75" customHeight="1" x14ac:dyDescent="0.2">
      <c r="A789" s="281"/>
      <c r="B789" s="281"/>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row>
    <row r="790" spans="1:26" ht="15.75" customHeight="1" x14ac:dyDescent="0.2">
      <c r="A790" s="281"/>
      <c r="B790" s="281"/>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row>
    <row r="791" spans="1:26" ht="15.75" customHeight="1" x14ac:dyDescent="0.2">
      <c r="A791" s="281"/>
      <c r="B791" s="281"/>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row>
    <row r="792" spans="1:26" ht="15.75" customHeight="1" x14ac:dyDescent="0.2">
      <c r="A792" s="281"/>
      <c r="B792" s="281"/>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row>
    <row r="793" spans="1:26" ht="15.75" customHeight="1" x14ac:dyDescent="0.2">
      <c r="A793" s="281"/>
      <c r="B793" s="281"/>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row>
    <row r="794" spans="1:26" ht="15.75" customHeight="1" x14ac:dyDescent="0.2">
      <c r="A794" s="281"/>
      <c r="B794" s="281"/>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row>
    <row r="795" spans="1:26" ht="15.75" customHeight="1" x14ac:dyDescent="0.2">
      <c r="A795" s="281"/>
      <c r="B795" s="281"/>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row>
    <row r="796" spans="1:26" ht="15.75" customHeight="1" x14ac:dyDescent="0.2">
      <c r="A796" s="281"/>
      <c r="B796" s="281"/>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row>
    <row r="797" spans="1:26" ht="15.75" customHeight="1" x14ac:dyDescent="0.2">
      <c r="A797" s="281"/>
      <c r="B797" s="281"/>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row>
    <row r="798" spans="1:26" ht="15.75" customHeight="1" x14ac:dyDescent="0.2">
      <c r="A798" s="281"/>
      <c r="B798" s="281"/>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row>
    <row r="799" spans="1:26" ht="15.75" customHeight="1" x14ac:dyDescent="0.2">
      <c r="A799" s="281"/>
      <c r="B799" s="281"/>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row>
    <row r="800" spans="1:26" ht="15.75" customHeight="1" x14ac:dyDescent="0.2">
      <c r="A800" s="281"/>
      <c r="B800" s="281"/>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row>
    <row r="801" spans="1:26" ht="15.75" customHeight="1" x14ac:dyDescent="0.2">
      <c r="A801" s="281"/>
      <c r="B801" s="281"/>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row>
    <row r="802" spans="1:26" ht="15.75" customHeight="1" x14ac:dyDescent="0.2">
      <c r="A802" s="281"/>
      <c r="B802" s="281"/>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row>
    <row r="803" spans="1:26" ht="15.75" customHeight="1" x14ac:dyDescent="0.2">
      <c r="A803" s="281"/>
      <c r="B803" s="281"/>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row>
    <row r="804" spans="1:26" ht="15.75" customHeight="1" x14ac:dyDescent="0.2">
      <c r="A804" s="281"/>
      <c r="B804" s="281"/>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row>
    <row r="805" spans="1:26" ht="15.75" customHeight="1" x14ac:dyDescent="0.2">
      <c r="A805" s="281"/>
      <c r="B805" s="281"/>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row>
    <row r="806" spans="1:26" ht="15.75" customHeight="1" x14ac:dyDescent="0.2">
      <c r="A806" s="281"/>
      <c r="B806" s="281"/>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row>
    <row r="807" spans="1:26" ht="15.75" customHeight="1" x14ac:dyDescent="0.2">
      <c r="A807" s="281"/>
      <c r="B807" s="281"/>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row>
    <row r="808" spans="1:26" ht="15.75" customHeight="1" x14ac:dyDescent="0.2">
      <c r="A808" s="281"/>
      <c r="B808" s="281"/>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row>
    <row r="809" spans="1:26" ht="15.75" customHeight="1" x14ac:dyDescent="0.2">
      <c r="A809" s="281"/>
      <c r="B809" s="281"/>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row>
    <row r="810" spans="1:26" ht="15.75" customHeight="1" x14ac:dyDescent="0.2">
      <c r="A810" s="281"/>
      <c r="B810" s="281"/>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row>
    <row r="811" spans="1:26" ht="15.75" customHeight="1" x14ac:dyDescent="0.2">
      <c r="A811" s="281"/>
      <c r="B811" s="281"/>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row>
    <row r="812" spans="1:26" ht="15.75" customHeight="1" x14ac:dyDescent="0.2">
      <c r="A812" s="281"/>
      <c r="B812" s="281"/>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row>
    <row r="813" spans="1:26" ht="15.75" customHeight="1" x14ac:dyDescent="0.2">
      <c r="A813" s="281"/>
      <c r="B813" s="281"/>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row>
    <row r="814" spans="1:26" ht="15.75" customHeight="1" x14ac:dyDescent="0.2">
      <c r="A814" s="281"/>
      <c r="B814" s="281"/>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row>
    <row r="815" spans="1:26" ht="15.75" customHeight="1" x14ac:dyDescent="0.2">
      <c r="A815" s="281"/>
      <c r="B815" s="281"/>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row>
    <row r="816" spans="1:26" ht="15.75" customHeight="1" x14ac:dyDescent="0.2">
      <c r="A816" s="281"/>
      <c r="B816" s="281"/>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row>
    <row r="817" spans="1:26" ht="15.75" customHeight="1" x14ac:dyDescent="0.2">
      <c r="A817" s="281"/>
      <c r="B817" s="281"/>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row>
    <row r="818" spans="1:26" ht="15.75" customHeight="1" x14ac:dyDescent="0.2">
      <c r="A818" s="281"/>
      <c r="B818" s="281"/>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row>
    <row r="819" spans="1:26" ht="15.75" customHeight="1" x14ac:dyDescent="0.2">
      <c r="A819" s="281"/>
      <c r="B819" s="281"/>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row>
    <row r="820" spans="1:26" ht="15.75" customHeight="1" x14ac:dyDescent="0.2">
      <c r="A820" s="281"/>
      <c r="B820" s="281"/>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row>
    <row r="821" spans="1:26" ht="15.75" customHeight="1" x14ac:dyDescent="0.2">
      <c r="A821" s="281"/>
      <c r="B821" s="281"/>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row>
    <row r="822" spans="1:26" ht="15.75" customHeight="1" x14ac:dyDescent="0.2">
      <c r="A822" s="281"/>
      <c r="B822" s="281"/>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row>
    <row r="823" spans="1:26" ht="15.75" customHeight="1" x14ac:dyDescent="0.2">
      <c r="A823" s="281"/>
      <c r="B823" s="281"/>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row>
    <row r="824" spans="1:26" ht="15.75" customHeight="1" x14ac:dyDescent="0.2">
      <c r="A824" s="281"/>
      <c r="B824" s="281"/>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row>
    <row r="825" spans="1:26" ht="15.75" customHeight="1" x14ac:dyDescent="0.2">
      <c r="A825" s="281"/>
      <c r="B825" s="281"/>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row>
    <row r="826" spans="1:26" ht="15.75" customHeight="1" x14ac:dyDescent="0.2">
      <c r="A826" s="281"/>
      <c r="B826" s="281"/>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row>
    <row r="827" spans="1:26" ht="15.75" customHeight="1" x14ac:dyDescent="0.2">
      <c r="A827" s="281"/>
      <c r="B827" s="281"/>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row>
    <row r="828" spans="1:26" ht="15.75" customHeight="1" x14ac:dyDescent="0.2">
      <c r="A828" s="281"/>
      <c r="B828" s="281"/>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row>
    <row r="829" spans="1:26" ht="15.75" customHeight="1" x14ac:dyDescent="0.2">
      <c r="A829" s="281"/>
      <c r="B829" s="281"/>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row>
    <row r="830" spans="1:26" ht="15.75" customHeight="1" x14ac:dyDescent="0.2">
      <c r="A830" s="281"/>
      <c r="B830" s="281"/>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row>
    <row r="831" spans="1:26" ht="15.75" customHeight="1" x14ac:dyDescent="0.2">
      <c r="A831" s="281"/>
      <c r="B831" s="281"/>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row>
    <row r="832" spans="1:26" ht="15.75" customHeight="1" x14ac:dyDescent="0.2">
      <c r="A832" s="281"/>
      <c r="B832" s="281"/>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row>
    <row r="833" spans="1:26" ht="15.75" customHeight="1" x14ac:dyDescent="0.2">
      <c r="A833" s="281"/>
      <c r="B833" s="281"/>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row>
    <row r="834" spans="1:26" ht="15.75" customHeight="1" x14ac:dyDescent="0.2">
      <c r="A834" s="281"/>
      <c r="B834" s="281"/>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row>
    <row r="835" spans="1:26" ht="15.75" customHeight="1" x14ac:dyDescent="0.2">
      <c r="A835" s="281"/>
      <c r="B835" s="281"/>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row>
    <row r="836" spans="1:26" ht="15.75" customHeight="1" x14ac:dyDescent="0.2">
      <c r="A836" s="281"/>
      <c r="B836" s="281"/>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row>
    <row r="837" spans="1:26" ht="15.75" customHeight="1" x14ac:dyDescent="0.2">
      <c r="A837" s="281"/>
      <c r="B837" s="281"/>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row>
    <row r="838" spans="1:26" ht="15.75" customHeight="1" x14ac:dyDescent="0.2">
      <c r="A838" s="281"/>
      <c r="B838" s="281"/>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row>
    <row r="839" spans="1:26" ht="15.75" customHeight="1" x14ac:dyDescent="0.2">
      <c r="A839" s="281"/>
      <c r="B839" s="281"/>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row>
    <row r="840" spans="1:26" ht="15.75" customHeight="1" x14ac:dyDescent="0.2">
      <c r="A840" s="281"/>
      <c r="B840" s="281"/>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row>
    <row r="841" spans="1:26" ht="15.75" customHeight="1" x14ac:dyDescent="0.2">
      <c r="A841" s="281"/>
      <c r="B841" s="281"/>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row>
    <row r="842" spans="1:26" ht="15.75" customHeight="1" x14ac:dyDescent="0.2">
      <c r="A842" s="281"/>
      <c r="B842" s="281"/>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row>
    <row r="843" spans="1:26" ht="15.75" customHeight="1" x14ac:dyDescent="0.2">
      <c r="A843" s="281"/>
      <c r="B843" s="281"/>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row>
    <row r="844" spans="1:26" ht="15.75" customHeight="1" x14ac:dyDescent="0.2">
      <c r="A844" s="281"/>
      <c r="B844" s="281"/>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row>
    <row r="845" spans="1:26" ht="15.75" customHeight="1" x14ac:dyDescent="0.2">
      <c r="A845" s="281"/>
      <c r="B845" s="281"/>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row>
    <row r="846" spans="1:26" ht="15.75" customHeight="1" x14ac:dyDescent="0.2">
      <c r="A846" s="281"/>
      <c r="B846" s="281"/>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row>
    <row r="847" spans="1:26" ht="15.75" customHeight="1" x14ac:dyDescent="0.2">
      <c r="A847" s="281"/>
      <c r="B847" s="281"/>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row>
    <row r="848" spans="1:26" ht="15.75" customHeight="1" x14ac:dyDescent="0.2">
      <c r="A848" s="281"/>
      <c r="B848" s="281"/>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row>
    <row r="849" spans="1:26" ht="15.75" customHeight="1" x14ac:dyDescent="0.2">
      <c r="A849" s="281"/>
      <c r="B849" s="281"/>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row>
    <row r="850" spans="1:26" ht="15.75" customHeight="1" x14ac:dyDescent="0.2">
      <c r="A850" s="281"/>
      <c r="B850" s="281"/>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row>
    <row r="851" spans="1:26" ht="15.75" customHeight="1" x14ac:dyDescent="0.2">
      <c r="A851" s="281"/>
      <c r="B851" s="281"/>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row>
    <row r="852" spans="1:26" ht="15.75" customHeight="1" x14ac:dyDescent="0.2">
      <c r="A852" s="281"/>
      <c r="B852" s="281"/>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row>
    <row r="853" spans="1:26" ht="15.75" customHeight="1" x14ac:dyDescent="0.2">
      <c r="A853" s="281"/>
      <c r="B853" s="281"/>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row>
    <row r="854" spans="1:26" ht="15.75" customHeight="1" x14ac:dyDescent="0.2">
      <c r="A854" s="281"/>
      <c r="B854" s="281"/>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row>
    <row r="855" spans="1:26" ht="15.75" customHeight="1" x14ac:dyDescent="0.2">
      <c r="A855" s="281"/>
      <c r="B855" s="281"/>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row>
    <row r="856" spans="1:26" ht="15.75" customHeight="1" x14ac:dyDescent="0.2">
      <c r="A856" s="281"/>
      <c r="B856" s="281"/>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row>
    <row r="857" spans="1:26" ht="15.75" customHeight="1" x14ac:dyDescent="0.2">
      <c r="A857" s="281"/>
      <c r="B857" s="281"/>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row>
    <row r="858" spans="1:26" ht="15.75" customHeight="1" x14ac:dyDescent="0.2">
      <c r="A858" s="281"/>
      <c r="B858" s="281"/>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row>
    <row r="859" spans="1:26" ht="15.75" customHeight="1" x14ac:dyDescent="0.2">
      <c r="A859" s="281"/>
      <c r="B859" s="281"/>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row>
    <row r="860" spans="1:26" ht="15.75" customHeight="1" x14ac:dyDescent="0.2">
      <c r="A860" s="281"/>
      <c r="B860" s="281"/>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row>
    <row r="861" spans="1:26" ht="15.75" customHeight="1" x14ac:dyDescent="0.2">
      <c r="A861" s="281"/>
      <c r="B861" s="281"/>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row>
    <row r="862" spans="1:26" ht="15.75" customHeight="1" x14ac:dyDescent="0.2">
      <c r="A862" s="281"/>
      <c r="B862" s="281"/>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row>
    <row r="863" spans="1:26" ht="15.75" customHeight="1" x14ac:dyDescent="0.2">
      <c r="A863" s="281"/>
      <c r="B863" s="281"/>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row>
    <row r="864" spans="1:26" ht="15.75" customHeight="1" x14ac:dyDescent="0.2">
      <c r="A864" s="281"/>
      <c r="B864" s="281"/>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row>
    <row r="865" spans="1:26" ht="15.75" customHeight="1" x14ac:dyDescent="0.2">
      <c r="A865" s="281"/>
      <c r="B865" s="281"/>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row>
    <row r="866" spans="1:26" ht="15.75" customHeight="1" x14ac:dyDescent="0.2">
      <c r="A866" s="281"/>
      <c r="B866" s="281"/>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row>
    <row r="867" spans="1:26" ht="15.75" customHeight="1" x14ac:dyDescent="0.2">
      <c r="A867" s="281"/>
      <c r="B867" s="281"/>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row>
    <row r="868" spans="1:26" ht="15.75" customHeight="1" x14ac:dyDescent="0.2">
      <c r="A868" s="281"/>
      <c r="B868" s="281"/>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row>
    <row r="869" spans="1:26" ht="15.75" customHeight="1" x14ac:dyDescent="0.2">
      <c r="A869" s="281"/>
      <c r="B869" s="281"/>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row>
    <row r="870" spans="1:26" ht="15.75" customHeight="1" x14ac:dyDescent="0.2">
      <c r="A870" s="281"/>
      <c r="B870" s="281"/>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row>
    <row r="871" spans="1:26" ht="15.75" customHeight="1" x14ac:dyDescent="0.2">
      <c r="A871" s="281"/>
      <c r="B871" s="281"/>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row>
    <row r="872" spans="1:26" ht="15.75" customHeight="1" x14ac:dyDescent="0.2">
      <c r="A872" s="281"/>
      <c r="B872" s="281"/>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row>
    <row r="873" spans="1:26" ht="15.75" customHeight="1" x14ac:dyDescent="0.2">
      <c r="A873" s="281"/>
      <c r="B873" s="281"/>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row>
    <row r="874" spans="1:26" ht="15.75" customHeight="1" x14ac:dyDescent="0.2">
      <c r="A874" s="281"/>
      <c r="B874" s="281"/>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row>
    <row r="875" spans="1:26" ht="15.75" customHeight="1" x14ac:dyDescent="0.2">
      <c r="A875" s="281"/>
      <c r="B875" s="281"/>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row>
    <row r="876" spans="1:26" ht="15.75" customHeight="1" x14ac:dyDescent="0.2">
      <c r="A876" s="281"/>
      <c r="B876" s="281"/>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row>
    <row r="877" spans="1:26" ht="15.75" customHeight="1" x14ac:dyDescent="0.2">
      <c r="A877" s="281"/>
      <c r="B877" s="281"/>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row>
    <row r="878" spans="1:26" ht="15.75" customHeight="1" x14ac:dyDescent="0.2">
      <c r="A878" s="281"/>
      <c r="B878" s="281"/>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row>
    <row r="879" spans="1:26" ht="15.75" customHeight="1" x14ac:dyDescent="0.2">
      <c r="A879" s="281"/>
      <c r="B879" s="281"/>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row>
    <row r="880" spans="1:26" ht="15.75" customHeight="1" x14ac:dyDescent="0.2">
      <c r="A880" s="281"/>
      <c r="B880" s="281"/>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row>
    <row r="881" spans="1:26" ht="15.75" customHeight="1" x14ac:dyDescent="0.2">
      <c r="A881" s="281"/>
      <c r="B881" s="281"/>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row>
    <row r="882" spans="1:26" ht="15.75" customHeight="1" x14ac:dyDescent="0.2">
      <c r="A882" s="281"/>
      <c r="B882" s="281"/>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row>
    <row r="883" spans="1:26" ht="15.75" customHeight="1" x14ac:dyDescent="0.2">
      <c r="A883" s="281"/>
      <c r="B883" s="281"/>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row>
    <row r="884" spans="1:26" ht="15.75" customHeight="1" x14ac:dyDescent="0.2">
      <c r="A884" s="281"/>
      <c r="B884" s="281"/>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row>
    <row r="885" spans="1:26" ht="15.75" customHeight="1" x14ac:dyDescent="0.2">
      <c r="A885" s="281"/>
      <c r="B885" s="281"/>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row>
    <row r="886" spans="1:26" ht="15.75" customHeight="1" x14ac:dyDescent="0.2">
      <c r="A886" s="281"/>
      <c r="B886" s="281"/>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row>
    <row r="887" spans="1:26" ht="15.75" customHeight="1" x14ac:dyDescent="0.2">
      <c r="A887" s="281"/>
      <c r="B887" s="281"/>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row>
    <row r="888" spans="1:26" ht="15.75" customHeight="1" x14ac:dyDescent="0.2">
      <c r="A888" s="281"/>
      <c r="B888" s="281"/>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row>
    <row r="889" spans="1:26" ht="15.75" customHeight="1" x14ac:dyDescent="0.2">
      <c r="A889" s="281"/>
      <c r="B889" s="281"/>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row>
    <row r="890" spans="1:26" ht="15.75" customHeight="1" x14ac:dyDescent="0.2">
      <c r="A890" s="281"/>
      <c r="B890" s="281"/>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row>
    <row r="891" spans="1:26" ht="15.75" customHeight="1" x14ac:dyDescent="0.2">
      <c r="A891" s="281"/>
      <c r="B891" s="281"/>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row>
    <row r="892" spans="1:26" ht="15.75" customHeight="1" x14ac:dyDescent="0.2">
      <c r="A892" s="281"/>
      <c r="B892" s="281"/>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row>
    <row r="893" spans="1:26" ht="15.75" customHeight="1" x14ac:dyDescent="0.2">
      <c r="A893" s="281"/>
      <c r="B893" s="281"/>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row>
    <row r="894" spans="1:26" ht="15.75" customHeight="1" x14ac:dyDescent="0.2">
      <c r="A894" s="281"/>
      <c r="B894" s="281"/>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row>
    <row r="895" spans="1:26" ht="15.75" customHeight="1" x14ac:dyDescent="0.2">
      <c r="A895" s="281"/>
      <c r="B895" s="281"/>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row>
    <row r="896" spans="1:26" ht="15.75" customHeight="1" x14ac:dyDescent="0.2">
      <c r="A896" s="281"/>
      <c r="B896" s="281"/>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row>
    <row r="897" spans="1:26" ht="15.75" customHeight="1" x14ac:dyDescent="0.2">
      <c r="A897" s="281"/>
      <c r="B897" s="281"/>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row>
    <row r="898" spans="1:26" ht="15.75" customHeight="1" x14ac:dyDescent="0.2">
      <c r="A898" s="281"/>
      <c r="B898" s="281"/>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row>
    <row r="899" spans="1:26" ht="15.75" customHeight="1" x14ac:dyDescent="0.2">
      <c r="A899" s="281"/>
      <c r="B899" s="281"/>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row>
    <row r="900" spans="1:26" ht="15.75" customHeight="1" x14ac:dyDescent="0.2">
      <c r="A900" s="281"/>
      <c r="B900" s="281"/>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row>
    <row r="901" spans="1:26" ht="15.75" customHeight="1" x14ac:dyDescent="0.2">
      <c r="A901" s="281"/>
      <c r="B901" s="281"/>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row>
    <row r="902" spans="1:26" ht="15.75" customHeight="1" x14ac:dyDescent="0.2">
      <c r="A902" s="281"/>
      <c r="B902" s="281"/>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row>
    <row r="903" spans="1:26" ht="15.75" customHeight="1" x14ac:dyDescent="0.2">
      <c r="A903" s="281"/>
      <c r="B903" s="281"/>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row>
    <row r="904" spans="1:26" ht="15.75" customHeight="1" x14ac:dyDescent="0.2">
      <c r="A904" s="281"/>
      <c r="B904" s="281"/>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row>
    <row r="905" spans="1:26" ht="15.75" customHeight="1" x14ac:dyDescent="0.2">
      <c r="A905" s="281"/>
      <c r="B905" s="281"/>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row>
    <row r="906" spans="1:26" ht="15.75" customHeight="1" x14ac:dyDescent="0.2">
      <c r="A906" s="281"/>
      <c r="B906" s="281"/>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row>
    <row r="907" spans="1:26" ht="15.75" customHeight="1" x14ac:dyDescent="0.2">
      <c r="A907" s="281"/>
      <c r="B907" s="281"/>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row>
    <row r="908" spans="1:26" ht="15.75" customHeight="1" x14ac:dyDescent="0.2">
      <c r="A908" s="281"/>
      <c r="B908" s="281"/>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row>
    <row r="909" spans="1:26" ht="15.75" customHeight="1" x14ac:dyDescent="0.2">
      <c r="A909" s="281"/>
      <c r="B909" s="281"/>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row>
    <row r="910" spans="1:26" ht="15.75" customHeight="1" x14ac:dyDescent="0.2">
      <c r="A910" s="281"/>
      <c r="B910" s="281"/>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row>
    <row r="911" spans="1:26" ht="15.75" customHeight="1" x14ac:dyDescent="0.2">
      <c r="A911" s="281"/>
      <c r="B911" s="281"/>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row>
    <row r="912" spans="1:26" ht="15.75" customHeight="1" x14ac:dyDescent="0.2">
      <c r="A912" s="281"/>
      <c r="B912" s="281"/>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row>
    <row r="913" spans="1:26" ht="15.75" customHeight="1" x14ac:dyDescent="0.2">
      <c r="A913" s="281"/>
      <c r="B913" s="281"/>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row>
    <row r="914" spans="1:26" ht="15.75" customHeight="1" x14ac:dyDescent="0.2">
      <c r="A914" s="281"/>
      <c r="B914" s="281"/>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row>
    <row r="915" spans="1:26" ht="15.75" customHeight="1" x14ac:dyDescent="0.2">
      <c r="A915" s="281"/>
      <c r="B915" s="281"/>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row>
    <row r="916" spans="1:26" ht="15.75" customHeight="1" x14ac:dyDescent="0.2">
      <c r="A916" s="281"/>
      <c r="B916" s="281"/>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row>
    <row r="917" spans="1:26" ht="15.75" customHeight="1" x14ac:dyDescent="0.2">
      <c r="A917" s="281"/>
      <c r="B917" s="281"/>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row>
    <row r="918" spans="1:26" ht="15.75" customHeight="1" x14ac:dyDescent="0.2">
      <c r="A918" s="281"/>
      <c r="B918" s="281"/>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row>
    <row r="919" spans="1:26" ht="15.75" customHeight="1" x14ac:dyDescent="0.2">
      <c r="A919" s="281"/>
      <c r="B919" s="281"/>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row>
    <row r="920" spans="1:26" ht="15.75" customHeight="1" x14ac:dyDescent="0.2">
      <c r="A920" s="281"/>
      <c r="B920" s="281"/>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row>
    <row r="921" spans="1:26" ht="15.75" customHeight="1" x14ac:dyDescent="0.2">
      <c r="A921" s="281"/>
      <c r="B921" s="281"/>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row>
    <row r="922" spans="1:26" ht="15.75" customHeight="1" x14ac:dyDescent="0.2">
      <c r="A922" s="281"/>
      <c r="B922" s="281"/>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row>
    <row r="923" spans="1:26" ht="15.75" customHeight="1" x14ac:dyDescent="0.2">
      <c r="A923" s="281"/>
      <c r="B923" s="281"/>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row>
    <row r="924" spans="1:26" ht="15.75" customHeight="1" x14ac:dyDescent="0.2">
      <c r="A924" s="281"/>
      <c r="B924" s="281"/>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row>
    <row r="925" spans="1:26" ht="15.75" customHeight="1" x14ac:dyDescent="0.2">
      <c r="A925" s="281"/>
      <c r="B925" s="281"/>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row>
    <row r="926" spans="1:26" ht="15.75" customHeight="1" x14ac:dyDescent="0.2">
      <c r="A926" s="281"/>
      <c r="B926" s="281"/>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row>
    <row r="927" spans="1:26" ht="15.75" customHeight="1" x14ac:dyDescent="0.2">
      <c r="A927" s="281"/>
      <c r="B927" s="281"/>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row>
    <row r="928" spans="1:26" ht="15.75" customHeight="1" x14ac:dyDescent="0.2">
      <c r="A928" s="281"/>
      <c r="B928" s="281"/>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row>
    <row r="929" spans="1:26" ht="15.75" customHeight="1" x14ac:dyDescent="0.2">
      <c r="A929" s="281"/>
      <c r="B929" s="281"/>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row>
    <row r="930" spans="1:26" ht="15.75" customHeight="1" x14ac:dyDescent="0.2">
      <c r="A930" s="281"/>
      <c r="B930" s="281"/>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row>
    <row r="931" spans="1:26" ht="15.75" customHeight="1" x14ac:dyDescent="0.2">
      <c r="A931" s="281"/>
      <c r="B931" s="281"/>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row>
    <row r="932" spans="1:26" ht="15.75" customHeight="1" x14ac:dyDescent="0.2">
      <c r="A932" s="281"/>
      <c r="B932" s="281"/>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row>
    <row r="933" spans="1:26" ht="15.75" customHeight="1" x14ac:dyDescent="0.2">
      <c r="A933" s="281"/>
      <c r="B933" s="281"/>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row>
    <row r="934" spans="1:26" ht="15.75" customHeight="1" x14ac:dyDescent="0.2">
      <c r="A934" s="281"/>
      <c r="B934" s="281"/>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row>
    <row r="935" spans="1:26" ht="15.75" customHeight="1" x14ac:dyDescent="0.2">
      <c r="A935" s="281"/>
      <c r="B935" s="281"/>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row>
    <row r="936" spans="1:26" ht="15.75" customHeight="1" x14ac:dyDescent="0.2">
      <c r="A936" s="281"/>
      <c r="B936" s="281"/>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row>
    <row r="937" spans="1:26" ht="15.75" customHeight="1" x14ac:dyDescent="0.2">
      <c r="A937" s="281"/>
      <c r="B937" s="281"/>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row>
    <row r="938" spans="1:26" ht="15.75" customHeight="1" x14ac:dyDescent="0.2">
      <c r="A938" s="281"/>
      <c r="B938" s="281"/>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row>
    <row r="939" spans="1:26" ht="15.75" customHeight="1" x14ac:dyDescent="0.2">
      <c r="A939" s="281"/>
      <c r="B939" s="281"/>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row>
    <row r="940" spans="1:26" ht="15.75" customHeight="1" x14ac:dyDescent="0.2">
      <c r="A940" s="281"/>
      <c r="B940" s="281"/>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row>
    <row r="941" spans="1:26" ht="15.75" customHeight="1" x14ac:dyDescent="0.2">
      <c r="A941" s="281"/>
      <c r="B941" s="281"/>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row>
    <row r="942" spans="1:26" ht="15.75" customHeight="1" x14ac:dyDescent="0.2">
      <c r="A942" s="281"/>
      <c r="B942" s="281"/>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row>
    <row r="943" spans="1:26" ht="15.75" customHeight="1" x14ac:dyDescent="0.2">
      <c r="A943" s="281"/>
      <c r="B943" s="281"/>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row>
    <row r="944" spans="1:26" ht="15.75" customHeight="1" x14ac:dyDescent="0.2">
      <c r="A944" s="281"/>
      <c r="B944" s="281"/>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row>
    <row r="945" spans="1:26" ht="15.75" customHeight="1" x14ac:dyDescent="0.2">
      <c r="A945" s="281"/>
      <c r="B945" s="281"/>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row>
    <row r="946" spans="1:26" ht="15.75" customHeight="1" x14ac:dyDescent="0.2">
      <c r="A946" s="281"/>
      <c r="B946" s="281"/>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row>
    <row r="947" spans="1:26" ht="15.75" customHeight="1" x14ac:dyDescent="0.2">
      <c r="A947" s="281"/>
      <c r="B947" s="281"/>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row>
    <row r="948" spans="1:26" ht="15.75" customHeight="1" x14ac:dyDescent="0.2">
      <c r="A948" s="281"/>
      <c r="B948" s="281"/>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row>
    <row r="949" spans="1:26" ht="15.75" customHeight="1" x14ac:dyDescent="0.2">
      <c r="A949" s="281"/>
      <c r="B949" s="281"/>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row>
    <row r="950" spans="1:26" ht="15.75" customHeight="1" x14ac:dyDescent="0.2">
      <c r="A950" s="281"/>
      <c r="B950" s="281"/>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row>
    <row r="951" spans="1:26" ht="15.75" customHeight="1" x14ac:dyDescent="0.2">
      <c r="A951" s="281"/>
      <c r="B951" s="281"/>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row>
    <row r="952" spans="1:26" ht="15.75" customHeight="1" x14ac:dyDescent="0.2">
      <c r="A952" s="281"/>
      <c r="B952" s="281"/>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row>
    <row r="953" spans="1:26" ht="15.75" customHeight="1" x14ac:dyDescent="0.2">
      <c r="A953" s="281"/>
      <c r="B953" s="281"/>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row>
    <row r="954" spans="1:26" ht="15.75" customHeight="1" x14ac:dyDescent="0.2">
      <c r="A954" s="281"/>
      <c r="B954" s="281"/>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row>
    <row r="955" spans="1:26" ht="15.75" customHeight="1" x14ac:dyDescent="0.2">
      <c r="A955" s="281"/>
      <c r="B955" s="281"/>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row>
    <row r="956" spans="1:26" ht="15.75" customHeight="1" x14ac:dyDescent="0.2">
      <c r="A956" s="281"/>
      <c r="B956" s="281"/>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row>
    <row r="957" spans="1:26" ht="15.75" customHeight="1" x14ac:dyDescent="0.2">
      <c r="A957" s="281"/>
      <c r="B957" s="281"/>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row>
    <row r="958" spans="1:26" ht="15.75" customHeight="1" x14ac:dyDescent="0.2">
      <c r="A958" s="281"/>
      <c r="B958" s="281"/>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row>
    <row r="959" spans="1:26" ht="15.75" customHeight="1" x14ac:dyDescent="0.2">
      <c r="A959" s="281"/>
      <c r="B959" s="281"/>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row>
    <row r="960" spans="1:26" ht="15.75" customHeight="1" x14ac:dyDescent="0.2">
      <c r="A960" s="281"/>
      <c r="B960" s="281"/>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row>
    <row r="961" spans="1:26" ht="15.75" customHeight="1" x14ac:dyDescent="0.2">
      <c r="A961" s="281"/>
      <c r="B961" s="281"/>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row>
    <row r="962" spans="1:26" ht="15.75" customHeight="1" x14ac:dyDescent="0.2">
      <c r="A962" s="281"/>
      <c r="B962" s="281"/>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row>
    <row r="963" spans="1:26" ht="15.75" customHeight="1" x14ac:dyDescent="0.2">
      <c r="A963" s="281"/>
      <c r="B963" s="281"/>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row>
    <row r="964" spans="1:26" ht="15.75" customHeight="1" x14ac:dyDescent="0.2">
      <c r="A964" s="281"/>
      <c r="B964" s="281"/>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row>
    <row r="965" spans="1:26" ht="15.75" customHeight="1" x14ac:dyDescent="0.2">
      <c r="A965" s="281"/>
      <c r="B965" s="281"/>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row>
    <row r="966" spans="1:26" ht="15.75" customHeight="1" x14ac:dyDescent="0.2">
      <c r="A966" s="281"/>
      <c r="B966" s="281"/>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row>
    <row r="967" spans="1:26" ht="15.75" customHeight="1" x14ac:dyDescent="0.2">
      <c r="A967" s="281"/>
      <c r="B967" s="281"/>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row>
    <row r="968" spans="1:26" ht="15.75" customHeight="1" x14ac:dyDescent="0.2">
      <c r="A968" s="281"/>
      <c r="B968" s="281"/>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row>
    <row r="969" spans="1:26" ht="15.75" customHeight="1" x14ac:dyDescent="0.2">
      <c r="A969" s="281"/>
      <c r="B969" s="281"/>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row>
    <row r="970" spans="1:26" ht="15.75" customHeight="1" x14ac:dyDescent="0.2">
      <c r="A970" s="281"/>
      <c r="B970" s="281"/>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row>
    <row r="971" spans="1:26" ht="15.75" customHeight="1" x14ac:dyDescent="0.2">
      <c r="A971" s="281"/>
      <c r="B971" s="281"/>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row>
    <row r="972" spans="1:26" ht="15.75" customHeight="1" x14ac:dyDescent="0.2">
      <c r="A972" s="281"/>
      <c r="B972" s="281"/>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row>
    <row r="973" spans="1:26" ht="15.75" customHeight="1" x14ac:dyDescent="0.2">
      <c r="A973" s="281"/>
      <c r="B973" s="281"/>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row>
    <row r="974" spans="1:26" ht="15.75" customHeight="1" x14ac:dyDescent="0.2">
      <c r="A974" s="281"/>
      <c r="B974" s="281"/>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row>
    <row r="975" spans="1:26" ht="15.75" customHeight="1" x14ac:dyDescent="0.2">
      <c r="A975" s="281"/>
      <c r="B975" s="281"/>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row>
    <row r="976" spans="1:26" ht="15.75" customHeight="1" x14ac:dyDescent="0.2">
      <c r="A976" s="281"/>
      <c r="B976" s="281"/>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row>
    <row r="977" spans="1:26" ht="15.75" customHeight="1" x14ac:dyDescent="0.2">
      <c r="A977" s="281"/>
      <c r="B977" s="281"/>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row>
    <row r="978" spans="1:26" ht="15.75" customHeight="1" x14ac:dyDescent="0.2">
      <c r="A978" s="281"/>
      <c r="B978" s="281"/>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row>
    <row r="979" spans="1:26" ht="15.75" customHeight="1" x14ac:dyDescent="0.2">
      <c r="A979" s="281"/>
      <c r="B979" s="281"/>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row>
    <row r="980" spans="1:26" ht="15.75" customHeight="1" x14ac:dyDescent="0.2">
      <c r="A980" s="281"/>
      <c r="B980" s="281"/>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row>
    <row r="981" spans="1:26" ht="15.75" customHeight="1" x14ac:dyDescent="0.2">
      <c r="A981" s="281"/>
      <c r="B981" s="281"/>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row>
    <row r="982" spans="1:26" ht="15.75" customHeight="1" x14ac:dyDescent="0.2">
      <c r="A982" s="281"/>
      <c r="B982" s="281"/>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row>
    <row r="983" spans="1:26" ht="15.75" customHeight="1" x14ac:dyDescent="0.2">
      <c r="A983" s="281"/>
      <c r="B983" s="281"/>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row>
    <row r="984" spans="1:26" ht="15.75" customHeight="1" x14ac:dyDescent="0.2">
      <c r="A984" s="281"/>
      <c r="B984" s="281"/>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row>
    <row r="985" spans="1:26" ht="15.75" customHeight="1" x14ac:dyDescent="0.2">
      <c r="A985" s="281"/>
      <c r="B985" s="281"/>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row>
    <row r="986" spans="1:26" ht="15.75" customHeight="1" x14ac:dyDescent="0.2">
      <c r="A986" s="281"/>
      <c r="B986" s="281"/>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row>
    <row r="987" spans="1:26" ht="15.75" customHeight="1" x14ac:dyDescent="0.2">
      <c r="A987" s="281"/>
      <c r="B987" s="281"/>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row>
    <row r="988" spans="1:26" ht="15.75" customHeight="1" x14ac:dyDescent="0.2">
      <c r="A988" s="281"/>
      <c r="B988" s="281"/>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row>
    <row r="989" spans="1:26" ht="15.75" customHeight="1" x14ac:dyDescent="0.2">
      <c r="A989" s="281"/>
      <c r="B989" s="281"/>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row>
    <row r="990" spans="1:26" ht="15.75" customHeight="1" x14ac:dyDescent="0.2">
      <c r="A990" s="281"/>
      <c r="B990" s="281"/>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row>
    <row r="991" spans="1:26" ht="15.75" customHeight="1" x14ac:dyDescent="0.2">
      <c r="A991" s="281"/>
      <c r="B991" s="281"/>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row>
    <row r="992" spans="1:26" ht="15.75" customHeight="1" x14ac:dyDescent="0.2">
      <c r="A992" s="281"/>
      <c r="B992" s="281"/>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row>
    <row r="993" spans="1:26" ht="15.75" customHeight="1" x14ac:dyDescent="0.2">
      <c r="A993" s="281"/>
      <c r="B993" s="281"/>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row>
    <row r="994" spans="1:26" ht="15.75" customHeight="1" x14ac:dyDescent="0.2">
      <c r="A994" s="281"/>
      <c r="B994" s="281"/>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row>
    <row r="995" spans="1:26" ht="15.75" customHeight="1" x14ac:dyDescent="0.2">
      <c r="A995" s="281"/>
      <c r="B995" s="281"/>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row>
    <row r="996" spans="1:26" ht="15.75" customHeight="1" x14ac:dyDescent="0.2">
      <c r="A996" s="281"/>
      <c r="B996" s="281"/>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row>
    <row r="997" spans="1:26" ht="15.75" customHeight="1" x14ac:dyDescent="0.2">
      <c r="A997" s="281"/>
      <c r="B997" s="281"/>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row>
    <row r="998" spans="1:26" ht="15.75" customHeight="1" x14ac:dyDescent="0.2">
      <c r="A998" s="281"/>
      <c r="B998" s="281"/>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row>
    <row r="999" spans="1:26" ht="15.75" customHeight="1" x14ac:dyDescent="0.2">
      <c r="A999" s="281"/>
      <c r="B999" s="281"/>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row>
    <row r="1000" spans="1:26" ht="15.75" customHeight="1" x14ac:dyDescent="0.2">
      <c r="A1000" s="281"/>
      <c r="B1000" s="281"/>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row>
  </sheetData>
  <mergeCells count="59">
    <mergeCell ref="A6:C6"/>
    <mergeCell ref="D6:F6"/>
    <mergeCell ref="G6:H6"/>
    <mergeCell ref="I6:M6"/>
    <mergeCell ref="D1:K4"/>
    <mergeCell ref="L1:M1"/>
    <mergeCell ref="L2:M2"/>
    <mergeCell ref="L3:M4"/>
    <mergeCell ref="B4:C4"/>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H16:M16"/>
    <mergeCell ref="B17:G17"/>
    <mergeCell ref="H17:M17"/>
    <mergeCell ref="B15:G15"/>
    <mergeCell ref="H15:M15"/>
    <mergeCell ref="B18:G18"/>
    <mergeCell ref="H18:M18"/>
    <mergeCell ref="A19:A27"/>
    <mergeCell ref="B19:G19"/>
    <mergeCell ref="H19:M19"/>
    <mergeCell ref="B20:G20"/>
    <mergeCell ref="H20:M20"/>
    <mergeCell ref="B21:G21"/>
    <mergeCell ref="H21:M21"/>
    <mergeCell ref="B22:G22"/>
    <mergeCell ref="H22:M22"/>
    <mergeCell ref="B23:G23"/>
    <mergeCell ref="B27:G27"/>
    <mergeCell ref="H27:M27"/>
    <mergeCell ref="H23:M23"/>
    <mergeCell ref="B24:G24"/>
    <mergeCell ref="H24:M24"/>
    <mergeCell ref="B25:G25"/>
    <mergeCell ref="H25:M25"/>
    <mergeCell ref="B26:G26"/>
    <mergeCell ref="H26:M26"/>
    <mergeCell ref="K29:M29"/>
    <mergeCell ref="K30:M30"/>
    <mergeCell ref="A29:B30"/>
    <mergeCell ref="C29:D30"/>
    <mergeCell ref="E29:E30"/>
    <mergeCell ref="F29:H30"/>
    <mergeCell ref="I29:J29"/>
    <mergeCell ref="I30:J30"/>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3300"/>
  </sheetPr>
  <dimension ref="A1:AF20"/>
  <sheetViews>
    <sheetView topLeftCell="A9" zoomScale="70" zoomScaleNormal="70" workbookViewId="0">
      <selection activeCell="AJ9" sqref="AJ9"/>
    </sheetView>
  </sheetViews>
  <sheetFormatPr baseColWidth="10" defaultColWidth="11.42578125" defaultRowHeight="16.5" x14ac:dyDescent="0.3"/>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hidden="1" customWidth="1"/>
    <col min="11" max="11" width="14.140625" style="1" customWidth="1"/>
    <col min="12" max="12" width="16" style="1" customWidth="1"/>
    <col min="13" max="13" width="30.5703125" style="1" hidden="1" customWidth="1"/>
    <col min="14" max="14" width="15.28515625" style="1" customWidth="1"/>
    <col min="15" max="15" width="6.28515625" style="1" hidden="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10.42578125" style="1" hidden="1" customWidth="1"/>
    <col min="29" max="29" width="14.85546875" style="1" customWidth="1"/>
    <col min="30" max="30" width="1.85546875" style="1" hidden="1" customWidth="1"/>
    <col min="31" max="32" width="14.28515625" style="1" customWidth="1"/>
    <col min="33" max="16384" width="11.42578125" style="1"/>
  </cols>
  <sheetData>
    <row r="1" spans="1:32" ht="79.5" customHeight="1" x14ac:dyDescent="0.3">
      <c r="A1" s="489"/>
      <c r="B1" s="489"/>
      <c r="C1" s="489"/>
      <c r="D1" s="488" t="s">
        <v>212</v>
      </c>
      <c r="E1" s="488"/>
      <c r="F1" s="488"/>
      <c r="G1" s="488"/>
      <c r="H1" s="488"/>
      <c r="I1" s="488"/>
      <c r="J1" s="488"/>
      <c r="K1" s="488"/>
      <c r="L1" s="488"/>
      <c r="M1" s="488"/>
      <c r="N1" s="488"/>
      <c r="O1" s="488"/>
      <c r="P1" s="488"/>
      <c r="Q1" s="488"/>
      <c r="R1" s="488"/>
      <c r="S1" s="488"/>
      <c r="T1" s="488"/>
      <c r="U1" s="488"/>
      <c r="V1" s="488"/>
      <c r="W1" s="488"/>
      <c r="X1" s="488"/>
      <c r="Y1" s="488"/>
      <c r="Z1" s="488"/>
      <c r="AA1" s="488"/>
      <c r="AB1" s="488"/>
      <c r="AC1" s="488"/>
      <c r="AE1" s="481" t="s">
        <v>219</v>
      </c>
      <c r="AF1" s="481"/>
    </row>
    <row r="2" spans="1:32" ht="20.25" customHeight="1" x14ac:dyDescent="0.3">
      <c r="A2" s="490" t="s">
        <v>183</v>
      </c>
      <c r="B2" s="490"/>
      <c r="C2" s="490"/>
      <c r="D2" s="488" t="s">
        <v>220</v>
      </c>
      <c r="E2" s="488"/>
      <c r="F2" s="488"/>
      <c r="G2" s="488"/>
      <c r="H2" s="488"/>
      <c r="I2" s="488"/>
      <c r="J2" s="488"/>
      <c r="K2" s="488"/>
      <c r="L2" s="488"/>
      <c r="M2" s="488"/>
      <c r="N2" s="488"/>
      <c r="O2" s="488"/>
      <c r="P2" s="488"/>
      <c r="Q2" s="488"/>
      <c r="R2" s="488"/>
      <c r="S2" s="488"/>
      <c r="T2" s="488"/>
      <c r="U2" s="488"/>
      <c r="V2" s="488"/>
      <c r="W2" s="488"/>
      <c r="X2" s="488"/>
      <c r="Y2" s="488"/>
      <c r="Z2" s="488"/>
      <c r="AA2" s="488"/>
      <c r="AB2" s="488"/>
      <c r="AC2" s="488"/>
      <c r="AE2" s="481" t="s">
        <v>182</v>
      </c>
      <c r="AF2" s="481"/>
    </row>
    <row r="3" spans="1:32" x14ac:dyDescent="0.3">
      <c r="A3" s="489"/>
      <c r="B3" s="489"/>
      <c r="C3" s="489"/>
      <c r="D3" s="489"/>
      <c r="E3" s="489"/>
      <c r="F3" s="489"/>
      <c r="G3" s="489"/>
      <c r="H3" s="489"/>
      <c r="I3" s="489"/>
      <c r="J3" s="489"/>
      <c r="K3" s="489"/>
      <c r="L3" s="489"/>
      <c r="M3" s="489"/>
      <c r="N3" s="489"/>
      <c r="O3" s="489"/>
      <c r="P3" s="489"/>
      <c r="Q3" s="489"/>
      <c r="R3" s="489"/>
      <c r="S3" s="489"/>
      <c r="T3" s="489"/>
      <c r="U3" s="489"/>
      <c r="V3" s="489"/>
      <c r="W3" s="489"/>
      <c r="X3" s="489"/>
      <c r="Y3" s="489"/>
      <c r="Z3" s="489"/>
      <c r="AA3" s="489"/>
      <c r="AB3" s="489"/>
      <c r="AC3" s="489"/>
      <c r="AD3" s="489"/>
      <c r="AE3" s="489"/>
      <c r="AF3" s="489"/>
    </row>
    <row r="4" spans="1:32" ht="35.25" customHeight="1" x14ac:dyDescent="0.3">
      <c r="A4" s="482" t="s">
        <v>221</v>
      </c>
      <c r="B4" s="482"/>
      <c r="C4" s="482"/>
      <c r="D4" s="487" t="s">
        <v>222</v>
      </c>
      <c r="E4" s="487"/>
      <c r="F4" s="487"/>
      <c r="G4" s="487"/>
      <c r="H4" s="487"/>
      <c r="I4" s="487"/>
      <c r="J4" s="487"/>
      <c r="K4" s="487"/>
      <c r="L4" s="487"/>
      <c r="N4" s="483" t="s">
        <v>223</v>
      </c>
      <c r="O4" s="483"/>
      <c r="P4" s="483"/>
      <c r="Q4" s="483"/>
      <c r="R4" s="484"/>
      <c r="S4" s="484"/>
      <c r="T4" s="484"/>
      <c r="U4" s="484"/>
      <c r="V4" s="484"/>
      <c r="W4" s="484"/>
      <c r="X4" s="484"/>
      <c r="Y4" s="484"/>
      <c r="Z4" s="484"/>
      <c r="AA4" s="484"/>
      <c r="AB4" s="484"/>
      <c r="AC4" s="484"/>
      <c r="AD4" s="484"/>
      <c r="AE4" s="484"/>
      <c r="AF4" s="484"/>
    </row>
    <row r="5" spans="1:32" ht="35.25" customHeight="1" x14ac:dyDescent="0.3">
      <c r="A5" s="482" t="s">
        <v>224</v>
      </c>
      <c r="B5" s="482"/>
      <c r="C5" s="482"/>
      <c r="D5" s="487" t="s">
        <v>225</v>
      </c>
      <c r="E5" s="487"/>
      <c r="F5" s="487"/>
      <c r="G5" s="487"/>
      <c r="H5" s="487"/>
      <c r="I5" s="487"/>
      <c r="J5" s="487"/>
      <c r="K5" s="487"/>
      <c r="L5" s="487"/>
      <c r="N5" s="483" t="s">
        <v>226</v>
      </c>
      <c r="O5" s="483"/>
      <c r="P5" s="483"/>
      <c r="Q5" s="483"/>
      <c r="R5" s="485"/>
      <c r="S5" s="486"/>
      <c r="T5" s="486"/>
      <c r="U5" s="486"/>
      <c r="V5" s="486"/>
      <c r="W5" s="486"/>
      <c r="X5" s="486"/>
      <c r="Y5" s="486"/>
      <c r="Z5" s="486"/>
      <c r="AA5" s="486"/>
      <c r="AB5" s="486"/>
      <c r="AC5" s="486"/>
      <c r="AD5" s="486"/>
      <c r="AE5" s="486"/>
      <c r="AF5" s="486"/>
    </row>
    <row r="6" spans="1:32" x14ac:dyDescent="0.3">
      <c r="A6" s="446"/>
      <c r="B6" s="446"/>
      <c r="C6" s="446"/>
      <c r="D6" s="446"/>
      <c r="E6" s="446"/>
      <c r="F6" s="446"/>
      <c r="G6" s="446"/>
      <c r="H6" s="446"/>
      <c r="I6" s="446"/>
      <c r="J6" s="446"/>
      <c r="K6" s="446"/>
      <c r="L6" s="446"/>
      <c r="M6" s="446"/>
      <c r="N6" s="446"/>
      <c r="O6" s="446"/>
      <c r="P6" s="446"/>
      <c r="Q6" s="446"/>
      <c r="R6" s="446"/>
      <c r="S6" s="446"/>
      <c r="T6" s="446"/>
      <c r="U6" s="446"/>
      <c r="V6" s="446"/>
      <c r="W6" s="446"/>
      <c r="X6" s="446"/>
      <c r="Y6" s="446"/>
      <c r="Z6" s="446"/>
      <c r="AA6" s="446"/>
      <c r="AB6" s="446"/>
      <c r="AC6" s="446"/>
      <c r="AD6" s="446"/>
      <c r="AE6" s="446"/>
      <c r="AF6" s="446"/>
    </row>
    <row r="7" spans="1:32" ht="51" customHeight="1" x14ac:dyDescent="0.3">
      <c r="A7" s="475" t="s">
        <v>227</v>
      </c>
      <c r="B7" s="476"/>
      <c r="C7" s="476"/>
      <c r="D7" s="476"/>
      <c r="E7" s="476"/>
      <c r="F7" s="476"/>
      <c r="G7" s="477"/>
      <c r="H7" s="472" t="s">
        <v>228</v>
      </c>
      <c r="I7" s="473"/>
      <c r="J7" s="473"/>
      <c r="K7" s="473"/>
      <c r="L7" s="473"/>
      <c r="M7" s="473"/>
      <c r="N7" s="473"/>
      <c r="O7" s="473"/>
      <c r="P7" s="474"/>
      <c r="Q7" s="470" t="s">
        <v>229</v>
      </c>
      <c r="R7" s="470"/>
      <c r="S7" s="470"/>
      <c r="T7" s="470"/>
      <c r="U7" s="470"/>
      <c r="V7" s="470"/>
      <c r="W7" s="470"/>
      <c r="X7" s="470"/>
      <c r="Y7" s="470"/>
      <c r="Z7" s="471" t="s">
        <v>230</v>
      </c>
      <c r="AA7" s="471"/>
      <c r="AB7" s="471"/>
      <c r="AC7" s="471"/>
      <c r="AD7" s="471"/>
      <c r="AE7" s="471"/>
      <c r="AF7" s="471"/>
    </row>
    <row r="8" spans="1:32" ht="16.5" customHeight="1" x14ac:dyDescent="0.3">
      <c r="A8" s="479" t="s">
        <v>231</v>
      </c>
      <c r="B8" s="441" t="s">
        <v>232</v>
      </c>
      <c r="C8" s="441" t="s">
        <v>142</v>
      </c>
      <c r="D8" s="441" t="s">
        <v>140</v>
      </c>
      <c r="E8" s="442" t="s">
        <v>233</v>
      </c>
      <c r="F8" s="441" t="s">
        <v>234</v>
      </c>
      <c r="G8" s="441" t="s">
        <v>235</v>
      </c>
      <c r="H8" s="441" t="s">
        <v>236</v>
      </c>
      <c r="I8" s="441" t="s">
        <v>237</v>
      </c>
      <c r="J8" s="468" t="s">
        <v>238</v>
      </c>
      <c r="K8" s="468" t="s">
        <v>134</v>
      </c>
      <c r="L8" s="441" t="s">
        <v>239</v>
      </c>
      <c r="M8" s="441" t="s">
        <v>240</v>
      </c>
      <c r="N8" s="441" t="s">
        <v>241</v>
      </c>
      <c r="O8" s="468" t="s">
        <v>238</v>
      </c>
      <c r="P8" s="441" t="s">
        <v>148</v>
      </c>
      <c r="Q8" s="466" t="s">
        <v>242</v>
      </c>
      <c r="R8" s="441" t="s">
        <v>150</v>
      </c>
      <c r="S8" s="441" t="s">
        <v>152</v>
      </c>
      <c r="T8" s="465" t="s">
        <v>243</v>
      </c>
      <c r="U8" s="465"/>
      <c r="V8" s="465"/>
      <c r="W8" s="465"/>
      <c r="X8" s="465"/>
      <c r="Y8" s="465"/>
      <c r="Z8" s="466" t="s">
        <v>244</v>
      </c>
      <c r="AA8" s="441" t="s">
        <v>245</v>
      </c>
      <c r="AB8" s="441" t="s">
        <v>238</v>
      </c>
      <c r="AC8" s="441" t="s">
        <v>246</v>
      </c>
      <c r="AD8" s="441" t="s">
        <v>238</v>
      </c>
      <c r="AE8" s="441" t="s">
        <v>247</v>
      </c>
      <c r="AF8" s="441" t="s">
        <v>168</v>
      </c>
    </row>
    <row r="9" spans="1:32" s="183" customFormat="1" ht="94.5" customHeight="1" thickBot="1" x14ac:dyDescent="0.3">
      <c r="A9" s="480"/>
      <c r="B9" s="442"/>
      <c r="C9" s="442"/>
      <c r="D9" s="442"/>
      <c r="E9" s="478"/>
      <c r="F9" s="442"/>
      <c r="G9" s="442"/>
      <c r="H9" s="442"/>
      <c r="I9" s="442"/>
      <c r="J9" s="469"/>
      <c r="K9" s="469"/>
      <c r="L9" s="442"/>
      <c r="M9" s="442"/>
      <c r="N9" s="469"/>
      <c r="O9" s="469"/>
      <c r="P9" s="442"/>
      <c r="Q9" s="467"/>
      <c r="R9" s="442"/>
      <c r="S9" s="442"/>
      <c r="T9" s="185" t="s">
        <v>248</v>
      </c>
      <c r="U9" s="185" t="s">
        <v>249</v>
      </c>
      <c r="V9" s="185" t="s">
        <v>250</v>
      </c>
      <c r="W9" s="185" t="s">
        <v>251</v>
      </c>
      <c r="X9" s="185" t="s">
        <v>252</v>
      </c>
      <c r="Y9" s="185" t="s">
        <v>253</v>
      </c>
      <c r="Z9" s="467"/>
      <c r="AA9" s="442"/>
      <c r="AB9" s="442"/>
      <c r="AC9" s="442"/>
      <c r="AD9" s="442"/>
      <c r="AE9" s="442"/>
      <c r="AF9" s="442"/>
    </row>
    <row r="10" spans="1:32" s="184" customFormat="1" ht="156.75" customHeight="1" thickBot="1" x14ac:dyDescent="0.3">
      <c r="A10" s="456">
        <v>1</v>
      </c>
      <c r="B10" s="443" t="s">
        <v>103</v>
      </c>
      <c r="C10" s="443" t="s">
        <v>254</v>
      </c>
      <c r="D10" s="459" t="s">
        <v>255</v>
      </c>
      <c r="E10" s="291" t="s">
        <v>256</v>
      </c>
      <c r="F10" s="240" t="s">
        <v>257</v>
      </c>
      <c r="G10" s="240" t="s">
        <v>258</v>
      </c>
      <c r="H10" s="462">
        <v>2</v>
      </c>
      <c r="I10" s="447" t="str">
        <f>IF(H10&lt;=0,"",IF(H10&lt;=2,"Muy Baja",IF(H10&lt;=24,"Baja",IF(H10&lt;=500,"Media",IF(H10&lt;=5000,"Alta","Muy Alta")))))</f>
        <v>Muy Baja</v>
      </c>
      <c r="J10" s="453">
        <f>IF(I10="","",IF(I10="Muy Baja",0.2,IF(I10="Baja",0.4,IF(I10="Media",0.6,IF(I10="Alta",0.8,IF(I10="Muy Alta",1,))))))</f>
        <v>0.2</v>
      </c>
      <c r="K10" s="443" t="s">
        <v>259</v>
      </c>
      <c r="L10" s="450" t="s">
        <v>260</v>
      </c>
      <c r="M10" s="216" t="str">
        <f>IF(NOT(ISERROR(MATCH(L10,'Tabla Impacto'!$B$221:$B$223,0))),'Tabla Impacto'!$F$223&amp;"Por favor no seleccionar los criterios de impacto(Afectación Económica o presupuestal y Pérdida Reputacional)",L10)</f>
        <v xml:space="preserve">     Afectación menor a 10 SMLMV .</v>
      </c>
      <c r="N10" s="447" t="str">
        <f>IF(OR(M10='Tabla Impacto'!$C$11,M10='Tabla Impacto'!$D$11),"Leve",IF(OR(M10='Tabla Impacto'!$C$12,M10='Tabla Impacto'!$D$12),"Menor",IF(OR(M10='Tabla Impacto'!$C$13,M10='Tabla Impacto'!$D$13),"Moderado",IF(OR(M10='Tabla Impacto'!$C$14,M10='Tabla Impacto'!$D$14),"Mayor",IF(OR(M10='Tabla Impacto'!$C$15,M10='Tabla Impacto'!$D$15),"Catastrófico","")))))</f>
        <v>Leve</v>
      </c>
      <c r="O10" s="453">
        <f>IF(N10="","",IF(N10="Leve",0.2,IF(N10="Menor",0.4,IF(N10="Moderado",0.6,IF(N10="Mayor",0.8,IF(N10="Catastrófico",1,))))))</f>
        <v>0.2</v>
      </c>
      <c r="P10" s="447"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Bajo</v>
      </c>
      <c r="Q10" s="191">
        <v>1</v>
      </c>
      <c r="R10" s="241" t="s">
        <v>261</v>
      </c>
      <c r="S10" s="217" t="str">
        <f>IF(OR(T10="Preventivo",T10="Detectivo"),"Probabilidad",IF(T10="Correctivo","Impacto",""))</f>
        <v>Probabilidad</v>
      </c>
      <c r="T10" s="218" t="s">
        <v>262</v>
      </c>
      <c r="U10" s="218" t="s">
        <v>263</v>
      </c>
      <c r="V10" s="219" t="str">
        <f>IF(AND(T10="Preventivo",U10="Automático"),"50%",IF(AND(T10="Preventivo",U10="Manual"),"40%",IF(AND(T10="Detectivo",U10="Automático"),"40%",IF(AND(T10="Detectivo",U10="Manual"),"30%",IF(AND(T10="Correctivo",U10="Automático"),"35%",IF(AND(T10="Correctivo",U10="Manual"),"25%",""))))))</f>
        <v>40%</v>
      </c>
      <c r="W10" s="218" t="s">
        <v>264</v>
      </c>
      <c r="X10" s="218" t="s">
        <v>265</v>
      </c>
      <c r="Y10" s="218" t="s">
        <v>266</v>
      </c>
      <c r="Z10" s="220">
        <f>IFERROR(IF(S10="Probabilidad",(J10-(+J10*V10)),IF(S10="Impacto",J10,"")),"")</f>
        <v>0.12</v>
      </c>
      <c r="AA10" s="221" t="str">
        <f>IFERROR(IF(Z10="","",IF(Z10&lt;=0.2,"Muy Baja",IF(Z10&lt;=0.4,"Baja",IF(Z10&lt;=0.6,"Media",IF(Z10&lt;=0.8,"Alta","Muy Alta"))))),"")</f>
        <v>Muy Baja</v>
      </c>
      <c r="AB10" s="219">
        <f>+Z10</f>
        <v>0.12</v>
      </c>
      <c r="AC10" s="221" t="str">
        <f>IFERROR(IF(AD10="","",IF(AD10&lt;=0.2,"Leve",IF(AD10&lt;=0.4,"Menor",IF(AD10&lt;=0.6,"Moderado",IF(AD10&lt;=0.8,"Mayor","Catastrófico"))))),"")</f>
        <v>Leve</v>
      </c>
      <c r="AD10" s="219">
        <f>IFERROR(IF(S10="Impacto",(O10-(+O10*V10)),IF(S10="Probabilidad",O10,"")),"")</f>
        <v>0.2</v>
      </c>
      <c r="AE10" s="222" t="str">
        <f>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223" t="s">
        <v>267</v>
      </c>
    </row>
    <row r="11" spans="1:32" ht="69" customHeight="1" x14ac:dyDescent="0.3">
      <c r="A11" s="457"/>
      <c r="B11" s="444"/>
      <c r="C11" s="444"/>
      <c r="D11" s="460"/>
      <c r="E11" s="242"/>
      <c r="F11" s="243"/>
      <c r="G11" s="243"/>
      <c r="H11" s="463"/>
      <c r="I11" s="448"/>
      <c r="J11" s="454"/>
      <c r="K11" s="444"/>
      <c r="L11" s="451"/>
      <c r="M11" s="224">
        <f>IF(NOT(ISERROR(MATCH(L11,_xlfn.ANCHORARRAY(#REF!),0))),#REF!&amp;"Por favor no seleccionar los criterios de impacto",L11)</f>
        <v>0</v>
      </c>
      <c r="N11" s="448"/>
      <c r="O11" s="454"/>
      <c r="P11" s="448"/>
      <c r="Q11" s="192">
        <v>2</v>
      </c>
      <c r="R11" s="241" t="s">
        <v>261</v>
      </c>
      <c r="S11" s="225" t="str">
        <f>IF(OR(T11="Preventivo",T11="Detectivo"),"Probabilidad",IF(T11="Correctivo","Impacto",""))</f>
        <v>Probabilidad</v>
      </c>
      <c r="T11" s="226" t="s">
        <v>262</v>
      </c>
      <c r="U11" s="226" t="s">
        <v>263</v>
      </c>
      <c r="V11" s="227" t="str">
        <f t="shared" ref="V11:V15" si="0">IF(AND(T11="Preventivo",U11="Automático"),"50%",IF(AND(T11="Preventivo",U11="Manual"),"40%",IF(AND(T11="Detectivo",U11="Automático"),"40%",IF(AND(T11="Detectivo",U11="Manual"),"30%",IF(AND(T11="Correctivo",U11="Automático"),"35%",IF(AND(T11="Correctivo",U11="Manual"),"25%",""))))))</f>
        <v>40%</v>
      </c>
      <c r="W11" s="226" t="s">
        <v>264</v>
      </c>
      <c r="X11" s="226" t="s">
        <v>265</v>
      </c>
      <c r="Y11" s="226" t="s">
        <v>266</v>
      </c>
      <c r="Z11" s="228">
        <f>IFERROR(IF(AND(S10="Probabilidad",S11="Probabilidad"),(AB10-(+AB10*V11)),IF(S11="Probabilidad",(J10-(+J10*V11)),IF(S11="Impacto",AB10,""))),"")</f>
        <v>7.1999999999999995E-2</v>
      </c>
      <c r="AA11" s="229" t="str">
        <f t="shared" ref="AA11:AA15" si="1">IFERROR(IF(Z11="","",IF(Z11&lt;=0.2,"Muy Baja",IF(Z11&lt;=0.4,"Baja",IF(Z11&lt;=0.6,"Media",IF(Z11&lt;=0.8,"Alta","Muy Alta"))))),"")</f>
        <v>Muy Baja</v>
      </c>
      <c r="AB11" s="227">
        <f t="shared" ref="AB11:AB15" si="2">+Z11</f>
        <v>7.1999999999999995E-2</v>
      </c>
      <c r="AC11" s="229" t="str">
        <f t="shared" ref="AC11:AC15" si="3">IFERROR(IF(AD11="","",IF(AD11&lt;=0.2,"Leve",IF(AD11&lt;=0.4,"Menor",IF(AD11&lt;=0.6,"Moderado",IF(AD11&lt;=0.8,"Mayor","Catastrófico"))))),"")</f>
        <v>Leve</v>
      </c>
      <c r="AD11" s="227">
        <f>IFERROR(IF(AND(S10="Impacto",S11="Impacto"),(AD10-(+AD10*V11)),IF(S11="Impacto",(O10-(+O10*V11)),IF(S11="Probabilidad",AD10,""))),"")</f>
        <v>0.2</v>
      </c>
      <c r="AE11" s="230" t="str">
        <f t="shared" ref="AE11:AE15" si="4">IFERROR(IF(OR(AND(AA11="Muy Baja",AC11="Leve"),AND(AA11="Muy Baja",AC11="Menor"),AND(AA11="Baja",AC11="Leve")),"Bajo",IF(OR(AND(AA11="Muy baja",AC11="Moderado"),AND(AA11="Baja",AC11="Menor"),AND(AA11="Baja",AC11="Moderado"),AND(AA11="Media",AC11="Leve"),AND(AA11="Media",AC11="Menor"),AND(AA11="Media",AC11="Moderado"),AND(AA11="Alta",AC11="Leve"),AND(AA11="Alta",AC11="Menor")),"Moderado",IF(OR(AND(AA11="Muy Baja",AC11="Mayor"),AND(AA11="Baja",AC11="Mayor"),AND(AA11="Media",AC11="Mayor"),AND(AA11="Alta",AC11="Moderado"),AND(AA11="Alta",AC11="Mayor"),AND(AA11="Muy Alta",AC11="Leve"),AND(AA11="Muy Alta",AC11="Menor"),AND(AA11="Muy Alta",AC11="Moderado"),AND(AA11="Muy Alta",AC11="Mayor")),"Alto",IF(OR(AND(AA11="Muy Baja",AC11="Catastrófico"),AND(AA11="Baja",AC11="Catastrófico"),AND(AA11="Media",AC11="Catastrófico"),AND(AA11="Alta",AC11="Catastrófico"),AND(AA11="Muy Alta",AC11="Catastrófico")),"Extremo","")))),"")</f>
        <v>Bajo</v>
      </c>
      <c r="AF11" s="231" t="s">
        <v>267</v>
      </c>
    </row>
    <row r="12" spans="1:32" ht="43.5" customHeight="1" x14ac:dyDescent="0.3">
      <c r="A12" s="457"/>
      <c r="B12" s="444"/>
      <c r="C12" s="444"/>
      <c r="D12" s="460"/>
      <c r="E12" s="242"/>
      <c r="F12" s="243"/>
      <c r="G12" s="243"/>
      <c r="H12" s="463"/>
      <c r="I12" s="448"/>
      <c r="J12" s="454"/>
      <c r="K12" s="444"/>
      <c r="L12" s="451"/>
      <c r="M12" s="224">
        <f>IF(NOT(ISERROR(MATCH(L12,_xlfn.ANCHORARRAY(#REF!),0))),#REF!&amp;"Por favor no seleccionar los criterios de impacto",L12)</f>
        <v>0</v>
      </c>
      <c r="N12" s="448"/>
      <c r="O12" s="454"/>
      <c r="P12" s="448"/>
      <c r="Q12" s="192">
        <v>3</v>
      </c>
      <c r="R12" s="245"/>
      <c r="S12" s="225" t="str">
        <f>IF(OR(T12="Preventivo",T12="Detectivo"),"Probabilidad",IF(T12="Correctivo","Impacto",""))</f>
        <v/>
      </c>
      <c r="T12" s="226"/>
      <c r="U12" s="226"/>
      <c r="V12" s="227" t="str">
        <f t="shared" si="0"/>
        <v/>
      </c>
      <c r="W12" s="226"/>
      <c r="X12" s="226"/>
      <c r="Y12" s="226"/>
      <c r="Z12" s="228" t="str">
        <f>IFERROR(IF(AND(S11="Probabilidad",S12="Probabilidad"),(AB11-(+AB11*V12)),IF(AND(S11="Impacto",S12="Probabilidad"),(AB10-(+AB10*V12)),IF(S12="Impacto",AB11,""))),"")</f>
        <v/>
      </c>
      <c r="AA12" s="229" t="str">
        <f t="shared" si="1"/>
        <v/>
      </c>
      <c r="AB12" s="227" t="str">
        <f t="shared" si="2"/>
        <v/>
      </c>
      <c r="AC12" s="229" t="str">
        <f t="shared" si="3"/>
        <v/>
      </c>
      <c r="AD12" s="227" t="str">
        <f>IFERROR(IF(AND(S11="Impacto",S12="Impacto"),(AD11-(+AD11*V12)),IF(AND(S11="Probabilidad",S12="Impacto"),(AD10-(+AD10*V12)),IF(S12="Probabilidad",AD11,""))),"")</f>
        <v/>
      </c>
      <c r="AE12" s="230" t="str">
        <f t="shared" si="4"/>
        <v/>
      </c>
      <c r="AF12" s="231"/>
    </row>
    <row r="13" spans="1:32" ht="49.5" customHeight="1" x14ac:dyDescent="0.3">
      <c r="A13" s="457"/>
      <c r="B13" s="444"/>
      <c r="C13" s="444"/>
      <c r="D13" s="460"/>
      <c r="E13" s="242"/>
      <c r="F13" s="243"/>
      <c r="G13" s="243"/>
      <c r="H13" s="463"/>
      <c r="I13" s="448"/>
      <c r="J13" s="454"/>
      <c r="K13" s="444"/>
      <c r="L13" s="451"/>
      <c r="M13" s="224">
        <f>IF(NOT(ISERROR(MATCH(L13,_xlfn.ANCHORARRAY(#REF!),0))),#REF!&amp;"Por favor no seleccionar los criterios de impacto",L13)</f>
        <v>0</v>
      </c>
      <c r="N13" s="448"/>
      <c r="O13" s="454"/>
      <c r="P13" s="448"/>
      <c r="Q13" s="192">
        <v>4</v>
      </c>
      <c r="R13" s="244"/>
      <c r="S13" s="225" t="str">
        <f t="shared" ref="S13:S15" si="5">IF(OR(T13="Preventivo",T13="Detectivo"),"Probabilidad",IF(T13="Correctivo","Impacto",""))</f>
        <v/>
      </c>
      <c r="T13" s="226"/>
      <c r="U13" s="226"/>
      <c r="V13" s="227" t="str">
        <f t="shared" si="0"/>
        <v/>
      </c>
      <c r="W13" s="226"/>
      <c r="X13" s="226"/>
      <c r="Y13" s="226"/>
      <c r="Z13" s="228" t="str">
        <f t="shared" ref="Z13:Z15" si="6">IFERROR(IF(AND(S12="Probabilidad",S13="Probabilidad"),(AB12-(+AB12*V13)),IF(AND(S12="Impacto",S13="Probabilidad"),(AB11-(+AB11*V13)),IF(S13="Impacto",AB12,""))),"")</f>
        <v/>
      </c>
      <c r="AA13" s="229" t="str">
        <f t="shared" si="1"/>
        <v/>
      </c>
      <c r="AB13" s="227" t="str">
        <f t="shared" si="2"/>
        <v/>
      </c>
      <c r="AC13" s="229" t="str">
        <f t="shared" si="3"/>
        <v/>
      </c>
      <c r="AD13" s="227" t="str">
        <f t="shared" ref="AD13:AD15" si="7">IFERROR(IF(AND(S12="Impacto",S13="Impacto"),(AD12-(+AD12*V13)),IF(AND(S12="Probabilidad",S13="Impacto"),(AD11-(+AD11*V13)),IF(S13="Probabilidad",AD12,""))),"")</f>
        <v/>
      </c>
      <c r="AE13" s="230"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
      </c>
      <c r="AF13" s="231"/>
    </row>
    <row r="14" spans="1:32" ht="49.5" customHeight="1" x14ac:dyDescent="0.3">
      <c r="A14" s="457"/>
      <c r="B14" s="444"/>
      <c r="C14" s="444"/>
      <c r="D14" s="460"/>
      <c r="E14" s="242"/>
      <c r="F14" s="243"/>
      <c r="G14" s="243"/>
      <c r="H14" s="463"/>
      <c r="I14" s="448"/>
      <c r="J14" s="454"/>
      <c r="K14" s="444"/>
      <c r="L14" s="451"/>
      <c r="M14" s="224">
        <f>IF(NOT(ISERROR(MATCH(L14,_xlfn.ANCHORARRAY(#REF!),0))),#REF!&amp;"Por favor no seleccionar los criterios de impacto",L14)</f>
        <v>0</v>
      </c>
      <c r="N14" s="448"/>
      <c r="O14" s="454"/>
      <c r="P14" s="448"/>
      <c r="Q14" s="192">
        <v>5</v>
      </c>
      <c r="R14" s="244"/>
      <c r="S14" s="225" t="str">
        <f t="shared" si="5"/>
        <v/>
      </c>
      <c r="T14" s="226"/>
      <c r="U14" s="226"/>
      <c r="V14" s="227" t="str">
        <f t="shared" si="0"/>
        <v/>
      </c>
      <c r="W14" s="226"/>
      <c r="X14" s="226"/>
      <c r="Y14" s="226"/>
      <c r="Z14" s="228" t="str">
        <f t="shared" si="6"/>
        <v/>
      </c>
      <c r="AA14" s="229" t="str">
        <f t="shared" si="1"/>
        <v/>
      </c>
      <c r="AB14" s="227" t="str">
        <f t="shared" si="2"/>
        <v/>
      </c>
      <c r="AC14" s="229" t="str">
        <f t="shared" si="3"/>
        <v/>
      </c>
      <c r="AD14" s="227" t="str">
        <f t="shared" si="7"/>
        <v/>
      </c>
      <c r="AE14" s="230" t="str">
        <f t="shared" si="4"/>
        <v/>
      </c>
      <c r="AF14" s="231"/>
    </row>
    <row r="15" spans="1:32" ht="49.5" customHeight="1" thickBot="1" x14ac:dyDescent="0.35">
      <c r="A15" s="458"/>
      <c r="B15" s="445"/>
      <c r="C15" s="445"/>
      <c r="D15" s="461"/>
      <c r="E15" s="246"/>
      <c r="F15" s="247"/>
      <c r="G15" s="247"/>
      <c r="H15" s="464"/>
      <c r="I15" s="449"/>
      <c r="J15" s="455"/>
      <c r="K15" s="445"/>
      <c r="L15" s="452"/>
      <c r="M15" s="232">
        <f>IF(NOT(ISERROR(MATCH(L15,_xlfn.ANCHORARRAY(#REF!),0))),#REF!&amp;"Por favor no seleccionar los criterios de impacto",L15)</f>
        <v>0</v>
      </c>
      <c r="N15" s="449"/>
      <c r="O15" s="455"/>
      <c r="P15" s="449"/>
      <c r="Q15" s="193">
        <v>6</v>
      </c>
      <c r="R15" s="248"/>
      <c r="S15" s="233" t="str">
        <f t="shared" si="5"/>
        <v/>
      </c>
      <c r="T15" s="234"/>
      <c r="U15" s="234"/>
      <c r="V15" s="235" t="str">
        <f t="shared" si="0"/>
        <v/>
      </c>
      <c r="W15" s="234"/>
      <c r="X15" s="234"/>
      <c r="Y15" s="234"/>
      <c r="Z15" s="236" t="str">
        <f t="shared" si="6"/>
        <v/>
      </c>
      <c r="AA15" s="237" t="str">
        <f t="shared" si="1"/>
        <v/>
      </c>
      <c r="AB15" s="235" t="str">
        <f t="shared" si="2"/>
        <v/>
      </c>
      <c r="AC15" s="237" t="str">
        <f t="shared" si="3"/>
        <v/>
      </c>
      <c r="AD15" s="235" t="str">
        <f t="shared" si="7"/>
        <v/>
      </c>
      <c r="AE15" s="238" t="str">
        <f t="shared" si="4"/>
        <v/>
      </c>
      <c r="AF15" s="239"/>
    </row>
    <row r="16" spans="1:32" x14ac:dyDescent="0.3">
      <c r="A16" s="197"/>
      <c r="B16" s="197"/>
      <c r="C16" s="197"/>
      <c r="D16" s="4"/>
      <c r="E16" s="4"/>
      <c r="F16" s="198"/>
      <c r="G16" s="198"/>
      <c r="H16" s="4"/>
      <c r="I16" s="4"/>
      <c r="J16" s="4"/>
      <c r="K16" s="4"/>
      <c r="L16" s="4"/>
      <c r="M16" s="4"/>
      <c r="N16" s="4"/>
      <c r="O16" s="4"/>
      <c r="P16" s="4"/>
      <c r="Q16" s="4"/>
      <c r="R16" s="4"/>
      <c r="S16" s="4"/>
      <c r="T16" s="4"/>
      <c r="U16" s="4"/>
      <c r="V16" s="4"/>
      <c r="W16" s="4"/>
      <c r="X16" s="4"/>
      <c r="Y16" s="4"/>
      <c r="Z16" s="4"/>
      <c r="AA16" s="4"/>
      <c r="AB16" s="4"/>
      <c r="AC16" s="4"/>
      <c r="AD16" s="4"/>
      <c r="AE16" s="4"/>
      <c r="AF16" s="4"/>
    </row>
    <row r="17" spans="1:32" customFormat="1" ht="15" x14ac:dyDescent="0.25">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row>
    <row r="18" spans="1:32" s="5" customFormat="1" ht="24.75" customHeight="1" x14ac:dyDescent="0.2">
      <c r="A18" s="491" t="s">
        <v>211</v>
      </c>
      <c r="B18" s="491"/>
      <c r="C18" s="499" t="s">
        <v>212</v>
      </c>
      <c r="D18" s="499"/>
      <c r="E18" s="499"/>
      <c r="F18" s="499"/>
      <c r="G18" s="491" t="s">
        <v>213</v>
      </c>
      <c r="H18" s="493" t="s">
        <v>268</v>
      </c>
      <c r="I18" s="494"/>
      <c r="J18" s="494"/>
      <c r="K18" s="494"/>
      <c r="L18" s="494"/>
      <c r="M18" s="494"/>
      <c r="N18" s="494"/>
      <c r="O18" s="494"/>
      <c r="P18" s="494"/>
      <c r="Q18" s="495"/>
      <c r="R18" s="196" t="s">
        <v>215</v>
      </c>
      <c r="S18" s="195"/>
      <c r="T18" s="492" t="s">
        <v>216</v>
      </c>
      <c r="U18" s="492"/>
      <c r="V18" s="492"/>
      <c r="W18" s="492"/>
      <c r="X18" s="492"/>
      <c r="Y18" s="492"/>
      <c r="Z18" s="492"/>
      <c r="AA18" s="492"/>
      <c r="AB18" s="492"/>
      <c r="AC18" s="492"/>
      <c r="AD18" s="492"/>
      <c r="AE18" s="492"/>
      <c r="AF18" s="492"/>
    </row>
    <row r="19" spans="1:32" s="5" customFormat="1" ht="24.75" customHeight="1" x14ac:dyDescent="0.2">
      <c r="A19" s="491"/>
      <c r="B19" s="491"/>
      <c r="C19" s="499"/>
      <c r="D19" s="499"/>
      <c r="E19" s="499"/>
      <c r="F19" s="499"/>
      <c r="G19" s="491"/>
      <c r="H19" s="496"/>
      <c r="I19" s="497"/>
      <c r="J19" s="497"/>
      <c r="K19" s="497"/>
      <c r="L19" s="497"/>
      <c r="M19" s="497"/>
      <c r="N19" s="497"/>
      <c r="O19" s="497"/>
      <c r="P19" s="497"/>
      <c r="Q19" s="498"/>
      <c r="R19" s="196" t="s">
        <v>269</v>
      </c>
      <c r="S19" s="195"/>
      <c r="T19" s="492" t="s">
        <v>218</v>
      </c>
      <c r="U19" s="492"/>
      <c r="V19" s="492"/>
      <c r="W19" s="492"/>
      <c r="X19" s="492"/>
      <c r="Y19" s="492"/>
      <c r="Z19" s="492"/>
      <c r="AA19" s="492"/>
      <c r="AB19" s="492"/>
      <c r="AC19" s="492"/>
      <c r="AD19" s="492"/>
      <c r="AE19" s="492"/>
      <c r="AF19" s="492"/>
    </row>
    <row r="20" spans="1:32" customFormat="1" ht="15" x14ac:dyDescent="0.25"/>
  </sheetData>
  <dataConsolidate/>
  <mergeCells count="65">
    <mergeCell ref="A18:B19"/>
    <mergeCell ref="T18:AF18"/>
    <mergeCell ref="T19:AF19"/>
    <mergeCell ref="G18:G19"/>
    <mergeCell ref="H18:Q19"/>
    <mergeCell ref="C18:F19"/>
    <mergeCell ref="AE1:AF1"/>
    <mergeCell ref="AE2:AF2"/>
    <mergeCell ref="A4:C4"/>
    <mergeCell ref="N4:Q4"/>
    <mergeCell ref="N5:Q5"/>
    <mergeCell ref="R4:AF4"/>
    <mergeCell ref="R5:AF5"/>
    <mergeCell ref="D4:L4"/>
    <mergeCell ref="D5:L5"/>
    <mergeCell ref="D1:AC1"/>
    <mergeCell ref="D2:AC2"/>
    <mergeCell ref="A3:AF3"/>
    <mergeCell ref="A1:C1"/>
    <mergeCell ref="A2:C2"/>
    <mergeCell ref="A5:C5"/>
    <mergeCell ref="Q7:Y7"/>
    <mergeCell ref="Z7:AF7"/>
    <mergeCell ref="H7:P7"/>
    <mergeCell ref="A7:G7"/>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C8:AC9"/>
    <mergeCell ref="AF8:AF9"/>
    <mergeCell ref="R8:R9"/>
    <mergeCell ref="S8:S9"/>
    <mergeCell ref="T8:Y8"/>
    <mergeCell ref="Z8:Z9"/>
    <mergeCell ref="AA8:AA9"/>
    <mergeCell ref="AB8:AB9"/>
    <mergeCell ref="B8:B9"/>
    <mergeCell ref="B10:B15"/>
    <mergeCell ref="A6:AF6"/>
    <mergeCell ref="P10:P15"/>
    <mergeCell ref="L10:L15"/>
    <mergeCell ref="N10:N15"/>
    <mergeCell ref="O10:O15"/>
    <mergeCell ref="A10:A15"/>
    <mergeCell ref="K10:K15"/>
    <mergeCell ref="D10:D15"/>
    <mergeCell ref="C10:C15"/>
    <mergeCell ref="H10:H15"/>
    <mergeCell ref="I10:I15"/>
    <mergeCell ref="J10:J15"/>
    <mergeCell ref="AD8:AD9"/>
    <mergeCell ref="AE8:AE9"/>
  </mergeCells>
  <conditionalFormatting sqref="I10">
    <cfRule type="cellIs" dxfId="40" priority="227" operator="equal">
      <formula>"Muy Alta"</formula>
    </cfRule>
    <cfRule type="cellIs" dxfId="39" priority="228" operator="equal">
      <formula>"Alta"</formula>
    </cfRule>
    <cfRule type="cellIs" dxfId="38" priority="229" operator="equal">
      <formula>"Media"</formula>
    </cfRule>
    <cfRule type="cellIs" dxfId="37" priority="230" operator="equal">
      <formula>"Baja"</formula>
    </cfRule>
    <cfRule type="cellIs" dxfId="36" priority="231" operator="equal">
      <formula>"Muy Baja"</formula>
    </cfRule>
  </conditionalFormatting>
  <conditionalFormatting sqref="M10:M15">
    <cfRule type="containsText" dxfId="35" priority="1" operator="containsText" text="❌">
      <formula>NOT(ISERROR(SEARCH("❌",M10)))</formula>
    </cfRule>
  </conditionalFormatting>
  <conditionalFormatting sqref="N10">
    <cfRule type="cellIs" dxfId="34" priority="222" operator="equal">
      <formula>"Catastrófico"</formula>
    </cfRule>
    <cfRule type="cellIs" dxfId="33" priority="223" operator="equal">
      <formula>"Mayor"</formula>
    </cfRule>
    <cfRule type="cellIs" dxfId="32" priority="224" operator="equal">
      <formula>"Moderado"</formula>
    </cfRule>
    <cfRule type="cellIs" dxfId="31" priority="225" operator="equal">
      <formula>"Menor"</formula>
    </cfRule>
    <cfRule type="cellIs" dxfId="30" priority="226" operator="equal">
      <formula>"Leve"</formula>
    </cfRule>
  </conditionalFormatting>
  <conditionalFormatting sqref="P10">
    <cfRule type="cellIs" dxfId="29" priority="218" operator="equal">
      <formula>"Extremo"</formula>
    </cfRule>
    <cfRule type="cellIs" dxfId="28" priority="219" operator="equal">
      <formula>"Alto"</formula>
    </cfRule>
    <cfRule type="cellIs" dxfId="27" priority="220" operator="equal">
      <formula>"Moderado"</formula>
    </cfRule>
    <cfRule type="cellIs" dxfId="26" priority="221" operator="equal">
      <formula>"Bajo"</formula>
    </cfRule>
  </conditionalFormatting>
  <conditionalFormatting sqref="AA10:AA15">
    <cfRule type="cellIs" dxfId="25" priority="213" operator="equal">
      <formula>"Muy Alta"</formula>
    </cfRule>
    <cfRule type="cellIs" dxfId="24" priority="214" operator="equal">
      <formula>"Alta"</formula>
    </cfRule>
    <cfRule type="cellIs" dxfId="23" priority="215" operator="equal">
      <formula>"Media"</formula>
    </cfRule>
    <cfRule type="cellIs" dxfId="22" priority="216" operator="equal">
      <formula>"Baja"</formula>
    </cfRule>
    <cfRule type="cellIs" dxfId="21" priority="217" operator="equal">
      <formula>"Muy Baja"</formula>
    </cfRule>
  </conditionalFormatting>
  <conditionalFormatting sqref="AC10:AC15">
    <cfRule type="cellIs" dxfId="20" priority="208" operator="equal">
      <formula>"Catastrófico"</formula>
    </cfRule>
    <cfRule type="cellIs" dxfId="19" priority="209" operator="equal">
      <formula>"Mayor"</formula>
    </cfRule>
    <cfRule type="cellIs" dxfId="18" priority="210" operator="equal">
      <formula>"Moderado"</formula>
    </cfRule>
    <cfRule type="cellIs" dxfId="17" priority="211" operator="equal">
      <formula>"Menor"</formula>
    </cfRule>
    <cfRule type="cellIs" dxfId="16" priority="212" operator="equal">
      <formula>"Leve"</formula>
    </cfRule>
  </conditionalFormatting>
  <conditionalFormatting sqref="AE10:AE15">
    <cfRule type="cellIs" dxfId="15" priority="204" operator="equal">
      <formula>"Extremo"</formula>
    </cfRule>
    <cfRule type="cellIs" dxfId="14" priority="205" operator="equal">
      <formula>"Alto"</formula>
    </cfRule>
    <cfRule type="cellIs" dxfId="13" priority="206" operator="equal">
      <formula>"Moderado"</formula>
    </cfRule>
    <cfRule type="cellIs" dxfId="12" priority="207" operator="equal">
      <formula>"Bajo"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14:formula1>
            <xm:f>FÓRMULAS!$B$55:$B$57</xm:f>
          </x14:formula1>
          <xm:sqref>B10</xm:sqref>
        </x14:dataValidation>
        <x14:dataValidation type="list" allowBlank="1" showInputMessage="1" showErrorMessage="1">
          <x14:formula1>
            <xm:f>Hoja1!$C$2:$C$21</xm:f>
          </x14:formula1>
          <xm:sqref>D4:L4</xm:sqref>
        </x14:dataValidation>
        <x14:dataValidation type="list" allowBlank="1" showInputMessage="1" showErrorMessage="1">
          <x14:formula1>
            <xm:f>'Tabla Impacto'!$F$210:$F$221</xm:f>
          </x14:formula1>
          <xm:sqref>L10:L15</xm:sqref>
        </x14:dataValidation>
        <x14:dataValidation type="list" allowBlank="1" showInputMessage="1" showErrorMessage="1">
          <x14:formula1>
            <xm:f>'Opciones Tratamiento'!$B$2:$B$5</xm:f>
          </x14:formula1>
          <xm:sqref>AF10:AF15</xm:sqref>
        </x14:dataValidation>
        <x14:dataValidation type="list" allowBlank="1" showInputMessage="1" showErrorMessage="1">
          <x14:formula1>
            <xm:f>'Opciones Tratamiento'!$E$2:$E$4</xm:f>
          </x14:formula1>
          <xm:sqref>K10:K15</xm:sqref>
        </x14:dataValidation>
        <x14:dataValidation type="list" allowBlank="1" showInputMessage="1" showErrorMessage="1">
          <x14:formula1>
            <xm:f>'Opciones Tratamiento'!$B$13:$B$19</xm:f>
          </x14:formula1>
          <xm:sqref>C10:C15</xm:sqref>
        </x14:dataValidation>
        <x14:dataValidation type="list" allowBlank="1" showInputMessage="1" showErrorMessage="1">
          <x14:formula1>
            <xm:f>'Tabla Valoración controles'!$D$13:$D$14</xm:f>
          </x14:formula1>
          <xm:sqref>Y10:Y15</xm:sqref>
        </x14:dataValidation>
        <x14:dataValidation type="list" allowBlank="1" showInputMessage="1" showErrorMessage="1">
          <x14:formula1>
            <xm:f>'Tabla Valoración controles'!$D$11:$D$12</xm:f>
          </x14:formula1>
          <xm:sqref>X10:X15</xm:sqref>
        </x14:dataValidation>
        <x14:dataValidation type="list" allowBlank="1" showInputMessage="1" showErrorMessage="1">
          <x14:formula1>
            <xm:f>'Tabla Valoración controles'!$D$9:$D$10</xm:f>
          </x14:formula1>
          <xm:sqref>W10:W15</xm:sqref>
        </x14:dataValidation>
        <x14:dataValidation type="list" allowBlank="1" showInputMessage="1" showErrorMessage="1">
          <x14:formula1>
            <xm:f>'Tabla Valoración controles'!$D$7:$D$8</xm:f>
          </x14:formula1>
          <xm:sqref>U10:U15</xm:sqref>
        </x14:dataValidation>
        <x14:dataValidation type="list" allowBlank="1" showInputMessage="1" showErrorMessage="1">
          <x14:formula1>
            <xm:f>'Tabla Valoración controles'!$D$4:$D$6</xm:f>
          </x14:formula1>
          <xm:sqref>T10:T15</xm:sqref>
        </x14:dataValidation>
        <x14:dataValidation type="list" allowBlank="1" showInputMessage="1" showErrorMessage="1">
          <x14:formula1>
            <xm:f>'Opciones Tratamiento'!$G$13:$G$14</xm:f>
          </x14:formula1>
          <xm:sqref>E10:E15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T20"/>
  <sheetViews>
    <sheetView topLeftCell="A10" zoomScaleNormal="100" workbookViewId="0">
      <selection activeCell="F23" sqref="F23"/>
    </sheetView>
  </sheetViews>
  <sheetFormatPr baseColWidth="10" defaultColWidth="11.42578125" defaultRowHeight="16.5" x14ac:dyDescent="0.3"/>
  <cols>
    <col min="1" max="1" width="6.5703125" style="2" customWidth="1"/>
    <col min="2" max="3" width="19"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23" style="1" customWidth="1"/>
    <col min="19" max="19" width="26.7109375" style="1" customWidth="1"/>
    <col min="20" max="20" width="22.5703125" style="1" customWidth="1"/>
    <col min="21" max="16384" width="11.42578125" style="1"/>
  </cols>
  <sheetData>
    <row r="1" spans="1:20" ht="79.5" customHeight="1" x14ac:dyDescent="0.3">
      <c r="A1" s="489"/>
      <c r="B1" s="489"/>
      <c r="C1" s="489"/>
      <c r="D1" s="488" t="str">
        <f>'Mapa de Riesgos'!D1</f>
        <v>PLANEACIÓN INSTITUCIONAL</v>
      </c>
      <c r="E1" s="488"/>
      <c r="F1" s="488"/>
      <c r="G1" s="488"/>
      <c r="H1" s="488"/>
      <c r="I1" s="488"/>
      <c r="J1" s="488"/>
      <c r="K1" s="488"/>
      <c r="L1" s="488"/>
      <c r="M1" s="488"/>
      <c r="N1" s="488"/>
      <c r="O1" s="488"/>
      <c r="P1" s="488"/>
      <c r="Q1" s="488"/>
      <c r="R1" s="488"/>
      <c r="S1" s="488"/>
      <c r="T1" s="194" t="s">
        <v>270</v>
      </c>
    </row>
    <row r="2" spans="1:20" ht="20.25" customHeight="1" x14ac:dyDescent="0.3">
      <c r="A2" s="517" t="str">
        <f>'Mapa de Riesgos'!A2</f>
        <v>F - PL - 13</v>
      </c>
      <c r="B2" s="517"/>
      <c r="C2" s="517"/>
      <c r="D2" s="536" t="str">
        <f>'Mapa de Riesgos'!D2</f>
        <v>MAPA DE RIESGOS INSTITUCIONAL</v>
      </c>
      <c r="E2" s="536"/>
      <c r="F2" s="536"/>
      <c r="G2" s="536"/>
      <c r="H2" s="536"/>
      <c r="I2" s="536"/>
      <c r="J2" s="536"/>
      <c r="K2" s="536"/>
      <c r="L2" s="536"/>
      <c r="M2" s="536"/>
      <c r="N2" s="536"/>
      <c r="O2" s="536"/>
      <c r="P2" s="536"/>
      <c r="Q2" s="536"/>
      <c r="R2" s="536"/>
      <c r="S2" s="536"/>
      <c r="T2" s="215" t="str">
        <f>'Mapa de Riesgos'!AE2</f>
        <v>VERSIÓN: 7.0</v>
      </c>
    </row>
    <row r="3" spans="1:20" x14ac:dyDescent="0.3">
      <c r="A3" s="200"/>
      <c r="B3" s="200"/>
      <c r="C3" s="200"/>
      <c r="D3" s="200"/>
      <c r="E3" s="200"/>
      <c r="F3" s="200"/>
      <c r="G3" s="200"/>
      <c r="H3" s="200"/>
      <c r="I3" s="200"/>
      <c r="J3" s="200"/>
      <c r="K3" s="200"/>
      <c r="L3" s="200"/>
      <c r="M3" s="200"/>
      <c r="N3" s="200"/>
      <c r="O3" s="200"/>
      <c r="P3" s="200"/>
      <c r="Q3" s="200"/>
      <c r="R3" s="200"/>
      <c r="S3" s="200"/>
      <c r="T3" s="200"/>
    </row>
    <row r="4" spans="1:20" ht="35.25" customHeight="1" x14ac:dyDescent="0.3">
      <c r="A4" s="482" t="s">
        <v>221</v>
      </c>
      <c r="B4" s="482"/>
      <c r="C4" s="482"/>
      <c r="D4" s="487" t="str">
        <f>'Mapa de Riesgos'!D4</f>
        <v>ADMISIONES Y MATRÍCULAS</v>
      </c>
      <c r="E4" s="487"/>
      <c r="F4" s="487"/>
      <c r="G4" s="487"/>
      <c r="H4" s="487"/>
      <c r="I4" s="487"/>
      <c r="J4" s="483" t="s">
        <v>223</v>
      </c>
      <c r="K4" s="483"/>
      <c r="L4" s="483"/>
      <c r="M4" s="483"/>
      <c r="N4" s="484">
        <f>'Mapa de Riesgos'!R4</f>
        <v>0</v>
      </c>
      <c r="O4" s="484"/>
      <c r="P4" s="484"/>
      <c r="Q4" s="484"/>
      <c r="R4" s="484"/>
      <c r="S4" s="484"/>
      <c r="T4" s="484"/>
    </row>
    <row r="5" spans="1:20" ht="35.25" customHeight="1" x14ac:dyDescent="0.3">
      <c r="A5" s="482" t="s">
        <v>224</v>
      </c>
      <c r="B5" s="482"/>
      <c r="C5" s="482"/>
      <c r="D5" s="487" t="str">
        <f>'Mapa de Riesgos'!D5</f>
        <v>Grupo de Admisiones, Registro y Control Académico</v>
      </c>
      <c r="E5" s="487"/>
      <c r="F5" s="487"/>
      <c r="G5" s="487"/>
      <c r="H5" s="487"/>
      <c r="I5" s="487"/>
      <c r="J5" s="483" t="s">
        <v>226</v>
      </c>
      <c r="K5" s="483"/>
      <c r="L5" s="483"/>
      <c r="M5" s="483"/>
      <c r="N5" s="486">
        <f>'Mapa de Riesgos'!R5</f>
        <v>0</v>
      </c>
      <c r="O5" s="486"/>
      <c r="P5" s="486"/>
      <c r="Q5" s="486"/>
      <c r="R5" s="486"/>
      <c r="S5" s="486"/>
      <c r="T5" s="486"/>
    </row>
    <row r="6" spans="1:20" ht="17.25" thickBot="1" x14ac:dyDescent="0.35">
      <c r="A6" s="446"/>
      <c r="B6" s="446"/>
      <c r="C6" s="446"/>
      <c r="D6" s="446"/>
      <c r="E6" s="446"/>
      <c r="F6" s="446"/>
      <c r="G6" s="446"/>
      <c r="H6" s="446"/>
      <c r="I6" s="446"/>
      <c r="J6" s="446"/>
      <c r="K6" s="446"/>
      <c r="L6" s="446"/>
      <c r="M6" s="446"/>
      <c r="N6" s="446"/>
      <c r="O6" s="446"/>
      <c r="P6" s="446"/>
      <c r="Q6" s="446"/>
      <c r="R6" s="446"/>
      <c r="S6" s="446"/>
      <c r="T6" s="446"/>
    </row>
    <row r="7" spans="1:20" ht="59.25" customHeight="1" thickBot="1" x14ac:dyDescent="0.35">
      <c r="A7" s="526" t="str">
        <f>'Mapa de Riesgos'!A7</f>
        <v>IDENTIFICACIÓN DEL RIESGO</v>
      </c>
      <c r="B7" s="527"/>
      <c r="C7" s="527"/>
      <c r="D7" s="527"/>
      <c r="E7" s="527"/>
      <c r="F7" s="527"/>
      <c r="G7" s="528"/>
      <c r="H7" s="189" t="str">
        <f>'Mapa de Riesgos'!H7</f>
        <v>ANÁLISIS DEL RIESGO INHERENTE</v>
      </c>
      <c r="I7" s="529" t="str">
        <f>'Mapa de Riesgos'!Q7</f>
        <v>EVALUACIÓN DEL RIESGO - VALORACIÓN DE LOS CONTROLES</v>
      </c>
      <c r="J7" s="529"/>
      <c r="K7" s="529"/>
      <c r="L7" s="529"/>
      <c r="M7" s="529"/>
      <c r="N7" s="529"/>
      <c r="O7" s="529"/>
      <c r="P7" s="529" t="str">
        <f>'Mapa de Riesgos'!Z7</f>
        <v>EVALUACIÓN DEL RIESGO - NIVEL DEL RIESGO RESIDUAL</v>
      </c>
      <c r="Q7" s="530"/>
      <c r="R7" s="531" t="s">
        <v>271</v>
      </c>
      <c r="S7" s="532"/>
      <c r="T7" s="533"/>
    </row>
    <row r="8" spans="1:20" ht="16.5" customHeight="1" x14ac:dyDescent="0.3">
      <c r="A8" s="534" t="str">
        <f>'Mapa de Riesgos'!A8</f>
        <v>No. Riesgo</v>
      </c>
      <c r="B8" s="511" t="str">
        <f>'Mapa de Riesgos'!B8</f>
        <v>Categoría del Riesgo</v>
      </c>
      <c r="C8" s="511" t="str">
        <f>'Mapa de Riesgos'!C8</f>
        <v>Clasificación del Riesgo</v>
      </c>
      <c r="D8" s="514" t="str">
        <f>'Mapa de Riesgos'!D8</f>
        <v>Descripción del Riesgo</v>
      </c>
      <c r="E8" s="516" t="str">
        <f>'Mapa de Riesgos'!E8</f>
        <v>Factores</v>
      </c>
      <c r="F8" s="511" t="str">
        <f>'Mapa de Riesgos'!F8</f>
        <v>Causas</v>
      </c>
      <c r="G8" s="508" t="str">
        <f>'Mapa de Riesgos'!G8</f>
        <v>Consecuencias</v>
      </c>
      <c r="H8" s="512" t="str">
        <f>'Mapa de Riesgos'!P8</f>
        <v>Zona de Riesgo Inherente</v>
      </c>
      <c r="I8" s="515" t="str">
        <f>'Mapa de Riesgos'!Q8</f>
        <v>No. Control</v>
      </c>
      <c r="J8" s="511" t="str">
        <f>'Mapa de Riesgos'!R8</f>
        <v>Descripción del Control</v>
      </c>
      <c r="K8" s="510" t="s">
        <v>243</v>
      </c>
      <c r="L8" s="510"/>
      <c r="M8" s="510"/>
      <c r="N8" s="510"/>
      <c r="O8" s="510"/>
      <c r="P8" s="511" t="str">
        <f>'Mapa de Riesgos'!AE8</f>
        <v>Zona de Riesgo Final</v>
      </c>
      <c r="Q8" s="508" t="str">
        <f>'Mapa de Riesgos'!AF8</f>
        <v>Tratamiento</v>
      </c>
      <c r="R8" s="512" t="s">
        <v>272</v>
      </c>
      <c r="S8" s="511" t="s">
        <v>273</v>
      </c>
      <c r="T8" s="508" t="s">
        <v>274</v>
      </c>
    </row>
    <row r="9" spans="1:20" s="183" customFormat="1" ht="94.5" customHeight="1" x14ac:dyDescent="0.25">
      <c r="A9" s="535"/>
      <c r="B9" s="441"/>
      <c r="C9" s="441"/>
      <c r="D9" s="468"/>
      <c r="E9" s="514"/>
      <c r="F9" s="441"/>
      <c r="G9" s="509"/>
      <c r="H9" s="513"/>
      <c r="I9" s="466"/>
      <c r="J9" s="441"/>
      <c r="K9" s="190" t="str">
        <f>'Mapa de Riesgos'!T9</f>
        <v>Tipo</v>
      </c>
      <c r="L9" s="190" t="str">
        <f>'Mapa de Riesgos'!U9</f>
        <v>Implementación</v>
      </c>
      <c r="M9" s="190" t="str">
        <f>'Mapa de Riesgos'!W9</f>
        <v>Documentación</v>
      </c>
      <c r="N9" s="190" t="str">
        <f>'Mapa de Riesgos'!X9</f>
        <v>Frecuencia</v>
      </c>
      <c r="O9" s="190" t="str">
        <f>'Mapa de Riesgos'!Y9</f>
        <v>Evidencia</v>
      </c>
      <c r="P9" s="441"/>
      <c r="Q9" s="509"/>
      <c r="R9" s="513"/>
      <c r="S9" s="441"/>
      <c r="T9" s="509"/>
    </row>
    <row r="10" spans="1:20" s="184" customFormat="1" ht="171.75" customHeight="1" x14ac:dyDescent="0.25">
      <c r="A10" s="502">
        <f>'Mapa de Riesgos'!A10</f>
        <v>1</v>
      </c>
      <c r="B10" s="504" t="str">
        <f>'Mapa de Riesgos'!B10</f>
        <v>GESTIÓN</v>
      </c>
      <c r="C10" s="504" t="str">
        <f>'Mapa de Riesgos'!C10</f>
        <v>Usuarios, productos y practicas , organizacionales</v>
      </c>
      <c r="D10" s="506" t="str">
        <f>'Mapa de Riesgos'!D10</f>
        <v>Atención no oportuna durante el proceso de inscripción.</v>
      </c>
      <c r="E10" s="261" t="str">
        <f>'Mapa de Riesgos'!E10</f>
        <v>Factores Internos (Debilidades)</v>
      </c>
      <c r="F10" s="262" t="str">
        <f>'Mapa de Riesgos'!F10</f>
        <v>1. Insuficiencia de personal para  la atención.
2. Falta de conocimiento sobre el proceso</v>
      </c>
      <c r="G10" s="251" t="str">
        <f>'Mapa de Riesgos'!G10</f>
        <v>1. Pérdida de aspirantes
2. Disminución de ingresos económicos</v>
      </c>
      <c r="H10" s="500" t="str">
        <f>'Mapa de Riesgos'!P10</f>
        <v>Bajo</v>
      </c>
      <c r="I10" s="249">
        <f>'Mapa de Riesgos'!Q10</f>
        <v>1</v>
      </c>
      <c r="J10" s="263" t="str">
        <f>'Mapa de Riesgos'!R10</f>
        <v>Capacitaciones sobre atención al público y del proceso de inscripción, al personal del grupo de admisiones, registro y control académico</v>
      </c>
      <c r="K10" s="250" t="str">
        <f>'Mapa de Riesgos'!T10</f>
        <v>Preventivo</v>
      </c>
      <c r="L10" s="250" t="str">
        <f>'Mapa de Riesgos'!U10</f>
        <v>Manual</v>
      </c>
      <c r="M10" s="250" t="str">
        <f>'Mapa de Riesgos'!W10</f>
        <v>Documentado</v>
      </c>
      <c r="N10" s="250" t="str">
        <f>'Mapa de Riesgos'!X10</f>
        <v>Aleatoria</v>
      </c>
      <c r="O10" s="250" t="str">
        <f>'Mapa de Riesgos'!Y10</f>
        <v>Con Registro</v>
      </c>
      <c r="P10" s="230" t="str">
        <f>'Mapa de Riesgos'!AE10</f>
        <v>Bajo</v>
      </c>
      <c r="Q10" s="251" t="str">
        <f>'Mapa de Riesgos'!AF10</f>
        <v>Reducir (mitigar)</v>
      </c>
      <c r="R10" s="252" t="s">
        <v>275</v>
      </c>
      <c r="S10" s="243" t="s">
        <v>276</v>
      </c>
      <c r="T10" s="253" t="s">
        <v>277</v>
      </c>
    </row>
    <row r="11" spans="1:20" ht="170.25" customHeight="1" x14ac:dyDescent="0.3">
      <c r="A11" s="502"/>
      <c r="B11" s="504"/>
      <c r="C11" s="504"/>
      <c r="D11" s="506"/>
      <c r="E11" s="261">
        <f>'Mapa de Riesgos'!E11</f>
        <v>0</v>
      </c>
      <c r="F11" s="262">
        <f>'Mapa de Riesgos'!F11</f>
        <v>0</v>
      </c>
      <c r="G11" s="251">
        <f>'Mapa de Riesgos'!G11</f>
        <v>0</v>
      </c>
      <c r="H11" s="500"/>
      <c r="I11" s="249">
        <f>'Mapa de Riesgos'!Q11</f>
        <v>2</v>
      </c>
      <c r="J11" s="263"/>
      <c r="K11" s="250"/>
      <c r="L11" s="250"/>
      <c r="M11" s="250"/>
      <c r="N11" s="250"/>
      <c r="O11" s="250"/>
      <c r="P11" s="230"/>
      <c r="Q11" s="251"/>
      <c r="R11" s="252"/>
      <c r="S11" s="243"/>
      <c r="T11" s="254"/>
    </row>
    <row r="12" spans="1:20" ht="43.5" customHeight="1" x14ac:dyDescent="0.3">
      <c r="A12" s="502"/>
      <c r="B12" s="504"/>
      <c r="C12" s="504"/>
      <c r="D12" s="506"/>
      <c r="E12" s="261">
        <f>'Mapa de Riesgos'!E12</f>
        <v>0</v>
      </c>
      <c r="F12" s="262">
        <f>'Mapa de Riesgos'!F12</f>
        <v>0</v>
      </c>
      <c r="G12" s="251">
        <f>'Mapa de Riesgos'!G12</f>
        <v>0</v>
      </c>
      <c r="H12" s="500"/>
      <c r="I12" s="249">
        <f>'Mapa de Riesgos'!Q12</f>
        <v>3</v>
      </c>
      <c r="J12" s="263">
        <f>'Mapa de Riesgos'!R12</f>
        <v>0</v>
      </c>
      <c r="K12" s="250">
        <f>'Mapa de Riesgos'!T12</f>
        <v>0</v>
      </c>
      <c r="L12" s="250">
        <f>'Mapa de Riesgos'!U12</f>
        <v>0</v>
      </c>
      <c r="M12" s="250">
        <f>'Mapa de Riesgos'!W12</f>
        <v>0</v>
      </c>
      <c r="N12" s="250">
        <f>'Mapa de Riesgos'!X12</f>
        <v>0</v>
      </c>
      <c r="O12" s="250">
        <f>'Mapa de Riesgos'!Y12</f>
        <v>0</v>
      </c>
      <c r="P12" s="230" t="str">
        <f>'Mapa de Riesgos'!AE12</f>
        <v/>
      </c>
      <c r="Q12" s="251">
        <f>'Mapa de Riesgos'!AF12</f>
        <v>0</v>
      </c>
      <c r="R12" s="252"/>
      <c r="S12" s="245"/>
      <c r="T12" s="254"/>
    </row>
    <row r="13" spans="1:20" ht="49.5" customHeight="1" x14ac:dyDescent="0.3">
      <c r="A13" s="502"/>
      <c r="B13" s="504"/>
      <c r="C13" s="504"/>
      <c r="D13" s="506"/>
      <c r="E13" s="261">
        <f>'Mapa de Riesgos'!E13</f>
        <v>0</v>
      </c>
      <c r="F13" s="262">
        <f>'Mapa de Riesgos'!F13</f>
        <v>0</v>
      </c>
      <c r="G13" s="251">
        <f>'Mapa de Riesgos'!G13</f>
        <v>0</v>
      </c>
      <c r="H13" s="500"/>
      <c r="I13" s="249">
        <f>'Mapa de Riesgos'!Q13</f>
        <v>4</v>
      </c>
      <c r="J13" s="263">
        <f>'Mapa de Riesgos'!R13</f>
        <v>0</v>
      </c>
      <c r="K13" s="250">
        <f>'Mapa de Riesgos'!T13</f>
        <v>0</v>
      </c>
      <c r="L13" s="250">
        <f>'Mapa de Riesgos'!U13</f>
        <v>0</v>
      </c>
      <c r="M13" s="250">
        <f>'Mapa de Riesgos'!W13</f>
        <v>0</v>
      </c>
      <c r="N13" s="250">
        <f>'Mapa de Riesgos'!X13</f>
        <v>0</v>
      </c>
      <c r="O13" s="250">
        <f>'Mapa de Riesgos'!Y13</f>
        <v>0</v>
      </c>
      <c r="P13" s="230" t="str">
        <f>'Mapa de Riesgos'!AE13</f>
        <v/>
      </c>
      <c r="Q13" s="251">
        <f>'Mapa de Riesgos'!AF13</f>
        <v>0</v>
      </c>
      <c r="R13" s="252"/>
      <c r="S13" s="245"/>
      <c r="T13" s="254"/>
    </row>
    <row r="14" spans="1:20" ht="49.5" customHeight="1" x14ac:dyDescent="0.3">
      <c r="A14" s="502"/>
      <c r="B14" s="504"/>
      <c r="C14" s="504"/>
      <c r="D14" s="506"/>
      <c r="E14" s="261">
        <f>'Mapa de Riesgos'!E14</f>
        <v>0</v>
      </c>
      <c r="F14" s="262">
        <f>'Mapa de Riesgos'!F14</f>
        <v>0</v>
      </c>
      <c r="G14" s="251">
        <f>'Mapa de Riesgos'!G14</f>
        <v>0</v>
      </c>
      <c r="H14" s="500"/>
      <c r="I14" s="249">
        <f>'Mapa de Riesgos'!Q14</f>
        <v>5</v>
      </c>
      <c r="J14" s="263">
        <f>'Mapa de Riesgos'!R14</f>
        <v>0</v>
      </c>
      <c r="K14" s="250">
        <f>'Mapa de Riesgos'!T14</f>
        <v>0</v>
      </c>
      <c r="L14" s="250">
        <f>'Mapa de Riesgos'!U14</f>
        <v>0</v>
      </c>
      <c r="M14" s="250">
        <f>'Mapa de Riesgos'!W14</f>
        <v>0</v>
      </c>
      <c r="N14" s="250">
        <f>'Mapa de Riesgos'!X14</f>
        <v>0</v>
      </c>
      <c r="O14" s="250">
        <f>'Mapa de Riesgos'!Y14</f>
        <v>0</v>
      </c>
      <c r="P14" s="230" t="str">
        <f>'Mapa de Riesgos'!AE14</f>
        <v/>
      </c>
      <c r="Q14" s="251">
        <f>'Mapa de Riesgos'!AF14</f>
        <v>0</v>
      </c>
      <c r="R14" s="252"/>
      <c r="S14" s="245"/>
      <c r="T14" s="254"/>
    </row>
    <row r="15" spans="1:20" ht="49.5" customHeight="1" thickBot="1" x14ac:dyDescent="0.35">
      <c r="A15" s="503"/>
      <c r="B15" s="505"/>
      <c r="C15" s="505"/>
      <c r="D15" s="507"/>
      <c r="E15" s="264">
        <f>'Mapa de Riesgos'!E15</f>
        <v>0</v>
      </c>
      <c r="F15" s="265">
        <f>'Mapa de Riesgos'!F15</f>
        <v>0</v>
      </c>
      <c r="G15" s="257">
        <f>'Mapa de Riesgos'!G15</f>
        <v>0</v>
      </c>
      <c r="H15" s="501"/>
      <c r="I15" s="255">
        <f>'Mapa de Riesgos'!Q15</f>
        <v>6</v>
      </c>
      <c r="J15" s="266">
        <f>'Mapa de Riesgos'!R15</f>
        <v>0</v>
      </c>
      <c r="K15" s="256">
        <f>'Mapa de Riesgos'!T15</f>
        <v>0</v>
      </c>
      <c r="L15" s="256">
        <f>'Mapa de Riesgos'!U15</f>
        <v>0</v>
      </c>
      <c r="M15" s="256">
        <f>'Mapa de Riesgos'!W15</f>
        <v>0</v>
      </c>
      <c r="N15" s="256">
        <f>'Mapa de Riesgos'!X15</f>
        <v>0</v>
      </c>
      <c r="O15" s="256">
        <f>'Mapa de Riesgos'!Y15</f>
        <v>0</v>
      </c>
      <c r="P15" s="238" t="str">
        <f>'Mapa de Riesgos'!AE15</f>
        <v/>
      </c>
      <c r="Q15" s="257">
        <f>'Mapa de Riesgos'!AF15</f>
        <v>0</v>
      </c>
      <c r="R15" s="258"/>
      <c r="S15" s="259"/>
      <c r="T15" s="260"/>
    </row>
    <row r="16" spans="1:20" x14ac:dyDescent="0.3">
      <c r="A16" s="197"/>
      <c r="B16" s="197"/>
      <c r="C16" s="197"/>
      <c r="D16" s="4"/>
      <c r="E16" s="4"/>
      <c r="F16" s="198"/>
      <c r="G16" s="198"/>
      <c r="H16" s="4"/>
      <c r="I16" s="4"/>
      <c r="J16" s="4"/>
      <c r="K16" s="4"/>
      <c r="L16" s="4"/>
      <c r="M16" s="4"/>
      <c r="N16" s="4"/>
      <c r="O16" s="4"/>
      <c r="P16" s="4"/>
      <c r="Q16" s="4"/>
      <c r="R16" s="4"/>
    </row>
    <row r="17" spans="1:20" customFormat="1" ht="15" x14ac:dyDescent="0.25">
      <c r="A17" s="73"/>
      <c r="B17" s="73"/>
      <c r="C17" s="73"/>
      <c r="D17" s="73"/>
      <c r="E17" s="73"/>
      <c r="F17" s="73"/>
      <c r="G17" s="73"/>
      <c r="H17" s="73"/>
      <c r="I17" s="73"/>
      <c r="J17" s="73"/>
      <c r="K17" s="73"/>
      <c r="L17" s="73"/>
      <c r="M17" s="73"/>
      <c r="N17" s="73"/>
      <c r="O17" s="73"/>
      <c r="P17" s="73"/>
      <c r="Q17" s="73"/>
      <c r="R17" s="73"/>
    </row>
    <row r="18" spans="1:20" s="5" customFormat="1" ht="24.75" customHeight="1" x14ac:dyDescent="0.2">
      <c r="A18" s="491" t="s">
        <v>211</v>
      </c>
      <c r="B18" s="491"/>
      <c r="C18" s="492" t="s">
        <v>212</v>
      </c>
      <c r="D18" s="492"/>
      <c r="E18" s="492"/>
      <c r="F18" s="492"/>
      <c r="G18" s="518" t="s">
        <v>213</v>
      </c>
      <c r="H18" s="520" t="str">
        <f>'Mapa de Riesgos'!H18</f>
        <v>SISTEMA INTEGRADO DE GESTIÓN SIG</v>
      </c>
      <c r="I18" s="521"/>
      <c r="J18" s="521"/>
      <c r="K18" s="521"/>
      <c r="L18" s="521"/>
      <c r="M18" s="521"/>
      <c r="N18" s="521"/>
      <c r="O18" s="522"/>
      <c r="P18" s="491" t="s">
        <v>215</v>
      </c>
      <c r="Q18" s="491"/>
      <c r="R18" s="492" t="str">
        <f>'Mapa de Riesgos'!T18</f>
        <v>LÍDER DEL SISTEMA INTEGRADO DE GESTIÓN</v>
      </c>
      <c r="S18" s="492"/>
      <c r="T18" s="492"/>
    </row>
    <row r="19" spans="1:20" s="5" customFormat="1" ht="24.75" customHeight="1" x14ac:dyDescent="0.2">
      <c r="A19" s="491"/>
      <c r="B19" s="491"/>
      <c r="C19" s="492"/>
      <c r="D19" s="492"/>
      <c r="E19" s="492"/>
      <c r="F19" s="492"/>
      <c r="G19" s="519"/>
      <c r="H19" s="523"/>
      <c r="I19" s="524"/>
      <c r="J19" s="524"/>
      <c r="K19" s="524"/>
      <c r="L19" s="524"/>
      <c r="M19" s="524"/>
      <c r="N19" s="524"/>
      <c r="O19" s="525"/>
      <c r="P19" s="491" t="s">
        <v>269</v>
      </c>
      <c r="Q19" s="491"/>
      <c r="R19" s="492" t="str">
        <f>'Mapa de Riesgos'!T19</f>
        <v>ABRIL DE 2022</v>
      </c>
      <c r="S19" s="492"/>
      <c r="T19" s="492"/>
    </row>
    <row r="20" spans="1:20" customFormat="1" ht="15" x14ac:dyDescent="0.25"/>
  </sheetData>
  <dataConsolidate/>
  <mergeCells count="46">
    <mergeCell ref="D1:S1"/>
    <mergeCell ref="D2:S2"/>
    <mergeCell ref="D4:I4"/>
    <mergeCell ref="D5:I5"/>
    <mergeCell ref="N4:T4"/>
    <mergeCell ref="N5:T5"/>
    <mergeCell ref="A5:C5"/>
    <mergeCell ref="J5:M5"/>
    <mergeCell ref="A6:T6"/>
    <mergeCell ref="A4:C4"/>
    <mergeCell ref="J4:M4"/>
    <mergeCell ref="A1:C1"/>
    <mergeCell ref="A2:C2"/>
    <mergeCell ref="P18:Q18"/>
    <mergeCell ref="P19:Q19"/>
    <mergeCell ref="R18:T18"/>
    <mergeCell ref="R19:T19"/>
    <mergeCell ref="C18:F19"/>
    <mergeCell ref="G18:G19"/>
    <mergeCell ref="H18:O19"/>
    <mergeCell ref="A18:B19"/>
    <mergeCell ref="A7:G7"/>
    <mergeCell ref="I7:O7"/>
    <mergeCell ref="P7:Q7"/>
    <mergeCell ref="R7:T7"/>
    <mergeCell ref="A8:A9"/>
    <mergeCell ref="B8:B9"/>
    <mergeCell ref="C8:C9"/>
    <mergeCell ref="D8:D9"/>
    <mergeCell ref="J8:J9"/>
    <mergeCell ref="F8:F9"/>
    <mergeCell ref="G8:G9"/>
    <mergeCell ref="H8:H9"/>
    <mergeCell ref="I8:I9"/>
    <mergeCell ref="E8:E9"/>
    <mergeCell ref="T8:T9"/>
    <mergeCell ref="K8:O8"/>
    <mergeCell ref="P8:P9"/>
    <mergeCell ref="Q8:Q9"/>
    <mergeCell ref="R8:R9"/>
    <mergeCell ref="S8:S9"/>
    <mergeCell ref="H10:H15"/>
    <mergeCell ref="A10:A15"/>
    <mergeCell ref="B10:B15"/>
    <mergeCell ref="C10:C15"/>
    <mergeCell ref="D10:D15"/>
  </mergeCells>
  <conditionalFormatting sqref="H10">
    <cfRule type="cellIs" dxfId="11" priority="495" operator="equal">
      <formula>"Extremo"</formula>
    </cfRule>
    <cfRule type="cellIs" dxfId="10" priority="496" operator="equal">
      <formula>"Alto"</formula>
    </cfRule>
    <cfRule type="cellIs" dxfId="9" priority="497" operator="equal">
      <formula>"Moderado"</formula>
    </cfRule>
    <cfRule type="cellIs" dxfId="8" priority="498" operator="equal">
      <formula>"Bajo"</formula>
    </cfRule>
  </conditionalFormatting>
  <conditionalFormatting sqref="P10:P15">
    <cfRule type="cellIs" dxfId="7" priority="1" operator="equal">
      <formula>"Extremo"</formula>
    </cfRule>
    <cfRule type="cellIs" dxfId="6" priority="2" operator="equal">
      <formula>"Alto"</formula>
    </cfRule>
    <cfRule type="cellIs" dxfId="5" priority="3" operator="equal">
      <formula>"Moderado"</formula>
    </cfRule>
    <cfRule type="cellIs" dxfId="4" priority="4" operator="equal">
      <formula>"Bajo"</formula>
    </cfRule>
  </conditionalFormatting>
  <pageMargins left="0.7" right="0.7" top="0.75" bottom="0.75" header="0.3" footer="0.3"/>
  <pageSetup orientation="portrait" r:id="rId1"/>
  <ignoredErrors>
    <ignoredError sqref="Q10 J10:O10 B10:D15 J12:O15 Q12:Q15"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'Opciones Tratamiento'!$G$18:$G$21</xm:f>
          </x14:formula1>
          <xm:sqref>T10:T15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39997558519241921"/>
  </sheetPr>
  <dimension ref="A1:V21"/>
  <sheetViews>
    <sheetView tabSelected="1" zoomScale="69" zoomScaleNormal="69" workbookViewId="0">
      <selection activeCell="L10" sqref="L10"/>
    </sheetView>
  </sheetViews>
  <sheetFormatPr baseColWidth="10" defaultColWidth="11.42578125" defaultRowHeight="16.5" x14ac:dyDescent="0.3"/>
  <cols>
    <col min="1" max="1" width="5.85546875" style="2" customWidth="1"/>
    <col min="2" max="2" width="16.140625" style="2" customWidth="1"/>
    <col min="3" max="3" width="19" style="2" customWidth="1"/>
    <col min="4" max="4" width="25.42578125" style="1" customWidth="1"/>
    <col min="5" max="5" width="19.5703125" style="1" customWidth="1"/>
    <col min="6" max="6" width="32.42578125" style="1" customWidth="1"/>
    <col min="7" max="7" width="31.42578125" style="3" customWidth="1"/>
    <col min="8" max="8" width="23" style="1" customWidth="1"/>
    <col min="9" max="9" width="18.85546875" style="1" customWidth="1"/>
    <col min="10" max="10" width="21.85546875" style="1" customWidth="1"/>
    <col min="11" max="11" width="20.28515625" style="1" customWidth="1"/>
    <col min="12" max="12" width="32.5703125" style="1" customWidth="1"/>
    <col min="13" max="13" width="38.85546875" style="1" customWidth="1"/>
    <col min="14" max="14" width="18" style="1" customWidth="1"/>
    <col min="15" max="15" width="22.85546875" style="1" customWidth="1"/>
    <col min="16" max="16" width="31.28515625" style="1" customWidth="1"/>
    <col min="17" max="17" width="35.5703125" style="1" customWidth="1"/>
    <col min="18" max="18" width="18.5703125" style="1" customWidth="1"/>
    <col min="19" max="19" width="19.85546875" style="1" customWidth="1"/>
    <col min="20" max="20" width="28.28515625" style="1" customWidth="1"/>
    <col min="21" max="22" width="18.5703125" style="1" customWidth="1"/>
    <col min="23" max="16384" width="11.42578125" style="1"/>
  </cols>
  <sheetData>
    <row r="1" spans="1:22" ht="79.5" customHeight="1" x14ac:dyDescent="0.3">
      <c r="A1" s="489"/>
      <c r="B1" s="489"/>
      <c r="C1" s="489"/>
      <c r="D1" s="488" t="str">
        <f>'Mapa de Riesgos'!D1</f>
        <v>PLANEACIÓN INSTITUCIONAL</v>
      </c>
      <c r="E1" s="488"/>
      <c r="F1" s="488"/>
      <c r="G1" s="488"/>
      <c r="H1" s="488"/>
      <c r="I1" s="488"/>
      <c r="J1" s="488"/>
      <c r="K1" s="488"/>
      <c r="L1" s="488"/>
      <c r="M1" s="488"/>
      <c r="N1" s="488"/>
      <c r="O1" s="488"/>
      <c r="P1" s="488"/>
      <c r="Q1" s="488"/>
      <c r="R1" s="488"/>
      <c r="S1" s="488"/>
      <c r="T1" s="488"/>
      <c r="U1" s="488"/>
      <c r="V1" s="488"/>
    </row>
    <row r="2" spans="1:22" ht="20.25" customHeight="1" x14ac:dyDescent="0.3">
      <c r="A2" s="517" t="str">
        <f>'Mapa de Riesgos'!A2</f>
        <v>F - PL - 13</v>
      </c>
      <c r="B2" s="517"/>
      <c r="C2" s="517"/>
      <c r="D2" s="536" t="str">
        <f>'Mapa de Riesgos'!D2</f>
        <v>MAPA DE RIESGOS INSTITUCIONAL</v>
      </c>
      <c r="E2" s="536"/>
      <c r="F2" s="536"/>
      <c r="G2" s="536"/>
      <c r="H2" s="536"/>
      <c r="I2" s="536"/>
      <c r="J2" s="536"/>
      <c r="K2" s="536"/>
      <c r="L2" s="536"/>
      <c r="M2" s="536"/>
      <c r="N2" s="536"/>
      <c r="O2" s="536"/>
      <c r="P2" s="536"/>
      <c r="Q2" s="536"/>
      <c r="R2" s="536"/>
      <c r="S2" s="536"/>
      <c r="T2" s="536"/>
      <c r="U2" s="536"/>
      <c r="V2" s="536"/>
    </row>
    <row r="3" spans="1:22" x14ac:dyDescent="0.3">
      <c r="A3" s="200"/>
      <c r="B3" s="200"/>
      <c r="C3" s="200"/>
      <c r="D3" s="200"/>
      <c r="E3" s="200"/>
      <c r="F3" s="200"/>
      <c r="G3" s="200"/>
      <c r="H3" s="200"/>
      <c r="I3" s="200"/>
      <c r="J3" s="200"/>
      <c r="K3" s="200"/>
      <c r="L3" s="200"/>
      <c r="M3" s="200"/>
      <c r="N3" s="200"/>
      <c r="O3" s="200"/>
      <c r="P3" s="200"/>
      <c r="Q3" s="200"/>
      <c r="R3" s="200"/>
      <c r="S3" s="200"/>
      <c r="T3" s="200"/>
      <c r="U3" s="200"/>
      <c r="V3" s="200"/>
    </row>
    <row r="4" spans="1:22" ht="35.25" customHeight="1" x14ac:dyDescent="0.3">
      <c r="A4" s="482" t="s">
        <v>221</v>
      </c>
      <c r="B4" s="482"/>
      <c r="C4" s="482"/>
      <c r="D4" s="487" t="str">
        <f>'Mapa de Riesgos'!D4</f>
        <v>ADMISIONES Y MATRÍCULAS</v>
      </c>
      <c r="E4" s="487"/>
      <c r="F4" s="487"/>
      <c r="G4" s="487"/>
      <c r="H4" s="487"/>
      <c r="I4" s="487"/>
      <c r="J4" s="487"/>
      <c r="K4" s="483" t="s">
        <v>223</v>
      </c>
      <c r="L4" s="483"/>
      <c r="M4" s="484">
        <v>2025</v>
      </c>
      <c r="N4" s="484"/>
      <c r="O4" s="484"/>
      <c r="P4" s="484"/>
      <c r="Q4" s="484"/>
      <c r="R4" s="484"/>
      <c r="S4" s="484"/>
      <c r="T4" s="484"/>
      <c r="U4" s="484"/>
      <c r="V4" s="484"/>
    </row>
    <row r="5" spans="1:22" ht="35.25" customHeight="1" x14ac:dyDescent="0.3">
      <c r="A5" s="482" t="s">
        <v>224</v>
      </c>
      <c r="B5" s="482"/>
      <c r="C5" s="482"/>
      <c r="D5" s="487" t="str">
        <f>'Mapa de Riesgos'!D5</f>
        <v>Grupo de Admisiones, Registro y Control Académico</v>
      </c>
      <c r="E5" s="487"/>
      <c r="F5" s="487"/>
      <c r="G5" s="487"/>
      <c r="H5" s="487"/>
      <c r="I5" s="487"/>
      <c r="J5" s="487"/>
      <c r="K5" s="483" t="s">
        <v>226</v>
      </c>
      <c r="L5" s="483"/>
      <c r="M5" s="544" t="s">
        <v>422</v>
      </c>
      <c r="N5" s="544"/>
      <c r="O5" s="544"/>
      <c r="P5" s="544"/>
      <c r="Q5" s="544"/>
      <c r="R5" s="544"/>
      <c r="S5" s="544"/>
      <c r="T5" s="544"/>
      <c r="U5" s="544"/>
      <c r="V5" s="544"/>
    </row>
    <row r="6" spans="1:22" ht="17.25" thickBot="1" x14ac:dyDescent="0.35">
      <c r="A6" s="446"/>
      <c r="B6" s="446"/>
      <c r="C6" s="446"/>
      <c r="D6" s="446"/>
      <c r="E6" s="446"/>
      <c r="F6" s="446"/>
      <c r="G6" s="446"/>
      <c r="H6" s="446"/>
      <c r="I6" s="446"/>
      <c r="J6" s="446"/>
      <c r="K6" s="446"/>
      <c r="L6" s="446"/>
      <c r="M6" s="446"/>
      <c r="N6" s="446"/>
      <c r="O6" s="446"/>
      <c r="P6" s="446"/>
      <c r="Q6" s="446"/>
      <c r="R6" s="446"/>
      <c r="S6" s="446"/>
      <c r="T6" s="446"/>
      <c r="U6" s="446"/>
      <c r="V6" s="446"/>
    </row>
    <row r="7" spans="1:22" ht="49.5" customHeight="1" thickBot="1" x14ac:dyDescent="0.35">
      <c r="A7" s="526" t="str">
        <f>'Mapa de Riesgos'!A7</f>
        <v>IDENTIFICACIÓN DEL RIESGO</v>
      </c>
      <c r="B7" s="527"/>
      <c r="C7" s="527"/>
      <c r="D7" s="527"/>
      <c r="E7" s="527"/>
      <c r="F7" s="527"/>
      <c r="G7" s="548"/>
      <c r="H7" s="552" t="str">
        <f>'Plan de Acción'!R7</f>
        <v>PLAN DE ACCIÓN</v>
      </c>
      <c r="I7" s="553"/>
      <c r="J7" s="554"/>
      <c r="K7" s="555" t="s">
        <v>278</v>
      </c>
      <c r="L7" s="556"/>
      <c r="M7" s="556"/>
      <c r="N7" s="556"/>
      <c r="O7" s="556"/>
      <c r="P7" s="556"/>
      <c r="Q7" s="556"/>
      <c r="R7" s="556"/>
      <c r="S7" s="556"/>
      <c r="T7" s="556"/>
      <c r="U7" s="556"/>
      <c r="V7" s="556"/>
    </row>
    <row r="8" spans="1:22" ht="40.5" customHeight="1" x14ac:dyDescent="0.3">
      <c r="A8" s="549" t="str">
        <f>'Mapa de Riesgos'!A8</f>
        <v>No. Riesgo</v>
      </c>
      <c r="B8" s="543" t="str">
        <f>'Mapa de Riesgos'!B8</f>
        <v>Categoría del Riesgo</v>
      </c>
      <c r="C8" s="543" t="str">
        <f>'Mapa de Riesgos'!C8</f>
        <v>Clasificación del Riesgo</v>
      </c>
      <c r="D8" s="543" t="str">
        <f>'Mapa de Riesgos'!D8</f>
        <v>Descripción del Riesgo</v>
      </c>
      <c r="E8" s="516" t="str">
        <f>'Mapa de Riesgos'!E8</f>
        <v>Factores</v>
      </c>
      <c r="F8" s="543" t="str">
        <f>'Mapa de Riesgos'!F8</f>
        <v>Causas</v>
      </c>
      <c r="G8" s="562" t="str">
        <f>'Mapa de Riesgos'!G8</f>
        <v>Consecuencias</v>
      </c>
      <c r="H8" s="557" t="str">
        <f>'Plan de Acción'!R8</f>
        <v>Acciones</v>
      </c>
      <c r="I8" s="560" t="str">
        <f>'Plan de Acción'!S8</f>
        <v>Responsable</v>
      </c>
      <c r="J8" s="561" t="str">
        <f>'Plan de Acción'!T8</f>
        <v>Periodicidad</v>
      </c>
      <c r="K8" s="545" t="s">
        <v>279</v>
      </c>
      <c r="L8" s="547"/>
      <c r="M8" s="547"/>
      <c r="N8" s="551"/>
      <c r="O8" s="545" t="s">
        <v>280</v>
      </c>
      <c r="P8" s="546"/>
      <c r="Q8" s="547"/>
      <c r="R8" s="551"/>
      <c r="S8" s="545" t="s">
        <v>281</v>
      </c>
      <c r="T8" s="546"/>
      <c r="U8" s="546"/>
      <c r="V8" s="547"/>
    </row>
    <row r="9" spans="1:22" s="183" customFormat="1" ht="94.5" customHeight="1" x14ac:dyDescent="0.25">
      <c r="A9" s="550"/>
      <c r="B9" s="441"/>
      <c r="C9" s="441"/>
      <c r="D9" s="441"/>
      <c r="E9" s="514"/>
      <c r="F9" s="441"/>
      <c r="G9" s="563"/>
      <c r="H9" s="512"/>
      <c r="I9" s="511"/>
      <c r="J9" s="508"/>
      <c r="K9" s="188" t="s">
        <v>282</v>
      </c>
      <c r="L9" s="186" t="s">
        <v>283</v>
      </c>
      <c r="M9" s="186" t="s">
        <v>284</v>
      </c>
      <c r="N9" s="187" t="s">
        <v>172</v>
      </c>
      <c r="O9" s="188" t="s">
        <v>282</v>
      </c>
      <c r="P9" s="186" t="s">
        <v>283</v>
      </c>
      <c r="Q9" s="186" t="s">
        <v>284</v>
      </c>
      <c r="R9" s="187" t="s">
        <v>172</v>
      </c>
      <c r="S9" s="188" t="s">
        <v>282</v>
      </c>
      <c r="T9" s="186" t="s">
        <v>283</v>
      </c>
      <c r="U9" s="186" t="s">
        <v>284</v>
      </c>
      <c r="V9" s="186" t="s">
        <v>172</v>
      </c>
    </row>
    <row r="10" spans="1:22" s="2" customFormat="1" ht="289.5" customHeight="1" x14ac:dyDescent="0.25">
      <c r="A10" s="502">
        <f>'Mapa de Riesgos'!A10</f>
        <v>1</v>
      </c>
      <c r="B10" s="504" t="str">
        <f>'Mapa de Riesgos'!B10</f>
        <v>GESTIÓN</v>
      </c>
      <c r="C10" s="504" t="str">
        <f>'Mapa de Riesgos'!C10</f>
        <v>Usuarios, productos y practicas , organizacionales</v>
      </c>
      <c r="D10" s="506" t="str">
        <f>'Mapa de Riesgos'!D10</f>
        <v>Atención no oportuna durante el proceso de inscripción.</v>
      </c>
      <c r="E10" s="261" t="str">
        <f>'Mapa de Riesgos'!E10</f>
        <v>Factores Internos (Debilidades)</v>
      </c>
      <c r="F10" s="262" t="str">
        <f>'Mapa de Riesgos'!F10</f>
        <v>1. Insuficiencia de personal para  la atención.
2. Falta de conocimiento sobre el proceso</v>
      </c>
      <c r="G10" s="280" t="str">
        <f>'Mapa de Riesgos'!G10</f>
        <v>1. Pérdida de aspirantes
2. Disminución de ingresos económicos</v>
      </c>
      <c r="H10" s="267" t="str">
        <f>'Plan de Acción'!R10</f>
        <v>Realizar las capacitaciones sobre atención al público y del proceso de inscripción, admisión y matrícula al personal del grupo de admisiones, registro y control académico, una vez aprobado el calendario académico de cada periodo</v>
      </c>
      <c r="I10" s="262" t="str">
        <f>'Plan de Acción'!S10</f>
        <v>Coordinador Grupo de Admisiones, Registro y Control Académico</v>
      </c>
      <c r="J10" s="268" t="str">
        <f>'Plan de Acción'!T10</f>
        <v xml:space="preserve">Semestral </v>
      </c>
      <c r="K10" s="537" t="s">
        <v>111</v>
      </c>
      <c r="L10" s="292" t="s">
        <v>423</v>
      </c>
      <c r="M10" s="292" t="s">
        <v>285</v>
      </c>
      <c r="N10" s="301" t="s">
        <v>286</v>
      </c>
      <c r="O10" s="290"/>
      <c r="P10" s="292"/>
      <c r="Q10" s="292"/>
      <c r="R10" s="293"/>
      <c r="S10" s="290"/>
      <c r="T10" s="292"/>
      <c r="U10" s="269"/>
      <c r="V10" s="270"/>
    </row>
    <row r="11" spans="1:22" s="2" customFormat="1" ht="151.5" customHeight="1" x14ac:dyDescent="0.25">
      <c r="A11" s="502"/>
      <c r="B11" s="504"/>
      <c r="C11" s="504"/>
      <c r="D11" s="506"/>
      <c r="E11" s="261">
        <f>'Mapa de Riesgos'!E11</f>
        <v>0</v>
      </c>
      <c r="F11" s="262">
        <f>'Mapa de Riesgos'!F11</f>
        <v>0</v>
      </c>
      <c r="G11" s="280">
        <f>'Mapa de Riesgos'!G11</f>
        <v>0</v>
      </c>
      <c r="H11" s="267">
        <f>'Plan de Acción'!R11</f>
        <v>0</v>
      </c>
      <c r="I11" s="262">
        <f>'Plan de Acción'!S11</f>
        <v>0</v>
      </c>
      <c r="J11" s="268">
        <f>'Plan de Acción'!T11</f>
        <v>0</v>
      </c>
      <c r="K11" s="538"/>
      <c r="L11" s="269"/>
      <c r="M11" s="269"/>
      <c r="N11" s="300"/>
      <c r="O11" s="290"/>
      <c r="P11" s="269"/>
      <c r="Q11" s="270"/>
      <c r="R11" s="294"/>
      <c r="S11" s="271"/>
      <c r="T11" s="269"/>
      <c r="U11" s="296"/>
      <c r="V11" s="270"/>
    </row>
    <row r="12" spans="1:22" s="2" customFormat="1" ht="43.5" customHeight="1" x14ac:dyDescent="0.25">
      <c r="A12" s="540"/>
      <c r="B12" s="541"/>
      <c r="C12" s="541"/>
      <c r="D12" s="542"/>
      <c r="E12" s="261">
        <f>'Mapa de Riesgos'!E12</f>
        <v>0</v>
      </c>
      <c r="F12" s="262">
        <f>'Mapa de Riesgos'!F12</f>
        <v>0</v>
      </c>
      <c r="G12" s="280">
        <f>'Mapa de Riesgos'!G12</f>
        <v>0</v>
      </c>
      <c r="H12" s="267">
        <f>'Plan de Acción'!R12</f>
        <v>0</v>
      </c>
      <c r="I12" s="249">
        <f>'Plan de Acción'!S12</f>
        <v>0</v>
      </c>
      <c r="J12" s="268">
        <f>'Plan de Acción'!T12</f>
        <v>0</v>
      </c>
      <c r="K12" s="538"/>
      <c r="L12" s="272"/>
      <c r="M12" s="272"/>
      <c r="N12" s="300"/>
      <c r="O12" s="274"/>
      <c r="P12" s="272"/>
      <c r="Q12" s="273"/>
      <c r="R12" s="294"/>
      <c r="S12" s="274"/>
      <c r="T12" s="272"/>
      <c r="U12" s="297"/>
      <c r="V12" s="273"/>
    </row>
    <row r="13" spans="1:22" s="2" customFormat="1" ht="43.5" customHeight="1" x14ac:dyDescent="0.25">
      <c r="A13" s="540"/>
      <c r="B13" s="541"/>
      <c r="C13" s="541"/>
      <c r="D13" s="542"/>
      <c r="E13" s="261">
        <f>'Mapa de Riesgos'!E13</f>
        <v>0</v>
      </c>
      <c r="F13" s="262">
        <f>'Mapa de Riesgos'!F13</f>
        <v>0</v>
      </c>
      <c r="G13" s="280">
        <f>'Mapa de Riesgos'!G13</f>
        <v>0</v>
      </c>
      <c r="H13" s="267">
        <f>'Plan de Acción'!R13</f>
        <v>0</v>
      </c>
      <c r="I13" s="249">
        <f>'Plan de Acción'!S13</f>
        <v>0</v>
      </c>
      <c r="J13" s="268">
        <f>'Plan de Acción'!T13</f>
        <v>0</v>
      </c>
      <c r="K13" s="538"/>
      <c r="L13" s="272"/>
      <c r="M13" s="272"/>
      <c r="N13" s="300"/>
      <c r="O13" s="274"/>
      <c r="P13" s="272"/>
      <c r="Q13" s="273"/>
      <c r="R13" s="294"/>
      <c r="S13" s="274"/>
      <c r="T13" s="272"/>
      <c r="U13" s="297"/>
      <c r="V13" s="273"/>
    </row>
    <row r="14" spans="1:22" s="2" customFormat="1" ht="43.5" customHeight="1" x14ac:dyDescent="0.25">
      <c r="A14" s="540"/>
      <c r="B14" s="541"/>
      <c r="C14" s="541"/>
      <c r="D14" s="542"/>
      <c r="E14" s="261">
        <f>'Mapa de Riesgos'!E14</f>
        <v>0</v>
      </c>
      <c r="F14" s="262">
        <f>'Mapa de Riesgos'!F14</f>
        <v>0</v>
      </c>
      <c r="G14" s="280">
        <f>'Mapa de Riesgos'!G14</f>
        <v>0</v>
      </c>
      <c r="H14" s="267">
        <f>'Plan de Acción'!R14</f>
        <v>0</v>
      </c>
      <c r="I14" s="249">
        <f>'Plan de Acción'!S14</f>
        <v>0</v>
      </c>
      <c r="J14" s="268">
        <f>'Plan de Acción'!T14</f>
        <v>0</v>
      </c>
      <c r="K14" s="538"/>
      <c r="L14" s="272"/>
      <c r="M14" s="272"/>
      <c r="N14" s="300"/>
      <c r="O14" s="274"/>
      <c r="P14" s="272"/>
      <c r="Q14" s="273"/>
      <c r="R14" s="294"/>
      <c r="S14" s="274"/>
      <c r="T14" s="272"/>
      <c r="U14" s="297"/>
      <c r="V14" s="273"/>
    </row>
    <row r="15" spans="1:22" s="2" customFormat="1" ht="49.5" customHeight="1" x14ac:dyDescent="0.25">
      <c r="A15" s="503"/>
      <c r="B15" s="505"/>
      <c r="C15" s="505"/>
      <c r="D15" s="507"/>
      <c r="E15" s="264">
        <f>'Mapa de Riesgos'!E15</f>
        <v>0</v>
      </c>
      <c r="F15" s="265">
        <f>'Mapa de Riesgos'!F15</f>
        <v>0</v>
      </c>
      <c r="G15" s="257">
        <f>'Mapa de Riesgos'!G15</f>
        <v>0</v>
      </c>
      <c r="H15" s="275">
        <f>'Plan de Acción'!R15</f>
        <v>0</v>
      </c>
      <c r="I15" s="255">
        <f>'Plan de Acción'!S15</f>
        <v>0</v>
      </c>
      <c r="J15" s="276">
        <f>'Plan de Acción'!T15</f>
        <v>0</v>
      </c>
      <c r="K15" s="539"/>
      <c r="L15" s="277"/>
      <c r="M15" s="277"/>
      <c r="N15" s="295"/>
      <c r="O15" s="279"/>
      <c r="P15" s="277"/>
      <c r="Q15" s="278"/>
      <c r="R15" s="295"/>
      <c r="S15" s="279"/>
      <c r="T15" s="277"/>
      <c r="U15" s="298"/>
      <c r="V15" s="278"/>
    </row>
    <row r="16" spans="1:22" x14ac:dyDescent="0.3">
      <c r="A16" s="197"/>
      <c r="B16" s="197"/>
      <c r="C16" s="197"/>
      <c r="D16" s="4"/>
      <c r="E16" s="4"/>
      <c r="F16" s="198"/>
      <c r="G16" s="198"/>
      <c r="H16" s="4"/>
      <c r="I16" s="4"/>
      <c r="J16" s="4"/>
      <c r="K16" s="4"/>
      <c r="L16" s="4"/>
      <c r="M16" s="4"/>
      <c r="N16" s="4"/>
      <c r="O16" s="4"/>
      <c r="P16" s="4"/>
      <c r="Q16" s="4"/>
      <c r="R16" s="4"/>
      <c r="S16" s="4"/>
      <c r="T16" s="4"/>
      <c r="U16" s="4"/>
      <c r="V16" s="4"/>
    </row>
    <row r="17" spans="1:22" customFormat="1" ht="15" x14ac:dyDescent="0.25">
      <c r="A17" s="73"/>
      <c r="B17" s="73"/>
      <c r="C17" s="73"/>
      <c r="D17" s="73"/>
      <c r="E17" s="73"/>
      <c r="F17" s="73"/>
      <c r="G17" s="73"/>
      <c r="H17" s="73"/>
      <c r="I17" s="73"/>
      <c r="J17" s="73"/>
      <c r="K17" s="73"/>
      <c r="L17" s="73"/>
      <c r="M17" s="73"/>
      <c r="N17" s="73"/>
      <c r="O17" s="73"/>
      <c r="P17" s="73"/>
      <c r="Q17" s="73"/>
      <c r="R17" s="73"/>
      <c r="S17" s="73"/>
      <c r="T17" s="73"/>
      <c r="U17" s="73"/>
      <c r="V17" s="73"/>
    </row>
    <row r="18" spans="1:22" s="5" customFormat="1" ht="24.75" customHeight="1" x14ac:dyDescent="0.2">
      <c r="A18" s="491" t="s">
        <v>211</v>
      </c>
      <c r="B18" s="491"/>
      <c r="C18" s="492" t="s">
        <v>212</v>
      </c>
      <c r="D18" s="492"/>
      <c r="E18" s="492"/>
      <c r="F18" s="492"/>
      <c r="G18" s="492"/>
      <c r="H18" s="491" t="s">
        <v>213</v>
      </c>
      <c r="I18" s="492" t="str">
        <f>'Mapa de Riesgos'!H18</f>
        <v>SISTEMA INTEGRADO DE GESTIÓN SIG</v>
      </c>
      <c r="J18" s="492"/>
      <c r="K18" s="492"/>
      <c r="L18" s="492"/>
      <c r="M18" s="492"/>
      <c r="N18" s="492"/>
      <c r="O18" s="196" t="s">
        <v>215</v>
      </c>
      <c r="P18" s="558" t="str">
        <f>'Mapa de Riesgos'!T18</f>
        <v>LÍDER DEL SISTEMA INTEGRADO DE GESTIÓN</v>
      </c>
      <c r="Q18" s="559"/>
      <c r="R18" s="559"/>
      <c r="S18" s="559"/>
      <c r="T18" s="559"/>
      <c r="U18" s="559"/>
      <c r="V18" s="559"/>
    </row>
    <row r="19" spans="1:22" s="5" customFormat="1" ht="24.75" customHeight="1" x14ac:dyDescent="0.2">
      <c r="A19" s="491"/>
      <c r="B19" s="491"/>
      <c r="C19" s="492"/>
      <c r="D19" s="492"/>
      <c r="E19" s="492"/>
      <c r="F19" s="492"/>
      <c r="G19" s="492"/>
      <c r="H19" s="491"/>
      <c r="I19" s="492"/>
      <c r="J19" s="492"/>
      <c r="K19" s="492"/>
      <c r="L19" s="492"/>
      <c r="M19" s="492"/>
      <c r="N19" s="492"/>
      <c r="O19" s="196" t="s">
        <v>269</v>
      </c>
      <c r="P19" s="558" t="str">
        <f>'Mapa de Riesgos'!T19</f>
        <v>ABRIL DE 2022</v>
      </c>
      <c r="Q19" s="559"/>
      <c r="R19" s="559"/>
      <c r="S19" s="559"/>
      <c r="T19" s="559"/>
      <c r="U19" s="559"/>
      <c r="V19" s="559"/>
    </row>
    <row r="20" spans="1:22" customFormat="1" ht="15" x14ac:dyDescent="0.25"/>
    <row r="21" spans="1:22" x14ac:dyDescent="0.3">
      <c r="F21" s="3"/>
    </row>
  </sheetData>
  <dataConsolidate/>
  <mergeCells count="40">
    <mergeCell ref="A4:C4"/>
    <mergeCell ref="D4:J4"/>
    <mergeCell ref="K4:L4"/>
    <mergeCell ref="M4:V4"/>
    <mergeCell ref="A1:C1"/>
    <mergeCell ref="A2:C2"/>
    <mergeCell ref="D1:V1"/>
    <mergeCell ref="D2:V2"/>
    <mergeCell ref="I8:I9"/>
    <mergeCell ref="J8:J9"/>
    <mergeCell ref="G8:G9"/>
    <mergeCell ref="E8:E9"/>
    <mergeCell ref="F8:F9"/>
    <mergeCell ref="A18:B19"/>
    <mergeCell ref="H18:H19"/>
    <mergeCell ref="I18:N19"/>
    <mergeCell ref="C18:G19"/>
    <mergeCell ref="P18:V18"/>
    <mergeCell ref="P19:V19"/>
    <mergeCell ref="D8:D9"/>
    <mergeCell ref="A5:C5"/>
    <mergeCell ref="A6:V6"/>
    <mergeCell ref="D5:J5"/>
    <mergeCell ref="K5:L5"/>
    <mergeCell ref="M5:V5"/>
    <mergeCell ref="S8:V8"/>
    <mergeCell ref="A7:G7"/>
    <mergeCell ref="A8:A9"/>
    <mergeCell ref="B8:B9"/>
    <mergeCell ref="C8:C9"/>
    <mergeCell ref="O8:R8"/>
    <mergeCell ref="H7:J7"/>
    <mergeCell ref="K8:N8"/>
    <mergeCell ref="K7:V7"/>
    <mergeCell ref="H8:H9"/>
    <mergeCell ref="K10:K15"/>
    <mergeCell ref="A10:A15"/>
    <mergeCell ref="B10:B15"/>
    <mergeCell ref="C10:C15"/>
    <mergeCell ref="D10:D15"/>
  </mergeCells>
  <pageMargins left="0.7" right="0.7" top="0.75" bottom="0.75" header="0.3" footer="0.3"/>
  <pageSetup scale="20" orientation="portrait" r:id="rId1"/>
  <ignoredErrors>
    <ignoredError sqref="A15 A11" formulaRange="1"/>
    <ignoredError sqref="B15 B11 C11 D11 D15 C15" formulaRange="1" unlockedFormula="1"/>
    <ignoredError sqref="B10 C10:D10 C12:D14 H10:J15" unlockedFormula="1"/>
  </ignoredError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'Opciones Tratamiento'!$B$9:$B$10</xm:f>
          </x14:formula1>
          <xm:sqref>N10:N15 V10:V15 R10 Q11:Q15</xm:sqref>
        </x14:dataValidation>
        <x14:dataValidation type="list" allowBlank="1" showInputMessage="1" showErrorMessage="1">
          <x14:formula1>
            <xm:f>'Opciones Tratamiento'!$G$9:$G$10</xm:f>
          </x14:formula1>
          <xm:sqref>K10:K15 N10:N15 R10:R15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opLeftCell="B1" zoomScale="60" zoomScaleNormal="60" zoomScalePageLayoutView="83" workbookViewId="0">
      <selection activeCell="A7" sqref="A7:E7"/>
    </sheetView>
  </sheetViews>
  <sheetFormatPr baseColWidth="10" defaultColWidth="12.28515625" defaultRowHeight="15" x14ac:dyDescent="0.25"/>
  <cols>
    <col min="1" max="1" width="25.7109375" style="209" customWidth="1"/>
    <col min="2" max="2" width="44.28515625" style="209" customWidth="1"/>
    <col min="3" max="3" width="31.7109375" style="209" customWidth="1"/>
    <col min="4" max="4" width="43.7109375" style="209" customWidth="1"/>
    <col min="5" max="5" width="30.85546875" style="209" customWidth="1"/>
    <col min="6" max="6" width="46.28515625" style="209" customWidth="1"/>
    <col min="7" max="7" width="16.5703125" style="209" customWidth="1"/>
    <col min="8" max="8" width="15.42578125" style="209" customWidth="1"/>
    <col min="9" max="9" width="14.85546875" style="209" customWidth="1"/>
    <col min="10" max="10" width="57.28515625" style="209" customWidth="1"/>
    <col min="11" max="16384" width="12.28515625" style="209"/>
  </cols>
  <sheetData>
    <row r="1" spans="1:10" s="203" customFormat="1" ht="68.25" customHeight="1" x14ac:dyDescent="0.2">
      <c r="A1" s="201"/>
      <c r="B1" s="567" t="str">
        <f>'Mapa de Riesgos'!D1</f>
        <v>PLANEACIÓN INSTITUCIONAL</v>
      </c>
      <c r="C1" s="567"/>
      <c r="D1" s="567"/>
      <c r="E1" s="567"/>
      <c r="F1" s="194" t="s">
        <v>287</v>
      </c>
      <c r="G1" s="202"/>
      <c r="H1" s="202"/>
      <c r="I1" s="202"/>
    </row>
    <row r="2" spans="1:10" s="203" customFormat="1" ht="39" customHeight="1" x14ac:dyDescent="0.2">
      <c r="A2" s="204" t="str">
        <f>'Mapa de Riesgos'!A2</f>
        <v>F - PL - 13</v>
      </c>
      <c r="B2" s="567" t="str">
        <f>'Mapa de Riesgos'!D2</f>
        <v>MAPA DE RIESGOS INSTITUCIONAL</v>
      </c>
      <c r="C2" s="567"/>
      <c r="D2" s="567"/>
      <c r="E2" s="567"/>
      <c r="F2" s="194" t="str">
        <f>'Mapa de Riesgos'!AE2</f>
        <v>VERSIÓN: 7.0</v>
      </c>
      <c r="G2" s="202"/>
      <c r="H2" s="202"/>
      <c r="I2" s="202"/>
    </row>
    <row r="3" spans="1:10" s="203" customFormat="1" ht="39" customHeight="1" x14ac:dyDescent="0.2">
      <c r="A3" s="568"/>
      <c r="B3" s="568"/>
      <c r="C3" s="568"/>
      <c r="D3" s="568"/>
      <c r="E3" s="568"/>
      <c r="F3" s="568"/>
      <c r="G3" s="202"/>
      <c r="H3" s="202"/>
      <c r="I3" s="202"/>
      <c r="J3" s="202"/>
    </row>
    <row r="4" spans="1:10" s="203" customFormat="1" ht="39" customHeight="1" x14ac:dyDescent="0.2">
      <c r="A4" s="569" t="s">
        <v>288</v>
      </c>
      <c r="B4" s="569"/>
      <c r="C4" s="569"/>
      <c r="D4" s="569"/>
      <c r="E4" s="569"/>
      <c r="F4" s="569"/>
      <c r="G4" s="205"/>
      <c r="H4" s="205"/>
      <c r="I4" s="205"/>
      <c r="J4" s="205"/>
    </row>
    <row r="5" spans="1:10" s="203" customFormat="1" ht="39" customHeight="1" x14ac:dyDescent="0.2">
      <c r="A5" s="570" t="s">
        <v>5</v>
      </c>
      <c r="B5" s="571"/>
      <c r="C5" s="571"/>
      <c r="D5" s="571"/>
      <c r="E5" s="572"/>
      <c r="F5" s="206" t="s">
        <v>289</v>
      </c>
      <c r="G5" s="205"/>
      <c r="H5" s="205"/>
      <c r="I5" s="205"/>
      <c r="J5" s="205"/>
    </row>
    <row r="6" spans="1:10" s="203" customFormat="1" ht="64.5" customHeight="1" x14ac:dyDescent="0.2">
      <c r="A6" s="573" t="s">
        <v>290</v>
      </c>
      <c r="B6" s="574"/>
      <c r="C6" s="574"/>
      <c r="D6" s="574"/>
      <c r="E6" s="575"/>
      <c r="F6" s="289">
        <v>44566</v>
      </c>
      <c r="G6" s="205"/>
      <c r="H6" s="205"/>
      <c r="I6" s="205"/>
      <c r="J6" s="205"/>
    </row>
    <row r="7" spans="1:10" s="203" customFormat="1" ht="39" customHeight="1" x14ac:dyDescent="0.2">
      <c r="A7" s="564"/>
      <c r="B7" s="565"/>
      <c r="C7" s="565"/>
      <c r="D7" s="565"/>
      <c r="E7" s="566"/>
      <c r="F7" s="207"/>
      <c r="G7" s="205"/>
      <c r="H7" s="205"/>
      <c r="I7" s="205"/>
      <c r="J7" s="205"/>
    </row>
    <row r="8" spans="1:10" s="203" customFormat="1" ht="39" customHeight="1" x14ac:dyDescent="0.2">
      <c r="A8" s="564"/>
      <c r="B8" s="565"/>
      <c r="C8" s="565"/>
      <c r="D8" s="565"/>
      <c r="E8" s="566"/>
      <c r="F8" s="207"/>
      <c r="G8" s="205"/>
      <c r="H8" s="205"/>
      <c r="I8" s="205"/>
      <c r="J8" s="205"/>
    </row>
    <row r="9" spans="1:10" s="203" customFormat="1" ht="39" customHeight="1" x14ac:dyDescent="0.2">
      <c r="A9" s="564"/>
      <c r="B9" s="565"/>
      <c r="C9" s="565"/>
      <c r="D9" s="565"/>
      <c r="E9" s="566"/>
      <c r="F9" s="207"/>
      <c r="G9" s="205"/>
      <c r="H9" s="205"/>
      <c r="I9" s="205"/>
      <c r="J9" s="205"/>
    </row>
    <row r="10" spans="1:10" s="203" customFormat="1" ht="39" customHeight="1" x14ac:dyDescent="0.2">
      <c r="A10" s="564"/>
      <c r="B10" s="565"/>
      <c r="C10" s="565"/>
      <c r="D10" s="565"/>
      <c r="E10" s="566"/>
      <c r="F10" s="207"/>
      <c r="G10" s="205"/>
      <c r="H10" s="205"/>
      <c r="I10" s="205"/>
      <c r="J10" s="205"/>
    </row>
    <row r="11" spans="1:10" s="203" customFormat="1" ht="39" customHeight="1" x14ac:dyDescent="0.2">
      <c r="A11" s="564"/>
      <c r="B11" s="565"/>
      <c r="C11" s="565"/>
      <c r="D11" s="565"/>
      <c r="E11" s="566"/>
      <c r="F11" s="207"/>
      <c r="G11" s="205"/>
      <c r="H11" s="205"/>
      <c r="I11" s="205"/>
      <c r="J11" s="205"/>
    </row>
    <row r="12" spans="1:10" s="203" customFormat="1" ht="39" customHeight="1" x14ac:dyDescent="0.2">
      <c r="A12" s="564"/>
      <c r="B12" s="565"/>
      <c r="C12" s="565"/>
      <c r="D12" s="565"/>
      <c r="E12" s="566"/>
      <c r="F12" s="207"/>
      <c r="G12" s="205"/>
      <c r="H12" s="205"/>
      <c r="I12" s="205"/>
      <c r="J12" s="205"/>
    </row>
    <row r="13" spans="1:10" s="203" customFormat="1" ht="39" customHeight="1" x14ac:dyDescent="0.2">
      <c r="A13" s="564"/>
      <c r="B13" s="565"/>
      <c r="C13" s="565"/>
      <c r="D13" s="565"/>
      <c r="E13" s="566"/>
      <c r="F13" s="207"/>
      <c r="G13" s="205"/>
      <c r="H13" s="205"/>
      <c r="I13" s="205"/>
      <c r="J13" s="205"/>
    </row>
    <row r="14" spans="1:10" s="203" customFormat="1" ht="39" customHeight="1" x14ac:dyDescent="0.2">
      <c r="A14" s="564"/>
      <c r="B14" s="565"/>
      <c r="C14" s="565"/>
      <c r="D14" s="565"/>
      <c r="E14" s="566"/>
      <c r="F14" s="207"/>
      <c r="G14" s="205"/>
      <c r="H14" s="205"/>
      <c r="I14" s="205"/>
      <c r="J14" s="205"/>
    </row>
    <row r="15" spans="1:10" s="203" customFormat="1" ht="39" customHeight="1" x14ac:dyDescent="0.2">
      <c r="A15" s="564"/>
      <c r="B15" s="565"/>
      <c r="C15" s="565"/>
      <c r="D15" s="565"/>
      <c r="E15" s="566"/>
      <c r="F15" s="207"/>
      <c r="G15" s="205"/>
      <c r="H15" s="205"/>
      <c r="I15" s="205"/>
      <c r="J15" s="205"/>
    </row>
    <row r="16" spans="1:10" x14ac:dyDescent="0.25">
      <c r="A16" s="208"/>
      <c r="B16" s="208"/>
      <c r="C16" s="208"/>
      <c r="D16" s="208"/>
      <c r="E16" s="208"/>
      <c r="F16" s="208"/>
    </row>
    <row r="17" spans="1:6" s="211" customFormat="1" ht="15.75" x14ac:dyDescent="0.25">
      <c r="A17" s="210"/>
      <c r="B17" s="210"/>
      <c r="C17" s="210"/>
      <c r="D17" s="210"/>
      <c r="E17" s="210"/>
      <c r="F17" s="210"/>
    </row>
    <row r="18" spans="1:6" s="213" customFormat="1" ht="24.75" customHeight="1" x14ac:dyDescent="0.2">
      <c r="A18" s="576" t="s">
        <v>211</v>
      </c>
      <c r="B18" s="578" t="str">
        <f>'Mapa de Riesgos'!C18</f>
        <v>PLANEACIÓN INSTITUCIONAL</v>
      </c>
      <c r="C18" s="576" t="s">
        <v>213</v>
      </c>
      <c r="D18" s="580" t="str">
        <f>'Mapa de Riesgos'!H18</f>
        <v>SISTEMA INTEGRADO DE GESTIÓN SIG</v>
      </c>
      <c r="E18" s="214" t="s">
        <v>215</v>
      </c>
      <c r="F18" s="212" t="str">
        <f>'Mapa de Riesgos'!T18</f>
        <v>LÍDER DEL SISTEMA INTEGRADO DE GESTIÓN</v>
      </c>
    </row>
    <row r="19" spans="1:6" s="213" customFormat="1" ht="24.75" customHeight="1" x14ac:dyDescent="0.2">
      <c r="A19" s="577"/>
      <c r="B19" s="579"/>
      <c r="C19" s="577"/>
      <c r="D19" s="581"/>
      <c r="E19" s="214" t="s">
        <v>269</v>
      </c>
      <c r="F19" s="212" t="str">
        <f>'Mapa de Riesgos'!T19</f>
        <v>ABRIL DE 2022</v>
      </c>
    </row>
    <row r="20" spans="1:6" s="211" customFormat="1" ht="15.75" x14ac:dyDescent="0.25"/>
  </sheetData>
  <mergeCells count="19">
    <mergeCell ref="A13:E13"/>
    <mergeCell ref="A14:E14"/>
    <mergeCell ref="A15:E15"/>
    <mergeCell ref="A18:A19"/>
    <mergeCell ref="B18:B19"/>
    <mergeCell ref="C18:C19"/>
    <mergeCell ref="D18:D19"/>
    <mergeCell ref="A12:E12"/>
    <mergeCell ref="B1:E1"/>
    <mergeCell ref="B2:E2"/>
    <mergeCell ref="A3:F3"/>
    <mergeCell ref="A4:F4"/>
    <mergeCell ref="A5:E5"/>
    <mergeCell ref="A6:E6"/>
    <mergeCell ref="A7:E7"/>
    <mergeCell ref="A8:E8"/>
    <mergeCell ref="A9:E9"/>
    <mergeCell ref="A10:E10"/>
    <mergeCell ref="A11:E11"/>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40"/>
  <sheetViews>
    <sheetView zoomScale="50" zoomScaleNormal="50" workbookViewId="0">
      <selection activeCell="AW61" sqref="AW61"/>
    </sheetView>
  </sheetViews>
  <sheetFormatPr baseColWidth="10" defaultColWidth="11.42578125" defaultRowHeight="15" x14ac:dyDescent="0.25"/>
  <cols>
    <col min="2" max="39" width="5.7109375" customWidth="1"/>
    <col min="41" max="46" width="5.7109375" customWidth="1"/>
  </cols>
  <sheetData>
    <row r="1" spans="1:99"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x14ac:dyDescent="0.25">
      <c r="A2" s="73"/>
      <c r="B2" s="667" t="s">
        <v>291</v>
      </c>
      <c r="C2" s="667"/>
      <c r="D2" s="667"/>
      <c r="E2" s="667"/>
      <c r="F2" s="667"/>
      <c r="G2" s="667"/>
      <c r="H2" s="667"/>
      <c r="I2" s="667"/>
      <c r="J2" s="635" t="s">
        <v>134</v>
      </c>
      <c r="K2" s="635"/>
      <c r="L2" s="635"/>
      <c r="M2" s="635"/>
      <c r="N2" s="635"/>
      <c r="O2" s="635"/>
      <c r="P2" s="635"/>
      <c r="Q2" s="635"/>
      <c r="R2" s="635"/>
      <c r="S2" s="635"/>
      <c r="T2" s="635"/>
      <c r="U2" s="635"/>
      <c r="V2" s="635"/>
      <c r="W2" s="635"/>
      <c r="X2" s="635"/>
      <c r="Y2" s="635"/>
      <c r="Z2" s="635"/>
      <c r="AA2" s="635"/>
      <c r="AB2" s="635"/>
      <c r="AC2" s="635"/>
      <c r="AD2" s="635"/>
      <c r="AE2" s="635"/>
      <c r="AF2" s="635"/>
      <c r="AG2" s="635"/>
      <c r="AH2" s="635"/>
      <c r="AI2" s="635"/>
      <c r="AJ2" s="635"/>
      <c r="AK2" s="635"/>
      <c r="AL2" s="635"/>
      <c r="AM2" s="635"/>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x14ac:dyDescent="0.25">
      <c r="A3" s="73"/>
      <c r="B3" s="667"/>
      <c r="C3" s="667"/>
      <c r="D3" s="667"/>
      <c r="E3" s="667"/>
      <c r="F3" s="667"/>
      <c r="G3" s="667"/>
      <c r="H3" s="667"/>
      <c r="I3" s="667"/>
      <c r="J3" s="635"/>
      <c r="K3" s="635"/>
      <c r="L3" s="635"/>
      <c r="M3" s="635"/>
      <c r="N3" s="635"/>
      <c r="O3" s="635"/>
      <c r="P3" s="635"/>
      <c r="Q3" s="635"/>
      <c r="R3" s="635"/>
      <c r="S3" s="635"/>
      <c r="T3" s="635"/>
      <c r="U3" s="635"/>
      <c r="V3" s="635"/>
      <c r="W3" s="635"/>
      <c r="X3" s="635"/>
      <c r="Y3" s="635"/>
      <c r="Z3" s="635"/>
      <c r="AA3" s="635"/>
      <c r="AB3" s="635"/>
      <c r="AC3" s="635"/>
      <c r="AD3" s="635"/>
      <c r="AE3" s="635"/>
      <c r="AF3" s="635"/>
      <c r="AG3" s="635"/>
      <c r="AH3" s="635"/>
      <c r="AI3" s="635"/>
      <c r="AJ3" s="635"/>
      <c r="AK3" s="635"/>
      <c r="AL3" s="635"/>
      <c r="AM3" s="635"/>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x14ac:dyDescent="0.25">
      <c r="A4" s="73"/>
      <c r="B4" s="667"/>
      <c r="C4" s="667"/>
      <c r="D4" s="667"/>
      <c r="E4" s="667"/>
      <c r="F4" s="667"/>
      <c r="G4" s="667"/>
      <c r="H4" s="667"/>
      <c r="I4" s="667"/>
      <c r="J4" s="635"/>
      <c r="K4" s="635"/>
      <c r="L4" s="635"/>
      <c r="M4" s="635"/>
      <c r="N4" s="635"/>
      <c r="O4" s="635"/>
      <c r="P4" s="635"/>
      <c r="Q4" s="635"/>
      <c r="R4" s="635"/>
      <c r="S4" s="635"/>
      <c r="T4" s="635"/>
      <c r="U4" s="635"/>
      <c r="V4" s="635"/>
      <c r="W4" s="635"/>
      <c r="X4" s="635"/>
      <c r="Y4" s="635"/>
      <c r="Z4" s="635"/>
      <c r="AA4" s="635"/>
      <c r="AB4" s="635"/>
      <c r="AC4" s="635"/>
      <c r="AD4" s="635"/>
      <c r="AE4" s="635"/>
      <c r="AF4" s="635"/>
      <c r="AG4" s="635"/>
      <c r="AH4" s="635"/>
      <c r="AI4" s="635"/>
      <c r="AJ4" s="635"/>
      <c r="AK4" s="635"/>
      <c r="AL4" s="635"/>
      <c r="AM4" s="635"/>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x14ac:dyDescent="0.25">
      <c r="A6" s="73"/>
      <c r="B6" s="582" t="s">
        <v>292</v>
      </c>
      <c r="C6" s="582"/>
      <c r="D6" s="583"/>
      <c r="E6" s="620" t="s">
        <v>293</v>
      </c>
      <c r="F6" s="621"/>
      <c r="G6" s="621"/>
      <c r="H6" s="621"/>
      <c r="I6" s="622"/>
      <c r="J6" s="631" t="e">
        <f>IF(AND(#REF!="Muy Alta",#REF!="Leve"),CONCATENATE("R",#REF!),"")</f>
        <v>#REF!</v>
      </c>
      <c r="K6" s="632"/>
      <c r="L6" s="632" t="e">
        <f>IF(AND(#REF!="Muy Alta",#REF!="Leve"),CONCATENATE("R",#REF!),"")</f>
        <v>#REF!</v>
      </c>
      <c r="M6" s="632"/>
      <c r="N6" s="632" t="e">
        <f>IF(AND(#REF!="Muy Alta",#REF!="Leve"),CONCATENATE("R",#REF!),"")</f>
        <v>#REF!</v>
      </c>
      <c r="O6" s="634"/>
      <c r="P6" s="631" t="e">
        <f>IF(AND(#REF!="Muy Alta",#REF!="Menor"),CONCATENATE("R",#REF!),"")</f>
        <v>#REF!</v>
      </c>
      <c r="Q6" s="632"/>
      <c r="R6" s="632" t="e">
        <f>IF(AND(#REF!="Muy Alta",#REF!="Menor"),CONCATENATE("R",#REF!),"")</f>
        <v>#REF!</v>
      </c>
      <c r="S6" s="632"/>
      <c r="T6" s="632" t="e">
        <f>IF(AND(#REF!="Muy Alta",#REF!="Menor"),CONCATENATE("R",#REF!),"")</f>
        <v>#REF!</v>
      </c>
      <c r="U6" s="634"/>
      <c r="V6" s="631" t="e">
        <f>IF(AND(#REF!="Muy Alta",#REF!="Moderado"),CONCATENATE("R",#REF!),"")</f>
        <v>#REF!</v>
      </c>
      <c r="W6" s="632"/>
      <c r="X6" s="632" t="e">
        <f>IF(AND(#REF!="Muy Alta",#REF!="Moderado"),CONCATENATE("R",#REF!),"")</f>
        <v>#REF!</v>
      </c>
      <c r="Y6" s="632"/>
      <c r="Z6" s="632" t="e">
        <f>IF(AND(#REF!="Muy Alta",#REF!="Moderado"),CONCATENATE("R",#REF!),"")</f>
        <v>#REF!</v>
      </c>
      <c r="AA6" s="634"/>
      <c r="AB6" s="631" t="e">
        <f>IF(AND(#REF!="Muy Alta",#REF!="Mayor"),CONCATENATE("R",#REF!),"")</f>
        <v>#REF!</v>
      </c>
      <c r="AC6" s="632"/>
      <c r="AD6" s="632" t="e">
        <f>IF(AND(#REF!="Muy Alta",#REF!="Mayor"),CONCATENATE("R",#REF!),"")</f>
        <v>#REF!</v>
      </c>
      <c r="AE6" s="632"/>
      <c r="AF6" s="632" t="e">
        <f>IF(AND(#REF!="Muy Alta",#REF!="Mayor"),CONCATENATE("R",#REF!),"")</f>
        <v>#REF!</v>
      </c>
      <c r="AG6" s="634"/>
      <c r="AH6" s="646" t="e">
        <f>IF(AND(#REF!="Muy Alta",#REF!="Catastrófico"),CONCATENATE("R",#REF!),"")</f>
        <v>#REF!</v>
      </c>
      <c r="AI6" s="647"/>
      <c r="AJ6" s="647" t="e">
        <f>IF(AND(#REF!="Muy Alta",#REF!="Catastrófico"),CONCATENATE("R",#REF!),"")</f>
        <v>#REF!</v>
      </c>
      <c r="AK6" s="647"/>
      <c r="AL6" s="647" t="e">
        <f>IF(AND(#REF!="Muy Alta",#REF!="Catastrófico"),CONCATENATE("R",#REF!),"")</f>
        <v>#REF!</v>
      </c>
      <c r="AM6" s="648"/>
      <c r="AO6" s="584" t="s">
        <v>294</v>
      </c>
      <c r="AP6" s="585"/>
      <c r="AQ6" s="585"/>
      <c r="AR6" s="585"/>
      <c r="AS6" s="585"/>
      <c r="AT6" s="586"/>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x14ac:dyDescent="0.25">
      <c r="A7" s="73"/>
      <c r="B7" s="582"/>
      <c r="C7" s="582"/>
      <c r="D7" s="583"/>
      <c r="E7" s="623"/>
      <c r="F7" s="624"/>
      <c r="G7" s="624"/>
      <c r="H7" s="624"/>
      <c r="I7" s="625"/>
      <c r="J7" s="633"/>
      <c r="K7" s="629"/>
      <c r="L7" s="629"/>
      <c r="M7" s="629"/>
      <c r="N7" s="629"/>
      <c r="O7" s="630"/>
      <c r="P7" s="633"/>
      <c r="Q7" s="629"/>
      <c r="R7" s="629"/>
      <c r="S7" s="629"/>
      <c r="T7" s="629"/>
      <c r="U7" s="630"/>
      <c r="V7" s="633"/>
      <c r="W7" s="629"/>
      <c r="X7" s="629"/>
      <c r="Y7" s="629"/>
      <c r="Z7" s="629"/>
      <c r="AA7" s="630"/>
      <c r="AB7" s="633"/>
      <c r="AC7" s="629"/>
      <c r="AD7" s="629"/>
      <c r="AE7" s="629"/>
      <c r="AF7" s="629"/>
      <c r="AG7" s="630"/>
      <c r="AH7" s="640"/>
      <c r="AI7" s="641"/>
      <c r="AJ7" s="641"/>
      <c r="AK7" s="641"/>
      <c r="AL7" s="641"/>
      <c r="AM7" s="642"/>
      <c r="AN7" s="73"/>
      <c r="AO7" s="587"/>
      <c r="AP7" s="588"/>
      <c r="AQ7" s="588"/>
      <c r="AR7" s="588"/>
      <c r="AS7" s="588"/>
      <c r="AT7" s="589"/>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x14ac:dyDescent="0.25">
      <c r="A8" s="73"/>
      <c r="B8" s="582"/>
      <c r="C8" s="582"/>
      <c r="D8" s="583"/>
      <c r="E8" s="623"/>
      <c r="F8" s="624"/>
      <c r="G8" s="624"/>
      <c r="H8" s="624"/>
      <c r="I8" s="625"/>
      <c r="J8" s="633" t="e">
        <f>IF(AND(#REF!="Muy Alta",#REF!="Leve"),CONCATENATE("R",#REF!),"")</f>
        <v>#REF!</v>
      </c>
      <c r="K8" s="629"/>
      <c r="L8" s="629" t="e">
        <f>IF(AND(#REF!="Muy Alta",#REF!="Leve"),CONCATENATE("R",#REF!),"")</f>
        <v>#REF!</v>
      </c>
      <c r="M8" s="629"/>
      <c r="N8" s="629" t="e">
        <f>IF(AND(#REF!="Muy Alta",#REF!="Leve"),CONCATENATE("R",#REF!),"")</f>
        <v>#REF!</v>
      </c>
      <c r="O8" s="630"/>
      <c r="P8" s="633" t="e">
        <f>IF(AND(#REF!="Muy Alta",#REF!="Menor"),CONCATENATE("R",#REF!),"")</f>
        <v>#REF!</v>
      </c>
      <c r="Q8" s="629"/>
      <c r="R8" s="629" t="e">
        <f>IF(AND(#REF!="Muy Alta",#REF!="Menor"),CONCATENATE("R",#REF!),"")</f>
        <v>#REF!</v>
      </c>
      <c r="S8" s="629"/>
      <c r="T8" s="629" t="e">
        <f>IF(AND(#REF!="Muy Alta",#REF!="Menor"),CONCATENATE("R",#REF!),"")</f>
        <v>#REF!</v>
      </c>
      <c r="U8" s="630"/>
      <c r="V8" s="633" t="e">
        <f>IF(AND(#REF!="Muy Alta",#REF!="Moderado"),CONCATENATE("R",#REF!),"")</f>
        <v>#REF!</v>
      </c>
      <c r="W8" s="629"/>
      <c r="X8" s="629" t="e">
        <f>IF(AND(#REF!="Muy Alta",#REF!="Moderado"),CONCATENATE("R",#REF!),"")</f>
        <v>#REF!</v>
      </c>
      <c r="Y8" s="629"/>
      <c r="Z8" s="629" t="e">
        <f>IF(AND(#REF!="Muy Alta",#REF!="Moderado"),CONCATENATE("R",#REF!),"")</f>
        <v>#REF!</v>
      </c>
      <c r="AA8" s="630"/>
      <c r="AB8" s="633" t="e">
        <f>IF(AND(#REF!="Muy Alta",#REF!="Mayor"),CONCATENATE("R",#REF!),"")</f>
        <v>#REF!</v>
      </c>
      <c r="AC8" s="629"/>
      <c r="AD8" s="629" t="e">
        <f>IF(AND(#REF!="Muy Alta",#REF!="Mayor"),CONCATENATE("R",#REF!),"")</f>
        <v>#REF!</v>
      </c>
      <c r="AE8" s="629"/>
      <c r="AF8" s="629" t="e">
        <f>IF(AND(#REF!="Muy Alta",#REF!="Mayor"),CONCATENATE("R",#REF!),"")</f>
        <v>#REF!</v>
      </c>
      <c r="AG8" s="630"/>
      <c r="AH8" s="640" t="e">
        <f>IF(AND(#REF!="Muy Alta",#REF!="Catastrófico"),CONCATENATE("R",#REF!),"")</f>
        <v>#REF!</v>
      </c>
      <c r="AI8" s="641"/>
      <c r="AJ8" s="641" t="e">
        <f>IF(AND(#REF!="Muy Alta",#REF!="Catastrófico"),CONCATENATE("R",#REF!),"")</f>
        <v>#REF!</v>
      </c>
      <c r="AK8" s="641"/>
      <c r="AL8" s="641" t="e">
        <f>IF(AND(#REF!="Muy Alta",#REF!="Catastrófico"),CONCATENATE("R",#REF!),"")</f>
        <v>#REF!</v>
      </c>
      <c r="AM8" s="642"/>
      <c r="AN8" s="73"/>
      <c r="AO8" s="587"/>
      <c r="AP8" s="588"/>
      <c r="AQ8" s="588"/>
      <c r="AR8" s="588"/>
      <c r="AS8" s="588"/>
      <c r="AT8" s="589"/>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x14ac:dyDescent="0.25">
      <c r="A9" s="73"/>
      <c r="B9" s="582"/>
      <c r="C9" s="582"/>
      <c r="D9" s="583"/>
      <c r="E9" s="623"/>
      <c r="F9" s="624"/>
      <c r="G9" s="624"/>
      <c r="H9" s="624"/>
      <c r="I9" s="625"/>
      <c r="J9" s="633"/>
      <c r="K9" s="629"/>
      <c r="L9" s="629"/>
      <c r="M9" s="629"/>
      <c r="N9" s="629"/>
      <c r="O9" s="630"/>
      <c r="P9" s="633"/>
      <c r="Q9" s="629"/>
      <c r="R9" s="629"/>
      <c r="S9" s="629"/>
      <c r="T9" s="629"/>
      <c r="U9" s="630"/>
      <c r="V9" s="633"/>
      <c r="W9" s="629"/>
      <c r="X9" s="629"/>
      <c r="Y9" s="629"/>
      <c r="Z9" s="629"/>
      <c r="AA9" s="630"/>
      <c r="AB9" s="633"/>
      <c r="AC9" s="629"/>
      <c r="AD9" s="629"/>
      <c r="AE9" s="629"/>
      <c r="AF9" s="629"/>
      <c r="AG9" s="630"/>
      <c r="AH9" s="640"/>
      <c r="AI9" s="641"/>
      <c r="AJ9" s="641"/>
      <c r="AK9" s="641"/>
      <c r="AL9" s="641"/>
      <c r="AM9" s="642"/>
      <c r="AN9" s="73"/>
      <c r="AO9" s="587"/>
      <c r="AP9" s="588"/>
      <c r="AQ9" s="588"/>
      <c r="AR9" s="588"/>
      <c r="AS9" s="588"/>
      <c r="AT9" s="589"/>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x14ac:dyDescent="0.25">
      <c r="A10" s="73"/>
      <c r="B10" s="582"/>
      <c r="C10" s="582"/>
      <c r="D10" s="583"/>
      <c r="E10" s="623"/>
      <c r="F10" s="624"/>
      <c r="G10" s="624"/>
      <c r="H10" s="624"/>
      <c r="I10" s="625"/>
      <c r="J10" s="633" t="e">
        <f>IF(AND(#REF!="Muy Alta",#REF!="Leve"),CONCATENATE("R",#REF!),"")</f>
        <v>#REF!</v>
      </c>
      <c r="K10" s="629"/>
      <c r="L10" s="629" t="e">
        <f>IF(AND(#REF!="Muy Alta",#REF!="Leve"),CONCATENATE("R",#REF!),"")</f>
        <v>#REF!</v>
      </c>
      <c r="M10" s="629"/>
      <c r="N10" s="629" t="e">
        <f>IF(AND(#REF!="Muy Alta",#REF!="Leve"),CONCATENATE("R",#REF!),"")</f>
        <v>#REF!</v>
      </c>
      <c r="O10" s="630"/>
      <c r="P10" s="633" t="e">
        <f>IF(AND(#REF!="Muy Alta",#REF!="Menor"),CONCATENATE("R",#REF!),"")</f>
        <v>#REF!</v>
      </c>
      <c r="Q10" s="629"/>
      <c r="R10" s="629" t="e">
        <f>IF(AND(#REF!="Muy Alta",#REF!="Menor"),CONCATENATE("R",#REF!),"")</f>
        <v>#REF!</v>
      </c>
      <c r="S10" s="629"/>
      <c r="T10" s="629" t="e">
        <f>IF(AND(#REF!="Muy Alta",#REF!="Menor"),CONCATENATE("R",#REF!),"")</f>
        <v>#REF!</v>
      </c>
      <c r="U10" s="630"/>
      <c r="V10" s="633" t="e">
        <f>IF(AND(#REF!="Muy Alta",#REF!="Moderado"),CONCATENATE("R",#REF!),"")</f>
        <v>#REF!</v>
      </c>
      <c r="W10" s="629"/>
      <c r="X10" s="629" t="e">
        <f>IF(AND(#REF!="Muy Alta",#REF!="Moderado"),CONCATENATE("R",#REF!),"")</f>
        <v>#REF!</v>
      </c>
      <c r="Y10" s="629"/>
      <c r="Z10" s="629" t="e">
        <f>IF(AND(#REF!="Muy Alta",#REF!="Moderado"),CONCATENATE("R",#REF!),"")</f>
        <v>#REF!</v>
      </c>
      <c r="AA10" s="630"/>
      <c r="AB10" s="633" t="e">
        <f>IF(AND(#REF!="Muy Alta",#REF!="Mayor"),CONCATENATE("R",#REF!),"")</f>
        <v>#REF!</v>
      </c>
      <c r="AC10" s="629"/>
      <c r="AD10" s="629" t="e">
        <f>IF(AND(#REF!="Muy Alta",#REF!="Mayor"),CONCATENATE("R",#REF!),"")</f>
        <v>#REF!</v>
      </c>
      <c r="AE10" s="629"/>
      <c r="AF10" s="629" t="e">
        <f>IF(AND(#REF!="Muy Alta",#REF!="Mayor"),CONCATENATE("R",#REF!),"")</f>
        <v>#REF!</v>
      </c>
      <c r="AG10" s="630"/>
      <c r="AH10" s="640" t="e">
        <f>IF(AND(#REF!="Muy Alta",#REF!="Catastrófico"),CONCATENATE("R",#REF!),"")</f>
        <v>#REF!</v>
      </c>
      <c r="AI10" s="641"/>
      <c r="AJ10" s="641" t="e">
        <f>IF(AND(#REF!="Muy Alta",#REF!="Catastrófico"),CONCATENATE("R",#REF!),"")</f>
        <v>#REF!</v>
      </c>
      <c r="AK10" s="641"/>
      <c r="AL10" s="641" t="e">
        <f>IF(AND(#REF!="Muy Alta",#REF!="Catastrófico"),CONCATENATE("R",#REF!),"")</f>
        <v>#REF!</v>
      </c>
      <c r="AM10" s="642"/>
      <c r="AN10" s="73"/>
      <c r="AO10" s="587"/>
      <c r="AP10" s="588"/>
      <c r="AQ10" s="588"/>
      <c r="AR10" s="588"/>
      <c r="AS10" s="588"/>
      <c r="AT10" s="589"/>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x14ac:dyDescent="0.25">
      <c r="A11" s="73"/>
      <c r="B11" s="582"/>
      <c r="C11" s="582"/>
      <c r="D11" s="583"/>
      <c r="E11" s="623"/>
      <c r="F11" s="624"/>
      <c r="G11" s="624"/>
      <c r="H11" s="624"/>
      <c r="I11" s="625"/>
      <c r="J11" s="633"/>
      <c r="K11" s="629"/>
      <c r="L11" s="629"/>
      <c r="M11" s="629"/>
      <c r="N11" s="629"/>
      <c r="O11" s="630"/>
      <c r="P11" s="633"/>
      <c r="Q11" s="629"/>
      <c r="R11" s="629"/>
      <c r="S11" s="629"/>
      <c r="T11" s="629"/>
      <c r="U11" s="630"/>
      <c r="V11" s="633"/>
      <c r="W11" s="629"/>
      <c r="X11" s="629"/>
      <c r="Y11" s="629"/>
      <c r="Z11" s="629"/>
      <c r="AA11" s="630"/>
      <c r="AB11" s="633"/>
      <c r="AC11" s="629"/>
      <c r="AD11" s="629"/>
      <c r="AE11" s="629"/>
      <c r="AF11" s="629"/>
      <c r="AG11" s="630"/>
      <c r="AH11" s="640"/>
      <c r="AI11" s="641"/>
      <c r="AJ11" s="641"/>
      <c r="AK11" s="641"/>
      <c r="AL11" s="641"/>
      <c r="AM11" s="642"/>
      <c r="AN11" s="73"/>
      <c r="AO11" s="587"/>
      <c r="AP11" s="588"/>
      <c r="AQ11" s="588"/>
      <c r="AR11" s="588"/>
      <c r="AS11" s="588"/>
      <c r="AT11" s="589"/>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x14ac:dyDescent="0.25">
      <c r="A12" s="73"/>
      <c r="B12" s="582"/>
      <c r="C12" s="582"/>
      <c r="D12" s="583"/>
      <c r="E12" s="623"/>
      <c r="F12" s="624"/>
      <c r="G12" s="624"/>
      <c r="H12" s="624"/>
      <c r="I12" s="625"/>
      <c r="J12" s="633" t="e">
        <f>IF(AND(#REF!="Muy Alta",#REF!="Leve"),CONCATENATE("R",#REF!),"")</f>
        <v>#REF!</v>
      </c>
      <c r="K12" s="629"/>
      <c r="L12" s="629" t="e">
        <f>IF(AND(#REF!="Muy Alta",#REF!="Leve"),CONCATENATE("R",#REF!),"")</f>
        <v>#REF!</v>
      </c>
      <c r="M12" s="629"/>
      <c r="N12" s="629" t="e">
        <f>IF(AND(#REF!="Muy Alta",#REF!="Leve"),CONCATENATE("R",#REF!),"")</f>
        <v>#REF!</v>
      </c>
      <c r="O12" s="630"/>
      <c r="P12" s="633" t="e">
        <f>IF(AND(#REF!="Muy Alta",#REF!="Menor"),CONCATENATE("R",#REF!),"")</f>
        <v>#REF!</v>
      </c>
      <c r="Q12" s="629"/>
      <c r="R12" s="629" t="e">
        <f>IF(AND(#REF!="Muy Alta",#REF!="Menor"),CONCATENATE("R",#REF!),"")</f>
        <v>#REF!</v>
      </c>
      <c r="S12" s="629"/>
      <c r="T12" s="629" t="e">
        <f>IF(AND(#REF!="Muy Alta",#REF!="Menor"),CONCATENATE("R",#REF!),"")</f>
        <v>#REF!</v>
      </c>
      <c r="U12" s="630"/>
      <c r="V12" s="633" t="e">
        <f>IF(AND(#REF!="Muy Alta",#REF!="Moderado"),CONCATENATE("R",#REF!),"")</f>
        <v>#REF!</v>
      </c>
      <c r="W12" s="629"/>
      <c r="X12" s="629" t="e">
        <f>IF(AND(#REF!="Muy Alta",#REF!="Moderado"),CONCATENATE("R",#REF!),"")</f>
        <v>#REF!</v>
      </c>
      <c r="Y12" s="629"/>
      <c r="Z12" s="629" t="e">
        <f>IF(AND(#REF!="Muy Alta",#REF!="Moderado"),CONCATENATE("R",#REF!),"")</f>
        <v>#REF!</v>
      </c>
      <c r="AA12" s="630"/>
      <c r="AB12" s="633" t="e">
        <f>IF(AND(#REF!="Muy Alta",#REF!="Mayor"),CONCATENATE("R",#REF!),"")</f>
        <v>#REF!</v>
      </c>
      <c r="AC12" s="629"/>
      <c r="AD12" s="629" t="e">
        <f>IF(AND(#REF!="Muy Alta",#REF!="Mayor"),CONCATENATE("R",#REF!),"")</f>
        <v>#REF!</v>
      </c>
      <c r="AE12" s="629"/>
      <c r="AF12" s="629" t="e">
        <f>IF(AND(#REF!="Muy Alta",#REF!="Mayor"),CONCATENATE("R",#REF!),"")</f>
        <v>#REF!</v>
      </c>
      <c r="AG12" s="630"/>
      <c r="AH12" s="640" t="e">
        <f>IF(AND(#REF!="Muy Alta",#REF!="Catastrófico"),CONCATENATE("R",#REF!),"")</f>
        <v>#REF!</v>
      </c>
      <c r="AI12" s="641"/>
      <c r="AJ12" s="641" t="e">
        <f>IF(AND(#REF!="Muy Alta",#REF!="Catastrófico"),CONCATENATE("R",#REF!),"")</f>
        <v>#REF!</v>
      </c>
      <c r="AK12" s="641"/>
      <c r="AL12" s="641" t="e">
        <f>IF(AND(#REF!="Muy Alta",#REF!="Catastrófico"),CONCATENATE("R",#REF!),"")</f>
        <v>#REF!</v>
      </c>
      <c r="AM12" s="642"/>
      <c r="AN12" s="73"/>
      <c r="AO12" s="587"/>
      <c r="AP12" s="588"/>
      <c r="AQ12" s="588"/>
      <c r="AR12" s="588"/>
      <c r="AS12" s="588"/>
      <c r="AT12" s="589"/>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x14ac:dyDescent="0.3">
      <c r="A13" s="73"/>
      <c r="B13" s="582"/>
      <c r="C13" s="582"/>
      <c r="D13" s="583"/>
      <c r="E13" s="626"/>
      <c r="F13" s="627"/>
      <c r="G13" s="627"/>
      <c r="H13" s="627"/>
      <c r="I13" s="628"/>
      <c r="J13" s="633"/>
      <c r="K13" s="629"/>
      <c r="L13" s="629"/>
      <c r="M13" s="629"/>
      <c r="N13" s="629"/>
      <c r="O13" s="630"/>
      <c r="P13" s="633"/>
      <c r="Q13" s="629"/>
      <c r="R13" s="629"/>
      <c r="S13" s="629"/>
      <c r="T13" s="629"/>
      <c r="U13" s="630"/>
      <c r="V13" s="633"/>
      <c r="W13" s="629"/>
      <c r="X13" s="629"/>
      <c r="Y13" s="629"/>
      <c r="Z13" s="629"/>
      <c r="AA13" s="630"/>
      <c r="AB13" s="633"/>
      <c r="AC13" s="629"/>
      <c r="AD13" s="629"/>
      <c r="AE13" s="629"/>
      <c r="AF13" s="629"/>
      <c r="AG13" s="630"/>
      <c r="AH13" s="643"/>
      <c r="AI13" s="644"/>
      <c r="AJ13" s="644"/>
      <c r="AK13" s="644"/>
      <c r="AL13" s="644"/>
      <c r="AM13" s="645"/>
      <c r="AN13" s="73"/>
      <c r="AO13" s="590"/>
      <c r="AP13" s="591"/>
      <c r="AQ13" s="591"/>
      <c r="AR13" s="591"/>
      <c r="AS13" s="591"/>
      <c r="AT13" s="592"/>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x14ac:dyDescent="0.25">
      <c r="A14" s="73"/>
      <c r="B14" s="582"/>
      <c r="C14" s="582"/>
      <c r="D14" s="583"/>
      <c r="E14" s="620" t="s">
        <v>295</v>
      </c>
      <c r="F14" s="621"/>
      <c r="G14" s="621"/>
      <c r="H14" s="621"/>
      <c r="I14" s="621"/>
      <c r="J14" s="655" t="e">
        <f>IF(AND(#REF!="Alta",#REF!="Leve"),CONCATENATE("R",#REF!),"")</f>
        <v>#REF!</v>
      </c>
      <c r="K14" s="656"/>
      <c r="L14" s="656" t="e">
        <f>IF(AND(#REF!="Alta",#REF!="Leve"),CONCATENATE("R",#REF!),"")</f>
        <v>#REF!</v>
      </c>
      <c r="M14" s="656"/>
      <c r="N14" s="656" t="e">
        <f>IF(AND(#REF!="Alta",#REF!="Leve"),CONCATENATE("R",#REF!),"")</f>
        <v>#REF!</v>
      </c>
      <c r="O14" s="657"/>
      <c r="P14" s="655" t="e">
        <f>IF(AND(#REF!="Alta",#REF!="Menor"),CONCATENATE("R",#REF!),"")</f>
        <v>#REF!</v>
      </c>
      <c r="Q14" s="656"/>
      <c r="R14" s="656" t="e">
        <f>IF(AND(#REF!="Alta",#REF!="Menor"),CONCATENATE("R",#REF!),"")</f>
        <v>#REF!</v>
      </c>
      <c r="S14" s="656"/>
      <c r="T14" s="656" t="e">
        <f>IF(AND(#REF!="Alta",#REF!="Menor"),CONCATENATE("R",#REF!),"")</f>
        <v>#REF!</v>
      </c>
      <c r="U14" s="657"/>
      <c r="V14" s="631" t="e">
        <f>IF(AND(#REF!="Alta",#REF!="Moderado"),CONCATENATE("R",#REF!),"")</f>
        <v>#REF!</v>
      </c>
      <c r="W14" s="632"/>
      <c r="X14" s="632" t="e">
        <f>IF(AND(#REF!="Alta",#REF!="Moderado"),CONCATENATE("R",#REF!),"")</f>
        <v>#REF!</v>
      </c>
      <c r="Y14" s="632"/>
      <c r="Z14" s="632" t="e">
        <f>IF(AND(#REF!="Alta",#REF!="Moderado"),CONCATENATE("R",#REF!),"")</f>
        <v>#REF!</v>
      </c>
      <c r="AA14" s="634"/>
      <c r="AB14" s="631" t="e">
        <f>IF(AND(#REF!="Alta",#REF!="Mayor"),CONCATENATE("R",#REF!),"")</f>
        <v>#REF!</v>
      </c>
      <c r="AC14" s="632"/>
      <c r="AD14" s="632" t="e">
        <f>IF(AND(#REF!="Alta",#REF!="Mayor"),CONCATENATE("R",#REF!),"")</f>
        <v>#REF!</v>
      </c>
      <c r="AE14" s="632"/>
      <c r="AF14" s="632" t="e">
        <f>IF(AND(#REF!="Alta",#REF!="Mayor"),CONCATENATE("R",#REF!),"")</f>
        <v>#REF!</v>
      </c>
      <c r="AG14" s="634"/>
      <c r="AH14" s="646" t="e">
        <f>IF(AND(#REF!="Alta",#REF!="Catastrófico"),CONCATENATE("R",#REF!),"")</f>
        <v>#REF!</v>
      </c>
      <c r="AI14" s="647"/>
      <c r="AJ14" s="647" t="e">
        <f>IF(AND(#REF!="Alta",#REF!="Catastrófico"),CONCATENATE("R",#REF!),"")</f>
        <v>#REF!</v>
      </c>
      <c r="AK14" s="647"/>
      <c r="AL14" s="647" t="e">
        <f>IF(AND(#REF!="Alta",#REF!="Catastrófico"),CONCATENATE("R",#REF!),"")</f>
        <v>#REF!</v>
      </c>
      <c r="AM14" s="648"/>
      <c r="AN14" s="73"/>
      <c r="AO14" s="593" t="s">
        <v>296</v>
      </c>
      <c r="AP14" s="594"/>
      <c r="AQ14" s="594"/>
      <c r="AR14" s="594"/>
      <c r="AS14" s="594"/>
      <c r="AT14" s="595"/>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x14ac:dyDescent="0.25">
      <c r="A15" s="73"/>
      <c r="B15" s="582"/>
      <c r="C15" s="582"/>
      <c r="D15" s="583"/>
      <c r="E15" s="623"/>
      <c r="F15" s="624"/>
      <c r="G15" s="624"/>
      <c r="H15" s="624"/>
      <c r="I15" s="624"/>
      <c r="J15" s="649"/>
      <c r="K15" s="650"/>
      <c r="L15" s="650"/>
      <c r="M15" s="650"/>
      <c r="N15" s="650"/>
      <c r="O15" s="651"/>
      <c r="P15" s="649"/>
      <c r="Q15" s="650"/>
      <c r="R15" s="650"/>
      <c r="S15" s="650"/>
      <c r="T15" s="650"/>
      <c r="U15" s="651"/>
      <c r="V15" s="633"/>
      <c r="W15" s="629"/>
      <c r="X15" s="629"/>
      <c r="Y15" s="629"/>
      <c r="Z15" s="629"/>
      <c r="AA15" s="630"/>
      <c r="AB15" s="633"/>
      <c r="AC15" s="629"/>
      <c r="AD15" s="629"/>
      <c r="AE15" s="629"/>
      <c r="AF15" s="629"/>
      <c r="AG15" s="630"/>
      <c r="AH15" s="640"/>
      <c r="AI15" s="641"/>
      <c r="AJ15" s="641"/>
      <c r="AK15" s="641"/>
      <c r="AL15" s="641"/>
      <c r="AM15" s="642"/>
      <c r="AN15" s="73"/>
      <c r="AO15" s="596"/>
      <c r="AP15" s="597"/>
      <c r="AQ15" s="597"/>
      <c r="AR15" s="597"/>
      <c r="AS15" s="597"/>
      <c r="AT15" s="598"/>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x14ac:dyDescent="0.25">
      <c r="A16" s="73"/>
      <c r="B16" s="582"/>
      <c r="C16" s="582"/>
      <c r="D16" s="583"/>
      <c r="E16" s="623"/>
      <c r="F16" s="624"/>
      <c r="G16" s="624"/>
      <c r="H16" s="624"/>
      <c r="I16" s="624"/>
      <c r="J16" s="649" t="e">
        <f>IF(AND(#REF!="Alta",#REF!="Leve"),CONCATENATE("R",#REF!),"")</f>
        <v>#REF!</v>
      </c>
      <c r="K16" s="650"/>
      <c r="L16" s="650" t="e">
        <f>IF(AND(#REF!="Alta",#REF!="Leve"),CONCATENATE("R",#REF!),"")</f>
        <v>#REF!</v>
      </c>
      <c r="M16" s="650"/>
      <c r="N16" s="650" t="e">
        <f>IF(AND(#REF!="Alta",#REF!="Leve"),CONCATENATE("R",#REF!),"")</f>
        <v>#REF!</v>
      </c>
      <c r="O16" s="651"/>
      <c r="P16" s="649" t="e">
        <f>IF(AND(#REF!="Alta",#REF!="Menor"),CONCATENATE("R",#REF!),"")</f>
        <v>#REF!</v>
      </c>
      <c r="Q16" s="650"/>
      <c r="R16" s="650" t="e">
        <f>IF(AND(#REF!="Alta",#REF!="Menor"),CONCATENATE("R",#REF!),"")</f>
        <v>#REF!</v>
      </c>
      <c r="S16" s="650"/>
      <c r="T16" s="650" t="e">
        <f>IF(AND(#REF!="Alta",#REF!="Menor"),CONCATENATE("R",#REF!),"")</f>
        <v>#REF!</v>
      </c>
      <c r="U16" s="651"/>
      <c r="V16" s="633" t="e">
        <f>IF(AND(#REF!="Alta",#REF!="Moderado"),CONCATENATE("R",#REF!),"")</f>
        <v>#REF!</v>
      </c>
      <c r="W16" s="629"/>
      <c r="X16" s="629" t="e">
        <f>IF(AND(#REF!="Alta",#REF!="Moderado"),CONCATENATE("R",#REF!),"")</f>
        <v>#REF!</v>
      </c>
      <c r="Y16" s="629"/>
      <c r="Z16" s="629" t="e">
        <f>IF(AND(#REF!="Alta",#REF!="Moderado"),CONCATENATE("R",#REF!),"")</f>
        <v>#REF!</v>
      </c>
      <c r="AA16" s="630"/>
      <c r="AB16" s="633" t="e">
        <f>IF(AND(#REF!="Alta",#REF!="Mayor"),CONCATENATE("R",#REF!),"")</f>
        <v>#REF!</v>
      </c>
      <c r="AC16" s="629"/>
      <c r="AD16" s="629" t="e">
        <f>IF(AND(#REF!="Alta",#REF!="Mayor"),CONCATENATE("R",#REF!),"")</f>
        <v>#REF!</v>
      </c>
      <c r="AE16" s="629"/>
      <c r="AF16" s="629" t="e">
        <f>IF(AND(#REF!="Alta",#REF!="Mayor"),CONCATENATE("R",#REF!),"")</f>
        <v>#REF!</v>
      </c>
      <c r="AG16" s="630"/>
      <c r="AH16" s="640" t="e">
        <f>IF(AND(#REF!="Alta",#REF!="Catastrófico"),CONCATENATE("R",#REF!),"")</f>
        <v>#REF!</v>
      </c>
      <c r="AI16" s="641"/>
      <c r="AJ16" s="641" t="e">
        <f>IF(AND(#REF!="Alta",#REF!="Catastrófico"),CONCATENATE("R",#REF!),"")</f>
        <v>#REF!</v>
      </c>
      <c r="AK16" s="641"/>
      <c r="AL16" s="641" t="e">
        <f>IF(AND(#REF!="Alta",#REF!="Catastrófico"),CONCATENATE("R",#REF!),"")</f>
        <v>#REF!</v>
      </c>
      <c r="AM16" s="642"/>
      <c r="AN16" s="73"/>
      <c r="AO16" s="596"/>
      <c r="AP16" s="597"/>
      <c r="AQ16" s="597"/>
      <c r="AR16" s="597"/>
      <c r="AS16" s="597"/>
      <c r="AT16" s="598"/>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x14ac:dyDescent="0.25">
      <c r="A17" s="73"/>
      <c r="B17" s="582"/>
      <c r="C17" s="582"/>
      <c r="D17" s="583"/>
      <c r="E17" s="623"/>
      <c r="F17" s="624"/>
      <c r="G17" s="624"/>
      <c r="H17" s="624"/>
      <c r="I17" s="624"/>
      <c r="J17" s="649"/>
      <c r="K17" s="650"/>
      <c r="L17" s="650"/>
      <c r="M17" s="650"/>
      <c r="N17" s="650"/>
      <c r="O17" s="651"/>
      <c r="P17" s="649"/>
      <c r="Q17" s="650"/>
      <c r="R17" s="650"/>
      <c r="S17" s="650"/>
      <c r="T17" s="650"/>
      <c r="U17" s="651"/>
      <c r="V17" s="633"/>
      <c r="W17" s="629"/>
      <c r="X17" s="629"/>
      <c r="Y17" s="629"/>
      <c r="Z17" s="629"/>
      <c r="AA17" s="630"/>
      <c r="AB17" s="633"/>
      <c r="AC17" s="629"/>
      <c r="AD17" s="629"/>
      <c r="AE17" s="629"/>
      <c r="AF17" s="629"/>
      <c r="AG17" s="630"/>
      <c r="AH17" s="640"/>
      <c r="AI17" s="641"/>
      <c r="AJ17" s="641"/>
      <c r="AK17" s="641"/>
      <c r="AL17" s="641"/>
      <c r="AM17" s="642"/>
      <c r="AN17" s="73"/>
      <c r="AO17" s="596"/>
      <c r="AP17" s="597"/>
      <c r="AQ17" s="597"/>
      <c r="AR17" s="597"/>
      <c r="AS17" s="597"/>
      <c r="AT17" s="598"/>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x14ac:dyDescent="0.25">
      <c r="A18" s="73"/>
      <c r="B18" s="582"/>
      <c r="C18" s="582"/>
      <c r="D18" s="583"/>
      <c r="E18" s="623"/>
      <c r="F18" s="624"/>
      <c r="G18" s="624"/>
      <c r="H18" s="624"/>
      <c r="I18" s="624"/>
      <c r="J18" s="649" t="e">
        <f>IF(AND(#REF!="Alta",#REF!="Leve"),CONCATENATE("R",#REF!),"")</f>
        <v>#REF!</v>
      </c>
      <c r="K18" s="650"/>
      <c r="L18" s="650" t="e">
        <f>IF(AND(#REF!="Alta",#REF!="Leve"),CONCATENATE("R",#REF!),"")</f>
        <v>#REF!</v>
      </c>
      <c r="M18" s="650"/>
      <c r="N18" s="650" t="e">
        <f>IF(AND(#REF!="Alta",#REF!="Leve"),CONCATENATE("R",#REF!),"")</f>
        <v>#REF!</v>
      </c>
      <c r="O18" s="651"/>
      <c r="P18" s="649" t="e">
        <f>IF(AND(#REF!="Alta",#REF!="Menor"),CONCATENATE("R",#REF!),"")</f>
        <v>#REF!</v>
      </c>
      <c r="Q18" s="650"/>
      <c r="R18" s="650" t="e">
        <f>IF(AND(#REF!="Alta",#REF!="Menor"),CONCATENATE("R",#REF!),"")</f>
        <v>#REF!</v>
      </c>
      <c r="S18" s="650"/>
      <c r="T18" s="650" t="e">
        <f>IF(AND(#REF!="Alta",#REF!="Menor"),CONCATENATE("R",#REF!),"")</f>
        <v>#REF!</v>
      </c>
      <c r="U18" s="651"/>
      <c r="V18" s="633" t="e">
        <f>IF(AND(#REF!="Alta",#REF!="Moderado"),CONCATENATE("R",#REF!),"")</f>
        <v>#REF!</v>
      </c>
      <c r="W18" s="629"/>
      <c r="X18" s="629" t="e">
        <f>IF(AND(#REF!="Alta",#REF!="Moderado"),CONCATENATE("R",#REF!),"")</f>
        <v>#REF!</v>
      </c>
      <c r="Y18" s="629"/>
      <c r="Z18" s="629" t="e">
        <f>IF(AND(#REF!="Alta",#REF!="Moderado"),CONCATENATE("R",#REF!),"")</f>
        <v>#REF!</v>
      </c>
      <c r="AA18" s="630"/>
      <c r="AB18" s="633" t="e">
        <f>IF(AND(#REF!="Alta",#REF!="Mayor"),CONCATENATE("R",#REF!),"")</f>
        <v>#REF!</v>
      </c>
      <c r="AC18" s="629"/>
      <c r="AD18" s="629" t="e">
        <f>IF(AND(#REF!="Alta",#REF!="Mayor"),CONCATENATE("R",#REF!),"")</f>
        <v>#REF!</v>
      </c>
      <c r="AE18" s="629"/>
      <c r="AF18" s="629" t="e">
        <f>IF(AND(#REF!="Alta",#REF!="Mayor"),CONCATENATE("R",#REF!),"")</f>
        <v>#REF!</v>
      </c>
      <c r="AG18" s="630"/>
      <c r="AH18" s="640" t="e">
        <f>IF(AND(#REF!="Alta",#REF!="Catastrófico"),CONCATENATE("R",#REF!),"")</f>
        <v>#REF!</v>
      </c>
      <c r="AI18" s="641"/>
      <c r="AJ18" s="641" t="e">
        <f>IF(AND(#REF!="Alta",#REF!="Catastrófico"),CONCATENATE("R",#REF!),"")</f>
        <v>#REF!</v>
      </c>
      <c r="AK18" s="641"/>
      <c r="AL18" s="641" t="e">
        <f>IF(AND(#REF!="Alta",#REF!="Catastrófico"),CONCATENATE("R",#REF!),"")</f>
        <v>#REF!</v>
      </c>
      <c r="AM18" s="642"/>
      <c r="AN18" s="73"/>
      <c r="AO18" s="596"/>
      <c r="AP18" s="597"/>
      <c r="AQ18" s="597"/>
      <c r="AR18" s="597"/>
      <c r="AS18" s="597"/>
      <c r="AT18" s="598"/>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x14ac:dyDescent="0.25">
      <c r="A19" s="73"/>
      <c r="B19" s="582"/>
      <c r="C19" s="582"/>
      <c r="D19" s="583"/>
      <c r="E19" s="623"/>
      <c r="F19" s="624"/>
      <c r="G19" s="624"/>
      <c r="H19" s="624"/>
      <c r="I19" s="624"/>
      <c r="J19" s="649"/>
      <c r="K19" s="650"/>
      <c r="L19" s="650"/>
      <c r="M19" s="650"/>
      <c r="N19" s="650"/>
      <c r="O19" s="651"/>
      <c r="P19" s="649"/>
      <c r="Q19" s="650"/>
      <c r="R19" s="650"/>
      <c r="S19" s="650"/>
      <c r="T19" s="650"/>
      <c r="U19" s="651"/>
      <c r="V19" s="633"/>
      <c r="W19" s="629"/>
      <c r="X19" s="629"/>
      <c r="Y19" s="629"/>
      <c r="Z19" s="629"/>
      <c r="AA19" s="630"/>
      <c r="AB19" s="633"/>
      <c r="AC19" s="629"/>
      <c r="AD19" s="629"/>
      <c r="AE19" s="629"/>
      <c r="AF19" s="629"/>
      <c r="AG19" s="630"/>
      <c r="AH19" s="640"/>
      <c r="AI19" s="641"/>
      <c r="AJ19" s="641"/>
      <c r="AK19" s="641"/>
      <c r="AL19" s="641"/>
      <c r="AM19" s="642"/>
      <c r="AN19" s="73"/>
      <c r="AO19" s="596"/>
      <c r="AP19" s="597"/>
      <c r="AQ19" s="597"/>
      <c r="AR19" s="597"/>
      <c r="AS19" s="597"/>
      <c r="AT19" s="598"/>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x14ac:dyDescent="0.25">
      <c r="A20" s="73"/>
      <c r="B20" s="582"/>
      <c r="C20" s="582"/>
      <c r="D20" s="583"/>
      <c r="E20" s="623"/>
      <c r="F20" s="624"/>
      <c r="G20" s="624"/>
      <c r="H20" s="624"/>
      <c r="I20" s="624"/>
      <c r="J20" s="649" t="e">
        <f>IF(AND(#REF!="Alta",#REF!="Leve"),CONCATENATE("R",#REF!),"")</f>
        <v>#REF!</v>
      </c>
      <c r="K20" s="650"/>
      <c r="L20" s="650" t="e">
        <f>IF(AND(#REF!="Alta",#REF!="Leve"),CONCATENATE("R",#REF!),"")</f>
        <v>#REF!</v>
      </c>
      <c r="M20" s="650"/>
      <c r="N20" s="650" t="e">
        <f>IF(AND(#REF!="Alta",#REF!="Leve"),CONCATENATE("R",#REF!),"")</f>
        <v>#REF!</v>
      </c>
      <c r="O20" s="651"/>
      <c r="P20" s="649" t="e">
        <f>IF(AND(#REF!="Alta",#REF!="Menor"),CONCATENATE("R",#REF!),"")</f>
        <v>#REF!</v>
      </c>
      <c r="Q20" s="650"/>
      <c r="R20" s="650" t="e">
        <f>IF(AND(#REF!="Alta",#REF!="Menor"),CONCATENATE("R",#REF!),"")</f>
        <v>#REF!</v>
      </c>
      <c r="S20" s="650"/>
      <c r="T20" s="650" t="e">
        <f>IF(AND(#REF!="Alta",#REF!="Menor"),CONCATENATE("R",#REF!),"")</f>
        <v>#REF!</v>
      </c>
      <c r="U20" s="651"/>
      <c r="V20" s="633" t="e">
        <f>IF(AND(#REF!="Alta",#REF!="Moderado"),CONCATENATE("R",#REF!),"")</f>
        <v>#REF!</v>
      </c>
      <c r="W20" s="629"/>
      <c r="X20" s="629" t="e">
        <f>IF(AND(#REF!="Alta",#REF!="Moderado"),CONCATENATE("R",#REF!),"")</f>
        <v>#REF!</v>
      </c>
      <c r="Y20" s="629"/>
      <c r="Z20" s="629" t="e">
        <f>IF(AND(#REF!="Alta",#REF!="Moderado"),CONCATENATE("R",#REF!),"")</f>
        <v>#REF!</v>
      </c>
      <c r="AA20" s="630"/>
      <c r="AB20" s="633" t="e">
        <f>IF(AND(#REF!="Alta",#REF!="Mayor"),CONCATENATE("R",#REF!),"")</f>
        <v>#REF!</v>
      </c>
      <c r="AC20" s="629"/>
      <c r="AD20" s="629" t="e">
        <f>IF(AND(#REF!="Alta",#REF!="Mayor"),CONCATENATE("R",#REF!),"")</f>
        <v>#REF!</v>
      </c>
      <c r="AE20" s="629"/>
      <c r="AF20" s="629" t="e">
        <f>IF(AND(#REF!="Alta",#REF!="Mayor"),CONCATENATE("R",#REF!),"")</f>
        <v>#REF!</v>
      </c>
      <c r="AG20" s="630"/>
      <c r="AH20" s="640" t="e">
        <f>IF(AND(#REF!="Alta",#REF!="Catastrófico"),CONCATENATE("R",#REF!),"")</f>
        <v>#REF!</v>
      </c>
      <c r="AI20" s="641"/>
      <c r="AJ20" s="641" t="e">
        <f>IF(AND(#REF!="Alta",#REF!="Catastrófico"),CONCATENATE("R",#REF!),"")</f>
        <v>#REF!</v>
      </c>
      <c r="AK20" s="641"/>
      <c r="AL20" s="641" t="e">
        <f>IF(AND(#REF!="Alta",#REF!="Catastrófico"),CONCATENATE("R",#REF!),"")</f>
        <v>#REF!</v>
      </c>
      <c r="AM20" s="642"/>
      <c r="AN20" s="73"/>
      <c r="AO20" s="596"/>
      <c r="AP20" s="597"/>
      <c r="AQ20" s="597"/>
      <c r="AR20" s="597"/>
      <c r="AS20" s="597"/>
      <c r="AT20" s="598"/>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x14ac:dyDescent="0.3">
      <c r="A21" s="73"/>
      <c r="B21" s="582"/>
      <c r="C21" s="582"/>
      <c r="D21" s="583"/>
      <c r="E21" s="626"/>
      <c r="F21" s="627"/>
      <c r="G21" s="627"/>
      <c r="H21" s="627"/>
      <c r="I21" s="627"/>
      <c r="J21" s="652"/>
      <c r="K21" s="653"/>
      <c r="L21" s="653"/>
      <c r="M21" s="653"/>
      <c r="N21" s="653"/>
      <c r="O21" s="654"/>
      <c r="P21" s="652"/>
      <c r="Q21" s="653"/>
      <c r="R21" s="653"/>
      <c r="S21" s="653"/>
      <c r="T21" s="653"/>
      <c r="U21" s="654"/>
      <c r="V21" s="637"/>
      <c r="W21" s="638"/>
      <c r="X21" s="638"/>
      <c r="Y21" s="638"/>
      <c r="Z21" s="638"/>
      <c r="AA21" s="639"/>
      <c r="AB21" s="637"/>
      <c r="AC21" s="638"/>
      <c r="AD21" s="638"/>
      <c r="AE21" s="638"/>
      <c r="AF21" s="638"/>
      <c r="AG21" s="639"/>
      <c r="AH21" s="643"/>
      <c r="AI21" s="644"/>
      <c r="AJ21" s="644"/>
      <c r="AK21" s="644"/>
      <c r="AL21" s="644"/>
      <c r="AM21" s="645"/>
      <c r="AN21" s="73"/>
      <c r="AO21" s="599"/>
      <c r="AP21" s="600"/>
      <c r="AQ21" s="600"/>
      <c r="AR21" s="600"/>
      <c r="AS21" s="600"/>
      <c r="AT21" s="601"/>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x14ac:dyDescent="0.25">
      <c r="A22" s="73"/>
      <c r="B22" s="582"/>
      <c r="C22" s="582"/>
      <c r="D22" s="583"/>
      <c r="E22" s="620" t="s">
        <v>297</v>
      </c>
      <c r="F22" s="621"/>
      <c r="G22" s="621"/>
      <c r="H22" s="621"/>
      <c r="I22" s="622"/>
      <c r="J22" s="655" t="e">
        <f>IF(AND(#REF!="Media",#REF!="Leve"),CONCATENATE("R",#REF!),"")</f>
        <v>#REF!</v>
      </c>
      <c r="K22" s="656"/>
      <c r="L22" s="656" t="e">
        <f>IF(AND(#REF!="Media",#REF!="Leve"),CONCATENATE("R",#REF!),"")</f>
        <v>#REF!</v>
      </c>
      <c r="M22" s="656"/>
      <c r="N22" s="656" t="e">
        <f>IF(AND(#REF!="Media",#REF!="Leve"),CONCATENATE("R",#REF!),"")</f>
        <v>#REF!</v>
      </c>
      <c r="O22" s="657"/>
      <c r="P22" s="655" t="e">
        <f>IF(AND(#REF!="Media",#REF!="Menor"),CONCATENATE("R",#REF!),"")</f>
        <v>#REF!</v>
      </c>
      <c r="Q22" s="656"/>
      <c r="R22" s="656" t="e">
        <f>IF(AND(#REF!="Media",#REF!="Menor"),CONCATENATE("R",#REF!),"")</f>
        <v>#REF!</v>
      </c>
      <c r="S22" s="656"/>
      <c r="T22" s="656" t="e">
        <f>IF(AND(#REF!="Media",#REF!="Menor"),CONCATENATE("R",#REF!),"")</f>
        <v>#REF!</v>
      </c>
      <c r="U22" s="657"/>
      <c r="V22" s="655" t="e">
        <f>IF(AND(#REF!="Media",#REF!="Moderado"),CONCATENATE("R",#REF!),"")</f>
        <v>#REF!</v>
      </c>
      <c r="W22" s="656"/>
      <c r="X22" s="656" t="e">
        <f>IF(AND(#REF!="Media",#REF!="Moderado"),CONCATENATE("R",#REF!),"")</f>
        <v>#REF!</v>
      </c>
      <c r="Y22" s="656"/>
      <c r="Z22" s="656" t="e">
        <f>IF(AND(#REF!="Media",#REF!="Moderado"),CONCATENATE("R",#REF!),"")</f>
        <v>#REF!</v>
      </c>
      <c r="AA22" s="657"/>
      <c r="AB22" s="631" t="e">
        <f>IF(AND(#REF!="Media",#REF!="Mayor"),CONCATENATE("R",#REF!),"")</f>
        <v>#REF!</v>
      </c>
      <c r="AC22" s="632"/>
      <c r="AD22" s="632" t="e">
        <f>IF(AND(#REF!="Media",#REF!="Mayor"),CONCATENATE("R",#REF!),"")</f>
        <v>#REF!</v>
      </c>
      <c r="AE22" s="632"/>
      <c r="AF22" s="632" t="e">
        <f>IF(AND(#REF!="Media",#REF!="Mayor"),CONCATENATE("R",#REF!),"")</f>
        <v>#REF!</v>
      </c>
      <c r="AG22" s="634"/>
      <c r="AH22" s="646" t="e">
        <f>IF(AND(#REF!="Media",#REF!="Catastrófico"),CONCATENATE("R",#REF!),"")</f>
        <v>#REF!</v>
      </c>
      <c r="AI22" s="647"/>
      <c r="AJ22" s="647" t="e">
        <f>IF(AND(#REF!="Media",#REF!="Catastrófico"),CONCATENATE("R",#REF!),"")</f>
        <v>#REF!</v>
      </c>
      <c r="AK22" s="647"/>
      <c r="AL22" s="647" t="e">
        <f>IF(AND(#REF!="Media",#REF!="Catastrófico"),CONCATENATE("R",#REF!),"")</f>
        <v>#REF!</v>
      </c>
      <c r="AM22" s="648"/>
      <c r="AN22" s="73"/>
      <c r="AO22" s="602" t="s">
        <v>26</v>
      </c>
      <c r="AP22" s="603"/>
      <c r="AQ22" s="603"/>
      <c r="AR22" s="603"/>
      <c r="AS22" s="603"/>
      <c r="AT22" s="604"/>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x14ac:dyDescent="0.25">
      <c r="A23" s="73"/>
      <c r="B23" s="582"/>
      <c r="C23" s="582"/>
      <c r="D23" s="583"/>
      <c r="E23" s="623"/>
      <c r="F23" s="624"/>
      <c r="G23" s="624"/>
      <c r="H23" s="624"/>
      <c r="I23" s="625"/>
      <c r="J23" s="649"/>
      <c r="K23" s="650"/>
      <c r="L23" s="650"/>
      <c r="M23" s="650"/>
      <c r="N23" s="650"/>
      <c r="O23" s="651"/>
      <c r="P23" s="649"/>
      <c r="Q23" s="650"/>
      <c r="R23" s="650"/>
      <c r="S23" s="650"/>
      <c r="T23" s="650"/>
      <c r="U23" s="651"/>
      <c r="V23" s="649"/>
      <c r="W23" s="650"/>
      <c r="X23" s="650"/>
      <c r="Y23" s="650"/>
      <c r="Z23" s="650"/>
      <c r="AA23" s="651"/>
      <c r="AB23" s="633"/>
      <c r="AC23" s="629"/>
      <c r="AD23" s="629"/>
      <c r="AE23" s="629"/>
      <c r="AF23" s="629"/>
      <c r="AG23" s="630"/>
      <c r="AH23" s="640"/>
      <c r="AI23" s="641"/>
      <c r="AJ23" s="641"/>
      <c r="AK23" s="641"/>
      <c r="AL23" s="641"/>
      <c r="AM23" s="642"/>
      <c r="AN23" s="73"/>
      <c r="AO23" s="605"/>
      <c r="AP23" s="606"/>
      <c r="AQ23" s="606"/>
      <c r="AR23" s="606"/>
      <c r="AS23" s="606"/>
      <c r="AT23" s="607"/>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x14ac:dyDescent="0.25">
      <c r="A24" s="73"/>
      <c r="B24" s="582"/>
      <c r="C24" s="582"/>
      <c r="D24" s="583"/>
      <c r="E24" s="623"/>
      <c r="F24" s="624"/>
      <c r="G24" s="624"/>
      <c r="H24" s="624"/>
      <c r="I24" s="625"/>
      <c r="J24" s="649" t="e">
        <f>IF(AND(#REF!="Media",#REF!="Leve"),CONCATENATE("R",#REF!),"")</f>
        <v>#REF!</v>
      </c>
      <c r="K24" s="650"/>
      <c r="L24" s="650" t="e">
        <f>IF(AND(#REF!="Media",#REF!="Leve"),CONCATENATE("R",#REF!),"")</f>
        <v>#REF!</v>
      </c>
      <c r="M24" s="650"/>
      <c r="N24" s="650" t="e">
        <f>IF(AND(#REF!="Media",#REF!="Leve"),CONCATENATE("R",#REF!),"")</f>
        <v>#REF!</v>
      </c>
      <c r="O24" s="651"/>
      <c r="P24" s="649" t="e">
        <f>IF(AND(#REF!="Media",#REF!="Menor"),CONCATENATE("R",#REF!),"")</f>
        <v>#REF!</v>
      </c>
      <c r="Q24" s="650"/>
      <c r="R24" s="650" t="e">
        <f>IF(AND(#REF!="Media",#REF!="Menor"),CONCATENATE("R",#REF!),"")</f>
        <v>#REF!</v>
      </c>
      <c r="S24" s="650"/>
      <c r="T24" s="650" t="e">
        <f>IF(AND(#REF!="Media",#REF!="Menor"),CONCATENATE("R",#REF!),"")</f>
        <v>#REF!</v>
      </c>
      <c r="U24" s="651"/>
      <c r="V24" s="649" t="e">
        <f>IF(AND(#REF!="Media",#REF!="Moderado"),CONCATENATE("R",#REF!),"")</f>
        <v>#REF!</v>
      </c>
      <c r="W24" s="650"/>
      <c r="X24" s="650" t="e">
        <f>IF(AND(#REF!="Media",#REF!="Moderado"),CONCATENATE("R",#REF!),"")</f>
        <v>#REF!</v>
      </c>
      <c r="Y24" s="650"/>
      <c r="Z24" s="650" t="e">
        <f>IF(AND(#REF!="Media",#REF!="Moderado"),CONCATENATE("R",#REF!),"")</f>
        <v>#REF!</v>
      </c>
      <c r="AA24" s="651"/>
      <c r="AB24" s="633" t="e">
        <f>IF(AND(#REF!="Media",#REF!="Mayor"),CONCATENATE("R",#REF!),"")</f>
        <v>#REF!</v>
      </c>
      <c r="AC24" s="629"/>
      <c r="AD24" s="629" t="e">
        <f>IF(AND(#REF!="Media",#REF!="Mayor"),CONCATENATE("R",#REF!),"")</f>
        <v>#REF!</v>
      </c>
      <c r="AE24" s="629"/>
      <c r="AF24" s="629" t="e">
        <f>IF(AND(#REF!="Media",#REF!="Mayor"),CONCATENATE("R",#REF!),"")</f>
        <v>#REF!</v>
      </c>
      <c r="AG24" s="630"/>
      <c r="AH24" s="640" t="e">
        <f>IF(AND(#REF!="Media",#REF!="Catastrófico"),CONCATENATE("R",#REF!),"")</f>
        <v>#REF!</v>
      </c>
      <c r="AI24" s="641"/>
      <c r="AJ24" s="641" t="e">
        <f>IF(AND(#REF!="Media",#REF!="Catastrófico"),CONCATENATE("R",#REF!),"")</f>
        <v>#REF!</v>
      </c>
      <c r="AK24" s="641"/>
      <c r="AL24" s="641" t="e">
        <f>IF(AND(#REF!="Media",#REF!="Catastrófico"),CONCATENATE("R",#REF!),"")</f>
        <v>#REF!</v>
      </c>
      <c r="AM24" s="642"/>
      <c r="AN24" s="73"/>
      <c r="AO24" s="605"/>
      <c r="AP24" s="606"/>
      <c r="AQ24" s="606"/>
      <c r="AR24" s="606"/>
      <c r="AS24" s="606"/>
      <c r="AT24" s="607"/>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x14ac:dyDescent="0.25">
      <c r="A25" s="73"/>
      <c r="B25" s="582"/>
      <c r="C25" s="582"/>
      <c r="D25" s="583"/>
      <c r="E25" s="623"/>
      <c r="F25" s="624"/>
      <c r="G25" s="624"/>
      <c r="H25" s="624"/>
      <c r="I25" s="625"/>
      <c r="J25" s="649"/>
      <c r="K25" s="650"/>
      <c r="L25" s="650"/>
      <c r="M25" s="650"/>
      <c r="N25" s="650"/>
      <c r="O25" s="651"/>
      <c r="P25" s="649"/>
      <c r="Q25" s="650"/>
      <c r="R25" s="650"/>
      <c r="S25" s="650"/>
      <c r="T25" s="650"/>
      <c r="U25" s="651"/>
      <c r="V25" s="649"/>
      <c r="W25" s="650"/>
      <c r="X25" s="650"/>
      <c r="Y25" s="650"/>
      <c r="Z25" s="650"/>
      <c r="AA25" s="651"/>
      <c r="AB25" s="633"/>
      <c r="AC25" s="629"/>
      <c r="AD25" s="629"/>
      <c r="AE25" s="629"/>
      <c r="AF25" s="629"/>
      <c r="AG25" s="630"/>
      <c r="AH25" s="640"/>
      <c r="AI25" s="641"/>
      <c r="AJ25" s="641"/>
      <c r="AK25" s="641"/>
      <c r="AL25" s="641"/>
      <c r="AM25" s="642"/>
      <c r="AN25" s="73"/>
      <c r="AO25" s="605"/>
      <c r="AP25" s="606"/>
      <c r="AQ25" s="606"/>
      <c r="AR25" s="606"/>
      <c r="AS25" s="606"/>
      <c r="AT25" s="607"/>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x14ac:dyDescent="0.25">
      <c r="A26" s="73"/>
      <c r="B26" s="582"/>
      <c r="C26" s="582"/>
      <c r="D26" s="583"/>
      <c r="E26" s="623"/>
      <c r="F26" s="624"/>
      <c r="G26" s="624"/>
      <c r="H26" s="624"/>
      <c r="I26" s="625"/>
      <c r="J26" s="649" t="e">
        <f>IF(AND(#REF!="Media",#REF!="Leve"),CONCATENATE("R",#REF!),"")</f>
        <v>#REF!</v>
      </c>
      <c r="K26" s="650"/>
      <c r="L26" s="650" t="e">
        <f>IF(AND(#REF!="Media",#REF!="Leve"),CONCATENATE("R",#REF!),"")</f>
        <v>#REF!</v>
      </c>
      <c r="M26" s="650"/>
      <c r="N26" s="650" t="e">
        <f>IF(AND(#REF!="Media",#REF!="Leve"),CONCATENATE("R",#REF!),"")</f>
        <v>#REF!</v>
      </c>
      <c r="O26" s="651"/>
      <c r="P26" s="649" t="e">
        <f>IF(AND(#REF!="Media",#REF!="Menor"),CONCATENATE("R",#REF!),"")</f>
        <v>#REF!</v>
      </c>
      <c r="Q26" s="650"/>
      <c r="R26" s="650" t="e">
        <f>IF(AND(#REF!="Media",#REF!="Menor"),CONCATENATE("R",#REF!),"")</f>
        <v>#REF!</v>
      </c>
      <c r="S26" s="650"/>
      <c r="T26" s="650" t="e">
        <f>IF(AND(#REF!="Media",#REF!="Menor"),CONCATENATE("R",#REF!),"")</f>
        <v>#REF!</v>
      </c>
      <c r="U26" s="651"/>
      <c r="V26" s="649" t="e">
        <f>IF(AND(#REF!="Media",#REF!="Moderado"),CONCATENATE("R",#REF!),"")</f>
        <v>#REF!</v>
      </c>
      <c r="W26" s="650"/>
      <c r="X26" s="650" t="e">
        <f>IF(AND(#REF!="Media",#REF!="Moderado"),CONCATENATE("R",#REF!),"")</f>
        <v>#REF!</v>
      </c>
      <c r="Y26" s="650"/>
      <c r="Z26" s="650" t="e">
        <f>IF(AND(#REF!="Media",#REF!="Moderado"),CONCATENATE("R",#REF!),"")</f>
        <v>#REF!</v>
      </c>
      <c r="AA26" s="651"/>
      <c r="AB26" s="633" t="e">
        <f>IF(AND(#REF!="Media",#REF!="Mayor"),CONCATENATE("R",#REF!),"")</f>
        <v>#REF!</v>
      </c>
      <c r="AC26" s="629"/>
      <c r="AD26" s="629" t="e">
        <f>IF(AND(#REF!="Media",#REF!="Mayor"),CONCATENATE("R",#REF!),"")</f>
        <v>#REF!</v>
      </c>
      <c r="AE26" s="629"/>
      <c r="AF26" s="629" t="e">
        <f>IF(AND(#REF!="Media",#REF!="Mayor"),CONCATENATE("R",#REF!),"")</f>
        <v>#REF!</v>
      </c>
      <c r="AG26" s="630"/>
      <c r="AH26" s="640" t="e">
        <f>IF(AND(#REF!="Media",#REF!="Catastrófico"),CONCATENATE("R",#REF!),"")</f>
        <v>#REF!</v>
      </c>
      <c r="AI26" s="641"/>
      <c r="AJ26" s="641" t="e">
        <f>IF(AND(#REF!="Media",#REF!="Catastrófico"),CONCATENATE("R",#REF!),"")</f>
        <v>#REF!</v>
      </c>
      <c r="AK26" s="641"/>
      <c r="AL26" s="641" t="e">
        <f>IF(AND(#REF!="Media",#REF!="Catastrófico"),CONCATENATE("R",#REF!),"")</f>
        <v>#REF!</v>
      </c>
      <c r="AM26" s="642"/>
      <c r="AN26" s="73"/>
      <c r="AO26" s="605"/>
      <c r="AP26" s="606"/>
      <c r="AQ26" s="606"/>
      <c r="AR26" s="606"/>
      <c r="AS26" s="606"/>
      <c r="AT26" s="607"/>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x14ac:dyDescent="0.25">
      <c r="A27" s="73"/>
      <c r="B27" s="582"/>
      <c r="C27" s="582"/>
      <c r="D27" s="583"/>
      <c r="E27" s="623"/>
      <c r="F27" s="624"/>
      <c r="G27" s="624"/>
      <c r="H27" s="624"/>
      <c r="I27" s="625"/>
      <c r="J27" s="649"/>
      <c r="K27" s="650"/>
      <c r="L27" s="650"/>
      <c r="M27" s="650"/>
      <c r="N27" s="650"/>
      <c r="O27" s="651"/>
      <c r="P27" s="649"/>
      <c r="Q27" s="650"/>
      <c r="R27" s="650"/>
      <c r="S27" s="650"/>
      <c r="T27" s="650"/>
      <c r="U27" s="651"/>
      <c r="V27" s="649"/>
      <c r="W27" s="650"/>
      <c r="X27" s="650"/>
      <c r="Y27" s="650"/>
      <c r="Z27" s="650"/>
      <c r="AA27" s="651"/>
      <c r="AB27" s="633"/>
      <c r="AC27" s="629"/>
      <c r="AD27" s="629"/>
      <c r="AE27" s="629"/>
      <c r="AF27" s="629"/>
      <c r="AG27" s="630"/>
      <c r="AH27" s="640"/>
      <c r="AI27" s="641"/>
      <c r="AJ27" s="641"/>
      <c r="AK27" s="641"/>
      <c r="AL27" s="641"/>
      <c r="AM27" s="642"/>
      <c r="AN27" s="73"/>
      <c r="AO27" s="605"/>
      <c r="AP27" s="606"/>
      <c r="AQ27" s="606"/>
      <c r="AR27" s="606"/>
      <c r="AS27" s="606"/>
      <c r="AT27" s="607"/>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x14ac:dyDescent="0.25">
      <c r="A28" s="73"/>
      <c r="B28" s="582"/>
      <c r="C28" s="582"/>
      <c r="D28" s="583"/>
      <c r="E28" s="623"/>
      <c r="F28" s="624"/>
      <c r="G28" s="624"/>
      <c r="H28" s="624"/>
      <c r="I28" s="625"/>
      <c r="J28" s="649" t="e">
        <f>IF(AND(#REF!="Media",#REF!="Leve"),CONCATENATE("R",#REF!),"")</f>
        <v>#REF!</v>
      </c>
      <c r="K28" s="650"/>
      <c r="L28" s="650" t="e">
        <f>IF(AND(#REF!="Media",#REF!="Leve"),CONCATENATE("R",#REF!),"")</f>
        <v>#REF!</v>
      </c>
      <c r="M28" s="650"/>
      <c r="N28" s="650" t="e">
        <f>IF(AND(#REF!="Media",#REF!="Leve"),CONCATENATE("R",#REF!),"")</f>
        <v>#REF!</v>
      </c>
      <c r="O28" s="651"/>
      <c r="P28" s="649" t="e">
        <f>IF(AND(#REF!="Media",#REF!="Menor"),CONCATENATE("R",#REF!),"")</f>
        <v>#REF!</v>
      </c>
      <c r="Q28" s="650"/>
      <c r="R28" s="650" t="e">
        <f>IF(AND(#REF!="Media",#REF!="Menor"),CONCATENATE("R",#REF!),"")</f>
        <v>#REF!</v>
      </c>
      <c r="S28" s="650"/>
      <c r="T28" s="650" t="e">
        <f>IF(AND(#REF!="Media",#REF!="Menor"),CONCATENATE("R",#REF!),"")</f>
        <v>#REF!</v>
      </c>
      <c r="U28" s="651"/>
      <c r="V28" s="649" t="e">
        <f>IF(AND(#REF!="Media",#REF!="Moderado"),CONCATENATE("R",#REF!),"")</f>
        <v>#REF!</v>
      </c>
      <c r="W28" s="650"/>
      <c r="X28" s="650" t="e">
        <f>IF(AND(#REF!="Media",#REF!="Moderado"),CONCATENATE("R",#REF!),"")</f>
        <v>#REF!</v>
      </c>
      <c r="Y28" s="650"/>
      <c r="Z28" s="650" t="e">
        <f>IF(AND(#REF!="Media",#REF!="Moderado"),CONCATENATE("R",#REF!),"")</f>
        <v>#REF!</v>
      </c>
      <c r="AA28" s="651"/>
      <c r="AB28" s="633" t="e">
        <f>IF(AND(#REF!="Media",#REF!="Mayor"),CONCATENATE("R",#REF!),"")</f>
        <v>#REF!</v>
      </c>
      <c r="AC28" s="629"/>
      <c r="AD28" s="629" t="e">
        <f>IF(AND(#REF!="Media",#REF!="Mayor"),CONCATENATE("R",#REF!),"")</f>
        <v>#REF!</v>
      </c>
      <c r="AE28" s="629"/>
      <c r="AF28" s="629" t="e">
        <f>IF(AND(#REF!="Media",#REF!="Mayor"),CONCATENATE("R",#REF!),"")</f>
        <v>#REF!</v>
      </c>
      <c r="AG28" s="630"/>
      <c r="AH28" s="640" t="e">
        <f>IF(AND(#REF!="Media",#REF!="Catastrófico"),CONCATENATE("R",#REF!),"")</f>
        <v>#REF!</v>
      </c>
      <c r="AI28" s="641"/>
      <c r="AJ28" s="641" t="e">
        <f>IF(AND(#REF!="Media",#REF!="Catastrófico"),CONCATENATE("R",#REF!),"")</f>
        <v>#REF!</v>
      </c>
      <c r="AK28" s="641"/>
      <c r="AL28" s="641" t="e">
        <f>IF(AND(#REF!="Media",#REF!="Catastrófico"),CONCATENATE("R",#REF!),"")</f>
        <v>#REF!</v>
      </c>
      <c r="AM28" s="642"/>
      <c r="AN28" s="73"/>
      <c r="AO28" s="605"/>
      <c r="AP28" s="606"/>
      <c r="AQ28" s="606"/>
      <c r="AR28" s="606"/>
      <c r="AS28" s="606"/>
      <c r="AT28" s="607"/>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x14ac:dyDescent="0.3">
      <c r="A29" s="73"/>
      <c r="B29" s="582"/>
      <c r="C29" s="582"/>
      <c r="D29" s="583"/>
      <c r="E29" s="626"/>
      <c r="F29" s="627"/>
      <c r="G29" s="627"/>
      <c r="H29" s="627"/>
      <c r="I29" s="628"/>
      <c r="J29" s="649"/>
      <c r="K29" s="650"/>
      <c r="L29" s="650"/>
      <c r="M29" s="650"/>
      <c r="N29" s="650"/>
      <c r="O29" s="651"/>
      <c r="P29" s="652"/>
      <c r="Q29" s="653"/>
      <c r="R29" s="653"/>
      <c r="S29" s="653"/>
      <c r="T29" s="653"/>
      <c r="U29" s="654"/>
      <c r="V29" s="652"/>
      <c r="W29" s="653"/>
      <c r="X29" s="653"/>
      <c r="Y29" s="653"/>
      <c r="Z29" s="653"/>
      <c r="AA29" s="654"/>
      <c r="AB29" s="637"/>
      <c r="AC29" s="638"/>
      <c r="AD29" s="638"/>
      <c r="AE29" s="638"/>
      <c r="AF29" s="638"/>
      <c r="AG29" s="639"/>
      <c r="AH29" s="643"/>
      <c r="AI29" s="644"/>
      <c r="AJ29" s="644"/>
      <c r="AK29" s="644"/>
      <c r="AL29" s="644"/>
      <c r="AM29" s="645"/>
      <c r="AN29" s="73"/>
      <c r="AO29" s="608"/>
      <c r="AP29" s="609"/>
      <c r="AQ29" s="609"/>
      <c r="AR29" s="609"/>
      <c r="AS29" s="609"/>
      <c r="AT29" s="610"/>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x14ac:dyDescent="0.25">
      <c r="A30" s="73"/>
      <c r="B30" s="582"/>
      <c r="C30" s="582"/>
      <c r="D30" s="583"/>
      <c r="E30" s="620" t="s">
        <v>298</v>
      </c>
      <c r="F30" s="621"/>
      <c r="G30" s="621"/>
      <c r="H30" s="621"/>
      <c r="I30" s="621"/>
      <c r="J30" s="664" t="e">
        <f>IF(AND(#REF!="Baja",#REF!="Leve"),CONCATENATE("R",#REF!),"")</f>
        <v>#REF!</v>
      </c>
      <c r="K30" s="665"/>
      <c r="L30" s="665" t="e">
        <f>IF(AND(#REF!="Baja",#REF!="Leve"),CONCATENATE("R",#REF!),"")</f>
        <v>#REF!</v>
      </c>
      <c r="M30" s="665"/>
      <c r="N30" s="665" t="e">
        <f>IF(AND(#REF!="Baja",#REF!="Leve"),CONCATENATE("R",#REF!),"")</f>
        <v>#REF!</v>
      </c>
      <c r="O30" s="666"/>
      <c r="P30" s="656" t="e">
        <f>IF(AND(#REF!="Baja",#REF!="Menor"),CONCATENATE("R",#REF!),"")</f>
        <v>#REF!</v>
      </c>
      <c r="Q30" s="656"/>
      <c r="R30" s="656" t="e">
        <f>IF(AND(#REF!="Baja",#REF!="Menor"),CONCATENATE("R",#REF!),"")</f>
        <v>#REF!</v>
      </c>
      <c r="S30" s="656"/>
      <c r="T30" s="656" t="e">
        <f>IF(AND(#REF!="Baja",#REF!="Menor"),CONCATENATE("R",#REF!),"")</f>
        <v>#REF!</v>
      </c>
      <c r="U30" s="657"/>
      <c r="V30" s="655" t="e">
        <f>IF(AND(#REF!="Baja",#REF!="Moderado"),CONCATENATE("R",#REF!),"")</f>
        <v>#REF!</v>
      </c>
      <c r="W30" s="656"/>
      <c r="X30" s="656" t="e">
        <f>IF(AND(#REF!="Baja",#REF!="Moderado"),CONCATENATE("R",#REF!),"")</f>
        <v>#REF!</v>
      </c>
      <c r="Y30" s="656"/>
      <c r="Z30" s="656" t="e">
        <f>IF(AND(#REF!="Baja",#REF!="Moderado"),CONCATENATE("R",#REF!),"")</f>
        <v>#REF!</v>
      </c>
      <c r="AA30" s="657"/>
      <c r="AB30" s="631" t="e">
        <f>IF(AND(#REF!="Baja",#REF!="Mayor"),CONCATENATE("R",#REF!),"")</f>
        <v>#REF!</v>
      </c>
      <c r="AC30" s="632"/>
      <c r="AD30" s="632" t="e">
        <f>IF(AND(#REF!="Baja",#REF!="Mayor"),CONCATENATE("R",#REF!),"")</f>
        <v>#REF!</v>
      </c>
      <c r="AE30" s="632"/>
      <c r="AF30" s="632" t="e">
        <f>IF(AND(#REF!="Baja",#REF!="Mayor"),CONCATENATE("R",#REF!),"")</f>
        <v>#REF!</v>
      </c>
      <c r="AG30" s="634"/>
      <c r="AH30" s="646" t="e">
        <f>IF(AND(#REF!="Baja",#REF!="Catastrófico"),CONCATENATE("R",#REF!),"")</f>
        <v>#REF!</v>
      </c>
      <c r="AI30" s="647"/>
      <c r="AJ30" s="647" t="e">
        <f>IF(AND(#REF!="Baja",#REF!="Catastrófico"),CONCATENATE("R",#REF!),"")</f>
        <v>#REF!</v>
      </c>
      <c r="AK30" s="647"/>
      <c r="AL30" s="647" t="e">
        <f>IF(AND(#REF!="Baja",#REF!="Catastrófico"),CONCATENATE("R",#REF!),"")</f>
        <v>#REF!</v>
      </c>
      <c r="AM30" s="648"/>
      <c r="AN30" s="73"/>
      <c r="AO30" s="611" t="s">
        <v>299</v>
      </c>
      <c r="AP30" s="612"/>
      <c r="AQ30" s="612"/>
      <c r="AR30" s="612"/>
      <c r="AS30" s="612"/>
      <c r="AT30" s="61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x14ac:dyDescent="0.25">
      <c r="A31" s="73"/>
      <c r="B31" s="582"/>
      <c r="C31" s="582"/>
      <c r="D31" s="583"/>
      <c r="E31" s="623"/>
      <c r="F31" s="624"/>
      <c r="G31" s="624"/>
      <c r="H31" s="624"/>
      <c r="I31" s="624"/>
      <c r="J31" s="660"/>
      <c r="K31" s="658"/>
      <c r="L31" s="658"/>
      <c r="M31" s="658"/>
      <c r="N31" s="658"/>
      <c r="O31" s="659"/>
      <c r="P31" s="650"/>
      <c r="Q31" s="650"/>
      <c r="R31" s="650"/>
      <c r="S31" s="650"/>
      <c r="T31" s="650"/>
      <c r="U31" s="651"/>
      <c r="V31" s="649"/>
      <c r="W31" s="650"/>
      <c r="X31" s="650"/>
      <c r="Y31" s="650"/>
      <c r="Z31" s="650"/>
      <c r="AA31" s="651"/>
      <c r="AB31" s="633"/>
      <c r="AC31" s="629"/>
      <c r="AD31" s="629"/>
      <c r="AE31" s="629"/>
      <c r="AF31" s="629"/>
      <c r="AG31" s="630"/>
      <c r="AH31" s="640"/>
      <c r="AI31" s="641"/>
      <c r="AJ31" s="641"/>
      <c r="AK31" s="641"/>
      <c r="AL31" s="641"/>
      <c r="AM31" s="642"/>
      <c r="AN31" s="73"/>
      <c r="AO31" s="614"/>
      <c r="AP31" s="615"/>
      <c r="AQ31" s="615"/>
      <c r="AR31" s="615"/>
      <c r="AS31" s="615"/>
      <c r="AT31" s="616"/>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x14ac:dyDescent="0.25">
      <c r="A32" s="73"/>
      <c r="B32" s="582"/>
      <c r="C32" s="582"/>
      <c r="D32" s="583"/>
      <c r="E32" s="623"/>
      <c r="F32" s="624"/>
      <c r="G32" s="624"/>
      <c r="H32" s="624"/>
      <c r="I32" s="624"/>
      <c r="J32" s="660" t="e">
        <f>IF(AND(#REF!="Baja",#REF!="Leve"),CONCATENATE("R",#REF!),"")</f>
        <v>#REF!</v>
      </c>
      <c r="K32" s="658"/>
      <c r="L32" s="658" t="e">
        <f>IF(AND(#REF!="Baja",#REF!="Leve"),CONCATENATE("R",#REF!),"")</f>
        <v>#REF!</v>
      </c>
      <c r="M32" s="658"/>
      <c r="N32" s="658" t="e">
        <f>IF(AND(#REF!="Baja",#REF!="Leve"),CONCATENATE("R",#REF!),"")</f>
        <v>#REF!</v>
      </c>
      <c r="O32" s="659"/>
      <c r="P32" s="650" t="e">
        <f>IF(AND(#REF!="Baja",#REF!="Menor"),CONCATENATE("R",#REF!),"")</f>
        <v>#REF!</v>
      </c>
      <c r="Q32" s="650"/>
      <c r="R32" s="650" t="e">
        <f>IF(AND(#REF!="Baja",#REF!="Menor"),CONCATENATE("R",#REF!),"")</f>
        <v>#REF!</v>
      </c>
      <c r="S32" s="650"/>
      <c r="T32" s="650" t="e">
        <f>IF(AND(#REF!="Baja",#REF!="Menor"),CONCATENATE("R",#REF!),"")</f>
        <v>#REF!</v>
      </c>
      <c r="U32" s="651"/>
      <c r="V32" s="649" t="e">
        <f>IF(AND(#REF!="Baja",#REF!="Moderado"),CONCATENATE("R",#REF!),"")</f>
        <v>#REF!</v>
      </c>
      <c r="W32" s="650"/>
      <c r="X32" s="650" t="e">
        <f>IF(AND(#REF!="Baja",#REF!="Moderado"),CONCATENATE("R",#REF!),"")</f>
        <v>#REF!</v>
      </c>
      <c r="Y32" s="650"/>
      <c r="Z32" s="650" t="e">
        <f>IF(AND(#REF!="Baja",#REF!="Moderado"),CONCATENATE("R",#REF!),"")</f>
        <v>#REF!</v>
      </c>
      <c r="AA32" s="651"/>
      <c r="AB32" s="633" t="e">
        <f>IF(AND(#REF!="Baja",#REF!="Mayor"),CONCATENATE("R",#REF!),"")</f>
        <v>#REF!</v>
      </c>
      <c r="AC32" s="629"/>
      <c r="AD32" s="629" t="e">
        <f>IF(AND(#REF!="Baja",#REF!="Mayor"),CONCATENATE("R",#REF!),"")</f>
        <v>#REF!</v>
      </c>
      <c r="AE32" s="629"/>
      <c r="AF32" s="629" t="e">
        <f>IF(AND(#REF!="Baja",#REF!="Mayor"),CONCATENATE("R",#REF!),"")</f>
        <v>#REF!</v>
      </c>
      <c r="AG32" s="630"/>
      <c r="AH32" s="640" t="e">
        <f>IF(AND(#REF!="Baja",#REF!="Catastrófico"),CONCATENATE("R",#REF!),"")</f>
        <v>#REF!</v>
      </c>
      <c r="AI32" s="641"/>
      <c r="AJ32" s="641" t="e">
        <f>IF(AND(#REF!="Baja",#REF!="Catastrófico"),CONCATENATE("R",#REF!),"")</f>
        <v>#REF!</v>
      </c>
      <c r="AK32" s="641"/>
      <c r="AL32" s="641" t="e">
        <f>IF(AND(#REF!="Baja",#REF!="Catastrófico"),CONCATENATE("R",#REF!),"")</f>
        <v>#REF!</v>
      </c>
      <c r="AM32" s="642"/>
      <c r="AN32" s="73"/>
      <c r="AO32" s="614"/>
      <c r="AP32" s="615"/>
      <c r="AQ32" s="615"/>
      <c r="AR32" s="615"/>
      <c r="AS32" s="615"/>
      <c r="AT32" s="616"/>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x14ac:dyDescent="0.25">
      <c r="A33" s="73"/>
      <c r="B33" s="582"/>
      <c r="C33" s="582"/>
      <c r="D33" s="583"/>
      <c r="E33" s="623"/>
      <c r="F33" s="624"/>
      <c r="G33" s="624"/>
      <c r="H33" s="624"/>
      <c r="I33" s="624"/>
      <c r="J33" s="660"/>
      <c r="K33" s="658"/>
      <c r="L33" s="658"/>
      <c r="M33" s="658"/>
      <c r="N33" s="658"/>
      <c r="O33" s="659"/>
      <c r="P33" s="650"/>
      <c r="Q33" s="650"/>
      <c r="R33" s="650"/>
      <c r="S33" s="650"/>
      <c r="T33" s="650"/>
      <c r="U33" s="651"/>
      <c r="V33" s="649"/>
      <c r="W33" s="650"/>
      <c r="X33" s="650"/>
      <c r="Y33" s="650"/>
      <c r="Z33" s="650"/>
      <c r="AA33" s="651"/>
      <c r="AB33" s="633"/>
      <c r="AC33" s="629"/>
      <c r="AD33" s="629"/>
      <c r="AE33" s="629"/>
      <c r="AF33" s="629"/>
      <c r="AG33" s="630"/>
      <c r="AH33" s="640"/>
      <c r="AI33" s="641"/>
      <c r="AJ33" s="641"/>
      <c r="AK33" s="641"/>
      <c r="AL33" s="641"/>
      <c r="AM33" s="642"/>
      <c r="AN33" s="73"/>
      <c r="AO33" s="614"/>
      <c r="AP33" s="615"/>
      <c r="AQ33" s="615"/>
      <c r="AR33" s="615"/>
      <c r="AS33" s="615"/>
      <c r="AT33" s="616"/>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x14ac:dyDescent="0.25">
      <c r="A34" s="73"/>
      <c r="B34" s="582"/>
      <c r="C34" s="582"/>
      <c r="D34" s="583"/>
      <c r="E34" s="623"/>
      <c r="F34" s="624"/>
      <c r="G34" s="624"/>
      <c r="H34" s="624"/>
      <c r="I34" s="624"/>
      <c r="J34" s="660" t="e">
        <f>IF(AND(#REF!="Baja",#REF!="Leve"),CONCATENATE("R",#REF!),"")</f>
        <v>#REF!</v>
      </c>
      <c r="K34" s="658"/>
      <c r="L34" s="658" t="e">
        <f>IF(AND(#REF!="Baja",#REF!="Leve"),CONCATENATE("R",#REF!),"")</f>
        <v>#REF!</v>
      </c>
      <c r="M34" s="658"/>
      <c r="N34" s="658" t="e">
        <f>IF(AND(#REF!="Baja",#REF!="Leve"),CONCATENATE("R",#REF!),"")</f>
        <v>#REF!</v>
      </c>
      <c r="O34" s="659"/>
      <c r="P34" s="650" t="e">
        <f>IF(AND(#REF!="Baja",#REF!="Menor"),CONCATENATE("R",#REF!),"")</f>
        <v>#REF!</v>
      </c>
      <c r="Q34" s="650"/>
      <c r="R34" s="650" t="e">
        <f>IF(AND(#REF!="Baja",#REF!="Menor"),CONCATENATE("R",#REF!),"")</f>
        <v>#REF!</v>
      </c>
      <c r="S34" s="650"/>
      <c r="T34" s="650" t="e">
        <f>IF(AND(#REF!="Baja",#REF!="Menor"),CONCATENATE("R",#REF!),"")</f>
        <v>#REF!</v>
      </c>
      <c r="U34" s="651"/>
      <c r="V34" s="649" t="e">
        <f>IF(AND(#REF!="Baja",#REF!="Moderado"),CONCATENATE("R",#REF!),"")</f>
        <v>#REF!</v>
      </c>
      <c r="W34" s="650"/>
      <c r="X34" s="650" t="e">
        <f>IF(AND(#REF!="Baja",#REF!="Moderado"),CONCATENATE("R",#REF!),"")</f>
        <v>#REF!</v>
      </c>
      <c r="Y34" s="650"/>
      <c r="Z34" s="650" t="e">
        <f>IF(AND(#REF!="Baja",#REF!="Moderado"),CONCATENATE("R",#REF!),"")</f>
        <v>#REF!</v>
      </c>
      <c r="AA34" s="651"/>
      <c r="AB34" s="633" t="e">
        <f>IF(AND(#REF!="Baja",#REF!="Mayor"),CONCATENATE("R",#REF!),"")</f>
        <v>#REF!</v>
      </c>
      <c r="AC34" s="629"/>
      <c r="AD34" s="629" t="e">
        <f>IF(AND(#REF!="Baja",#REF!="Mayor"),CONCATENATE("R",#REF!),"")</f>
        <v>#REF!</v>
      </c>
      <c r="AE34" s="629"/>
      <c r="AF34" s="629" t="e">
        <f>IF(AND(#REF!="Baja",#REF!="Mayor"),CONCATENATE("R",#REF!),"")</f>
        <v>#REF!</v>
      </c>
      <c r="AG34" s="630"/>
      <c r="AH34" s="640" t="e">
        <f>IF(AND(#REF!="Baja",#REF!="Catastrófico"),CONCATENATE("R",#REF!),"")</f>
        <v>#REF!</v>
      </c>
      <c r="AI34" s="641"/>
      <c r="AJ34" s="641" t="e">
        <f>IF(AND(#REF!="Baja",#REF!="Catastrófico"),CONCATENATE("R",#REF!),"")</f>
        <v>#REF!</v>
      </c>
      <c r="AK34" s="641"/>
      <c r="AL34" s="641" t="e">
        <f>IF(AND(#REF!="Baja",#REF!="Catastrófico"),CONCATENATE("R",#REF!),"")</f>
        <v>#REF!</v>
      </c>
      <c r="AM34" s="642"/>
      <c r="AN34" s="73"/>
      <c r="AO34" s="614"/>
      <c r="AP34" s="615"/>
      <c r="AQ34" s="615"/>
      <c r="AR34" s="615"/>
      <c r="AS34" s="615"/>
      <c r="AT34" s="616"/>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x14ac:dyDescent="0.25">
      <c r="A35" s="73"/>
      <c r="B35" s="582"/>
      <c r="C35" s="582"/>
      <c r="D35" s="583"/>
      <c r="E35" s="623"/>
      <c r="F35" s="624"/>
      <c r="G35" s="624"/>
      <c r="H35" s="624"/>
      <c r="I35" s="624"/>
      <c r="J35" s="660"/>
      <c r="K35" s="658"/>
      <c r="L35" s="658"/>
      <c r="M35" s="658"/>
      <c r="N35" s="658"/>
      <c r="O35" s="659"/>
      <c r="P35" s="650"/>
      <c r="Q35" s="650"/>
      <c r="R35" s="650"/>
      <c r="S35" s="650"/>
      <c r="T35" s="650"/>
      <c r="U35" s="651"/>
      <c r="V35" s="649"/>
      <c r="W35" s="650"/>
      <c r="X35" s="650"/>
      <c r="Y35" s="650"/>
      <c r="Z35" s="650"/>
      <c r="AA35" s="651"/>
      <c r="AB35" s="633"/>
      <c r="AC35" s="629"/>
      <c r="AD35" s="629"/>
      <c r="AE35" s="629"/>
      <c r="AF35" s="629"/>
      <c r="AG35" s="630"/>
      <c r="AH35" s="640"/>
      <c r="AI35" s="641"/>
      <c r="AJ35" s="641"/>
      <c r="AK35" s="641"/>
      <c r="AL35" s="641"/>
      <c r="AM35" s="642"/>
      <c r="AN35" s="73"/>
      <c r="AO35" s="614"/>
      <c r="AP35" s="615"/>
      <c r="AQ35" s="615"/>
      <c r="AR35" s="615"/>
      <c r="AS35" s="615"/>
      <c r="AT35" s="616"/>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x14ac:dyDescent="0.25">
      <c r="A36" s="73"/>
      <c r="B36" s="582"/>
      <c r="C36" s="582"/>
      <c r="D36" s="583"/>
      <c r="E36" s="623"/>
      <c r="F36" s="624"/>
      <c r="G36" s="624"/>
      <c r="H36" s="624"/>
      <c r="I36" s="624"/>
      <c r="J36" s="660" t="e">
        <f>IF(AND(#REF!="Baja",#REF!="Leve"),CONCATENATE("R",#REF!),"")</f>
        <v>#REF!</v>
      </c>
      <c r="K36" s="658"/>
      <c r="L36" s="658" t="e">
        <f>IF(AND(#REF!="Baja",#REF!="Leve"),CONCATENATE("R",#REF!),"")</f>
        <v>#REF!</v>
      </c>
      <c r="M36" s="658"/>
      <c r="N36" s="658" t="e">
        <f>IF(AND(#REF!="Baja",#REF!="Leve"),CONCATENATE("R",#REF!),"")</f>
        <v>#REF!</v>
      </c>
      <c r="O36" s="659"/>
      <c r="P36" s="650" t="e">
        <f>IF(AND(#REF!="Baja",#REF!="Menor"),CONCATENATE("R",#REF!),"")</f>
        <v>#REF!</v>
      </c>
      <c r="Q36" s="650"/>
      <c r="R36" s="650" t="e">
        <f>IF(AND(#REF!="Baja",#REF!="Menor"),CONCATENATE("R",#REF!),"")</f>
        <v>#REF!</v>
      </c>
      <c r="S36" s="650"/>
      <c r="T36" s="650" t="e">
        <f>IF(AND(#REF!="Baja",#REF!="Menor"),CONCATENATE("R",#REF!),"")</f>
        <v>#REF!</v>
      </c>
      <c r="U36" s="651"/>
      <c r="V36" s="649" t="e">
        <f>IF(AND(#REF!="Baja",#REF!="Moderado"),CONCATENATE("R",#REF!),"")</f>
        <v>#REF!</v>
      </c>
      <c r="W36" s="650"/>
      <c r="X36" s="650" t="e">
        <f>IF(AND(#REF!="Baja",#REF!="Moderado"),CONCATENATE("R",#REF!),"")</f>
        <v>#REF!</v>
      </c>
      <c r="Y36" s="650"/>
      <c r="Z36" s="650" t="e">
        <f>IF(AND(#REF!="Baja",#REF!="Moderado"),CONCATENATE("R",#REF!),"")</f>
        <v>#REF!</v>
      </c>
      <c r="AA36" s="651"/>
      <c r="AB36" s="633" t="e">
        <f>IF(AND(#REF!="Baja",#REF!="Mayor"),CONCATENATE("R",#REF!),"")</f>
        <v>#REF!</v>
      </c>
      <c r="AC36" s="629"/>
      <c r="AD36" s="629" t="e">
        <f>IF(AND(#REF!="Baja",#REF!="Mayor"),CONCATENATE("R",#REF!),"")</f>
        <v>#REF!</v>
      </c>
      <c r="AE36" s="629"/>
      <c r="AF36" s="629" t="e">
        <f>IF(AND(#REF!="Baja",#REF!="Mayor"),CONCATENATE("R",#REF!),"")</f>
        <v>#REF!</v>
      </c>
      <c r="AG36" s="630"/>
      <c r="AH36" s="640" t="e">
        <f>IF(AND(#REF!="Baja",#REF!="Catastrófico"),CONCATENATE("R",#REF!),"")</f>
        <v>#REF!</v>
      </c>
      <c r="AI36" s="641"/>
      <c r="AJ36" s="641" t="e">
        <f>IF(AND(#REF!="Baja",#REF!="Catastrófico"),CONCATENATE("R",#REF!),"")</f>
        <v>#REF!</v>
      </c>
      <c r="AK36" s="641"/>
      <c r="AL36" s="641" t="e">
        <f>IF(AND(#REF!="Baja",#REF!="Catastrófico"),CONCATENATE("R",#REF!),"")</f>
        <v>#REF!</v>
      </c>
      <c r="AM36" s="642"/>
      <c r="AN36" s="73"/>
      <c r="AO36" s="614"/>
      <c r="AP36" s="615"/>
      <c r="AQ36" s="615"/>
      <c r="AR36" s="615"/>
      <c r="AS36" s="615"/>
      <c r="AT36" s="616"/>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x14ac:dyDescent="0.3">
      <c r="A37" s="73"/>
      <c r="B37" s="582"/>
      <c r="C37" s="582"/>
      <c r="D37" s="583"/>
      <c r="E37" s="626"/>
      <c r="F37" s="627"/>
      <c r="G37" s="627"/>
      <c r="H37" s="627"/>
      <c r="I37" s="627"/>
      <c r="J37" s="661"/>
      <c r="K37" s="662"/>
      <c r="L37" s="662"/>
      <c r="M37" s="662"/>
      <c r="N37" s="662"/>
      <c r="O37" s="663"/>
      <c r="P37" s="653"/>
      <c r="Q37" s="653"/>
      <c r="R37" s="653"/>
      <c r="S37" s="653"/>
      <c r="T37" s="653"/>
      <c r="U37" s="654"/>
      <c r="V37" s="652"/>
      <c r="W37" s="653"/>
      <c r="X37" s="653"/>
      <c r="Y37" s="653"/>
      <c r="Z37" s="653"/>
      <c r="AA37" s="654"/>
      <c r="AB37" s="637"/>
      <c r="AC37" s="638"/>
      <c r="AD37" s="638"/>
      <c r="AE37" s="638"/>
      <c r="AF37" s="638"/>
      <c r="AG37" s="639"/>
      <c r="AH37" s="643"/>
      <c r="AI37" s="644"/>
      <c r="AJ37" s="644"/>
      <c r="AK37" s="644"/>
      <c r="AL37" s="644"/>
      <c r="AM37" s="645"/>
      <c r="AN37" s="73"/>
      <c r="AO37" s="617"/>
      <c r="AP37" s="618"/>
      <c r="AQ37" s="618"/>
      <c r="AR37" s="618"/>
      <c r="AS37" s="618"/>
      <c r="AT37" s="619"/>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x14ac:dyDescent="0.25">
      <c r="A38" s="73"/>
      <c r="B38" s="582"/>
      <c r="C38" s="582"/>
      <c r="D38" s="583"/>
      <c r="E38" s="620" t="s">
        <v>300</v>
      </c>
      <c r="F38" s="621"/>
      <c r="G38" s="621"/>
      <c r="H38" s="621"/>
      <c r="I38" s="622"/>
      <c r="J38" s="664" t="e">
        <f>IF(AND(#REF!="Muy Baja",#REF!="Leve"),CONCATENATE("R",#REF!),"")</f>
        <v>#REF!</v>
      </c>
      <c r="K38" s="665"/>
      <c r="L38" s="665" t="e">
        <f>IF(AND(#REF!="Muy Baja",#REF!="Leve"),CONCATENATE("R",#REF!),"")</f>
        <v>#REF!</v>
      </c>
      <c r="M38" s="665"/>
      <c r="N38" s="665" t="e">
        <f>IF(AND(#REF!="Muy Baja",#REF!="Leve"),CONCATENATE("R",#REF!),"")</f>
        <v>#REF!</v>
      </c>
      <c r="O38" s="666"/>
      <c r="P38" s="664" t="e">
        <f>IF(AND(#REF!="Muy Baja",#REF!="Menor"),CONCATENATE("R",#REF!),"")</f>
        <v>#REF!</v>
      </c>
      <c r="Q38" s="665"/>
      <c r="R38" s="665" t="e">
        <f>IF(AND(#REF!="Muy Baja",#REF!="Menor"),CONCATENATE("R",#REF!),"")</f>
        <v>#REF!</v>
      </c>
      <c r="S38" s="665"/>
      <c r="T38" s="665" t="e">
        <f>IF(AND(#REF!="Muy Baja",#REF!="Menor"),CONCATENATE("R",#REF!),"")</f>
        <v>#REF!</v>
      </c>
      <c r="U38" s="666"/>
      <c r="V38" s="655" t="e">
        <f>IF(AND(#REF!="Muy Baja",#REF!="Moderado"),CONCATENATE("R",#REF!),"")</f>
        <v>#REF!</v>
      </c>
      <c r="W38" s="656"/>
      <c r="X38" s="656" t="e">
        <f>IF(AND(#REF!="Muy Baja",#REF!="Moderado"),CONCATENATE("R",#REF!),"")</f>
        <v>#REF!</v>
      </c>
      <c r="Y38" s="656"/>
      <c r="Z38" s="656" t="e">
        <f>IF(AND(#REF!="Muy Baja",#REF!="Moderado"),CONCATENATE("R",#REF!),"")</f>
        <v>#REF!</v>
      </c>
      <c r="AA38" s="657"/>
      <c r="AB38" s="631" t="e">
        <f>IF(AND(#REF!="Muy Baja",#REF!="Mayor"),CONCATENATE("R",#REF!),"")</f>
        <v>#REF!</v>
      </c>
      <c r="AC38" s="632"/>
      <c r="AD38" s="632" t="e">
        <f>IF(AND(#REF!="Muy Baja",#REF!="Mayor"),CONCATENATE("R",#REF!),"")</f>
        <v>#REF!</v>
      </c>
      <c r="AE38" s="632"/>
      <c r="AF38" s="632" t="e">
        <f>IF(AND(#REF!="Muy Baja",#REF!="Mayor"),CONCATENATE("R",#REF!),"")</f>
        <v>#REF!</v>
      </c>
      <c r="AG38" s="634"/>
      <c r="AH38" s="646" t="e">
        <f>IF(AND(#REF!="Muy Baja",#REF!="Catastrófico"),CONCATENATE("R",#REF!),"")</f>
        <v>#REF!</v>
      </c>
      <c r="AI38" s="647"/>
      <c r="AJ38" s="647" t="e">
        <f>IF(AND(#REF!="Muy Baja",#REF!="Catastrófico"),CONCATENATE("R",#REF!),"")</f>
        <v>#REF!</v>
      </c>
      <c r="AK38" s="647"/>
      <c r="AL38" s="647" t="e">
        <f>IF(AND(#REF!="Muy Baja",#REF!="Catastrófico"),CONCATENATE("R",#REF!),"")</f>
        <v>#REF!</v>
      </c>
      <c r="AM38" s="648"/>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x14ac:dyDescent="0.25">
      <c r="A39" s="73"/>
      <c r="B39" s="582"/>
      <c r="C39" s="582"/>
      <c r="D39" s="583"/>
      <c r="E39" s="623"/>
      <c r="F39" s="624"/>
      <c r="G39" s="624"/>
      <c r="H39" s="624"/>
      <c r="I39" s="625"/>
      <c r="J39" s="660"/>
      <c r="K39" s="658"/>
      <c r="L39" s="658"/>
      <c r="M39" s="658"/>
      <c r="N39" s="658"/>
      <c r="O39" s="659"/>
      <c r="P39" s="660"/>
      <c r="Q39" s="658"/>
      <c r="R39" s="658"/>
      <c r="S39" s="658"/>
      <c r="T39" s="658"/>
      <c r="U39" s="659"/>
      <c r="V39" s="649"/>
      <c r="W39" s="650"/>
      <c r="X39" s="650"/>
      <c r="Y39" s="650"/>
      <c r="Z39" s="650"/>
      <c r="AA39" s="651"/>
      <c r="AB39" s="633"/>
      <c r="AC39" s="629"/>
      <c r="AD39" s="629"/>
      <c r="AE39" s="629"/>
      <c r="AF39" s="629"/>
      <c r="AG39" s="630"/>
      <c r="AH39" s="640"/>
      <c r="AI39" s="641"/>
      <c r="AJ39" s="641"/>
      <c r="AK39" s="641"/>
      <c r="AL39" s="641"/>
      <c r="AM39" s="642"/>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x14ac:dyDescent="0.25">
      <c r="A40" s="73"/>
      <c r="B40" s="582"/>
      <c r="C40" s="582"/>
      <c r="D40" s="583"/>
      <c r="E40" s="623"/>
      <c r="F40" s="624"/>
      <c r="G40" s="624"/>
      <c r="H40" s="624"/>
      <c r="I40" s="625"/>
      <c r="J40" s="660" t="e">
        <f>IF(AND(#REF!="Muy Baja",#REF!="Leve"),CONCATENATE("R",#REF!),"")</f>
        <v>#REF!</v>
      </c>
      <c r="K40" s="658"/>
      <c r="L40" s="658" t="e">
        <f>IF(AND(#REF!="Muy Baja",#REF!="Leve"),CONCATENATE("R",#REF!),"")</f>
        <v>#REF!</v>
      </c>
      <c r="M40" s="658"/>
      <c r="N40" s="658" t="e">
        <f>IF(AND(#REF!="Muy Baja",#REF!="Leve"),CONCATENATE("R",#REF!),"")</f>
        <v>#REF!</v>
      </c>
      <c r="O40" s="659"/>
      <c r="P40" s="660" t="e">
        <f>IF(AND(#REF!="Muy Baja",#REF!="Menor"),CONCATENATE("R",#REF!),"")</f>
        <v>#REF!</v>
      </c>
      <c r="Q40" s="658"/>
      <c r="R40" s="658" t="e">
        <f>IF(AND(#REF!="Muy Baja",#REF!="Menor"),CONCATENATE("R",#REF!),"")</f>
        <v>#REF!</v>
      </c>
      <c r="S40" s="658"/>
      <c r="T40" s="658" t="e">
        <f>IF(AND(#REF!="Muy Baja",#REF!="Menor"),CONCATENATE("R",#REF!),"")</f>
        <v>#REF!</v>
      </c>
      <c r="U40" s="659"/>
      <c r="V40" s="649" t="e">
        <f>IF(AND(#REF!="Muy Baja",#REF!="Moderado"),CONCATENATE("R",#REF!),"")</f>
        <v>#REF!</v>
      </c>
      <c r="W40" s="650"/>
      <c r="X40" s="650" t="e">
        <f>IF(AND(#REF!="Muy Baja",#REF!="Moderado"),CONCATENATE("R",#REF!),"")</f>
        <v>#REF!</v>
      </c>
      <c r="Y40" s="650"/>
      <c r="Z40" s="650" t="e">
        <f>IF(AND(#REF!="Muy Baja",#REF!="Moderado"),CONCATENATE("R",#REF!),"")</f>
        <v>#REF!</v>
      </c>
      <c r="AA40" s="651"/>
      <c r="AB40" s="633" t="e">
        <f>IF(AND(#REF!="Muy Baja",#REF!="Mayor"),CONCATENATE("R",#REF!),"")</f>
        <v>#REF!</v>
      </c>
      <c r="AC40" s="629"/>
      <c r="AD40" s="629" t="e">
        <f>IF(AND(#REF!="Muy Baja",#REF!="Mayor"),CONCATENATE("R",#REF!),"")</f>
        <v>#REF!</v>
      </c>
      <c r="AE40" s="629"/>
      <c r="AF40" s="629" t="e">
        <f>IF(AND(#REF!="Muy Baja",#REF!="Mayor"),CONCATENATE("R",#REF!),"")</f>
        <v>#REF!</v>
      </c>
      <c r="AG40" s="630"/>
      <c r="AH40" s="640" t="e">
        <f>IF(AND(#REF!="Muy Baja",#REF!="Catastrófico"),CONCATENATE("R",#REF!),"")</f>
        <v>#REF!</v>
      </c>
      <c r="AI40" s="641"/>
      <c r="AJ40" s="641" t="e">
        <f>IF(AND(#REF!="Muy Baja",#REF!="Catastrófico"),CONCATENATE("R",#REF!),"")</f>
        <v>#REF!</v>
      </c>
      <c r="AK40" s="641"/>
      <c r="AL40" s="641" t="e">
        <f>IF(AND(#REF!="Muy Baja",#REF!="Catastrófico"),CONCATENATE("R",#REF!),"")</f>
        <v>#REF!</v>
      </c>
      <c r="AM40" s="642"/>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x14ac:dyDescent="0.25">
      <c r="A41" s="73"/>
      <c r="B41" s="582"/>
      <c r="C41" s="582"/>
      <c r="D41" s="583"/>
      <c r="E41" s="623"/>
      <c r="F41" s="624"/>
      <c r="G41" s="624"/>
      <c r="H41" s="624"/>
      <c r="I41" s="625"/>
      <c r="J41" s="660"/>
      <c r="K41" s="658"/>
      <c r="L41" s="658"/>
      <c r="M41" s="658"/>
      <c r="N41" s="658"/>
      <c r="O41" s="659"/>
      <c r="P41" s="660"/>
      <c r="Q41" s="658"/>
      <c r="R41" s="658"/>
      <c r="S41" s="658"/>
      <c r="T41" s="658"/>
      <c r="U41" s="659"/>
      <c r="V41" s="649"/>
      <c r="W41" s="650"/>
      <c r="X41" s="650"/>
      <c r="Y41" s="650"/>
      <c r="Z41" s="650"/>
      <c r="AA41" s="651"/>
      <c r="AB41" s="633"/>
      <c r="AC41" s="629"/>
      <c r="AD41" s="629"/>
      <c r="AE41" s="629"/>
      <c r="AF41" s="629"/>
      <c r="AG41" s="630"/>
      <c r="AH41" s="640"/>
      <c r="AI41" s="641"/>
      <c r="AJ41" s="641"/>
      <c r="AK41" s="641"/>
      <c r="AL41" s="641"/>
      <c r="AM41" s="642"/>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x14ac:dyDescent="0.25">
      <c r="A42" s="73"/>
      <c r="B42" s="582"/>
      <c r="C42" s="582"/>
      <c r="D42" s="583"/>
      <c r="E42" s="623"/>
      <c r="F42" s="624"/>
      <c r="G42" s="624"/>
      <c r="H42" s="624"/>
      <c r="I42" s="625"/>
      <c r="J42" s="660" t="e">
        <f>IF(AND(#REF!="Muy Baja",#REF!="Leve"),CONCATENATE("R",#REF!),"")</f>
        <v>#REF!</v>
      </c>
      <c r="K42" s="658"/>
      <c r="L42" s="658" t="e">
        <f>IF(AND(#REF!="Muy Baja",#REF!="Leve"),CONCATENATE("R",#REF!),"")</f>
        <v>#REF!</v>
      </c>
      <c r="M42" s="658"/>
      <c r="N42" s="658" t="e">
        <f>IF(AND(#REF!="Muy Baja",#REF!="Leve"),CONCATENATE("R",#REF!),"")</f>
        <v>#REF!</v>
      </c>
      <c r="O42" s="659"/>
      <c r="P42" s="660" t="e">
        <f>IF(AND(#REF!="Muy Baja",#REF!="Menor"),CONCATENATE("R",#REF!),"")</f>
        <v>#REF!</v>
      </c>
      <c r="Q42" s="658"/>
      <c r="R42" s="658" t="e">
        <f>IF(AND(#REF!="Muy Baja",#REF!="Menor"),CONCATENATE("R",#REF!),"")</f>
        <v>#REF!</v>
      </c>
      <c r="S42" s="658"/>
      <c r="T42" s="658" t="e">
        <f>IF(AND(#REF!="Muy Baja",#REF!="Menor"),CONCATENATE("R",#REF!),"")</f>
        <v>#REF!</v>
      </c>
      <c r="U42" s="659"/>
      <c r="V42" s="649" t="e">
        <f>IF(AND(#REF!="Muy Baja",#REF!="Moderado"),CONCATENATE("R",#REF!),"")</f>
        <v>#REF!</v>
      </c>
      <c r="W42" s="650"/>
      <c r="X42" s="650" t="e">
        <f>IF(AND(#REF!="Muy Baja",#REF!="Moderado"),CONCATENATE("R",#REF!),"")</f>
        <v>#REF!</v>
      </c>
      <c r="Y42" s="650"/>
      <c r="Z42" s="650" t="e">
        <f>IF(AND(#REF!="Muy Baja",#REF!="Moderado"),CONCATENATE("R",#REF!),"")</f>
        <v>#REF!</v>
      </c>
      <c r="AA42" s="651"/>
      <c r="AB42" s="633" t="e">
        <f>IF(AND(#REF!="Muy Baja",#REF!="Mayor"),CONCATENATE("R",#REF!),"")</f>
        <v>#REF!</v>
      </c>
      <c r="AC42" s="629"/>
      <c r="AD42" s="629" t="e">
        <f>IF(AND(#REF!="Muy Baja",#REF!="Mayor"),CONCATENATE("R",#REF!),"")</f>
        <v>#REF!</v>
      </c>
      <c r="AE42" s="629"/>
      <c r="AF42" s="629" t="e">
        <f>IF(AND(#REF!="Muy Baja",#REF!="Mayor"),CONCATENATE("R",#REF!),"")</f>
        <v>#REF!</v>
      </c>
      <c r="AG42" s="630"/>
      <c r="AH42" s="640" t="e">
        <f>IF(AND(#REF!="Muy Baja",#REF!="Catastrófico"),CONCATENATE("R",#REF!),"")</f>
        <v>#REF!</v>
      </c>
      <c r="AI42" s="641"/>
      <c r="AJ42" s="641" t="e">
        <f>IF(AND(#REF!="Muy Baja",#REF!="Catastrófico"),CONCATENATE("R",#REF!),"")</f>
        <v>#REF!</v>
      </c>
      <c r="AK42" s="641"/>
      <c r="AL42" s="641" t="e">
        <f>IF(AND(#REF!="Muy Baja",#REF!="Catastrófico"),CONCATENATE("R",#REF!),"")</f>
        <v>#REF!</v>
      </c>
      <c r="AM42" s="642"/>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x14ac:dyDescent="0.25">
      <c r="A43" s="73"/>
      <c r="B43" s="582"/>
      <c r="C43" s="582"/>
      <c r="D43" s="583"/>
      <c r="E43" s="623"/>
      <c r="F43" s="624"/>
      <c r="G43" s="624"/>
      <c r="H43" s="624"/>
      <c r="I43" s="625"/>
      <c r="J43" s="660"/>
      <c r="K43" s="658"/>
      <c r="L43" s="658"/>
      <c r="M43" s="658"/>
      <c r="N43" s="658"/>
      <c r="O43" s="659"/>
      <c r="P43" s="660"/>
      <c r="Q43" s="658"/>
      <c r="R43" s="658"/>
      <c r="S43" s="658"/>
      <c r="T43" s="658"/>
      <c r="U43" s="659"/>
      <c r="V43" s="649"/>
      <c r="W43" s="650"/>
      <c r="X43" s="650"/>
      <c r="Y43" s="650"/>
      <c r="Z43" s="650"/>
      <c r="AA43" s="651"/>
      <c r="AB43" s="633"/>
      <c r="AC43" s="629"/>
      <c r="AD43" s="629"/>
      <c r="AE43" s="629"/>
      <c r="AF43" s="629"/>
      <c r="AG43" s="630"/>
      <c r="AH43" s="640"/>
      <c r="AI43" s="641"/>
      <c r="AJ43" s="641"/>
      <c r="AK43" s="641"/>
      <c r="AL43" s="641"/>
      <c r="AM43" s="642"/>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x14ac:dyDescent="0.25">
      <c r="A44" s="73"/>
      <c r="B44" s="582"/>
      <c r="C44" s="582"/>
      <c r="D44" s="583"/>
      <c r="E44" s="623"/>
      <c r="F44" s="624"/>
      <c r="G44" s="624"/>
      <c r="H44" s="624"/>
      <c r="I44" s="625"/>
      <c r="J44" s="660" t="e">
        <f>IF(AND(#REF!="Muy Baja",#REF!="Leve"),CONCATENATE("R",#REF!),"")</f>
        <v>#REF!</v>
      </c>
      <c r="K44" s="658"/>
      <c r="L44" s="658" t="e">
        <f>IF(AND(#REF!="Muy Baja",#REF!="Leve"),CONCATENATE("R",#REF!),"")</f>
        <v>#REF!</v>
      </c>
      <c r="M44" s="658"/>
      <c r="N44" s="658" t="e">
        <f>IF(AND(#REF!="Muy Baja",#REF!="Leve"),CONCATENATE("R",#REF!),"")</f>
        <v>#REF!</v>
      </c>
      <c r="O44" s="659"/>
      <c r="P44" s="660" t="e">
        <f>IF(AND(#REF!="Muy Baja",#REF!="Menor"),CONCATENATE("R",#REF!),"")</f>
        <v>#REF!</v>
      </c>
      <c r="Q44" s="658"/>
      <c r="R44" s="658" t="e">
        <f>IF(AND(#REF!="Muy Baja",#REF!="Menor"),CONCATENATE("R",#REF!),"")</f>
        <v>#REF!</v>
      </c>
      <c r="S44" s="658"/>
      <c r="T44" s="658" t="e">
        <f>IF(AND(#REF!="Muy Baja",#REF!="Menor"),CONCATENATE("R",#REF!),"")</f>
        <v>#REF!</v>
      </c>
      <c r="U44" s="659"/>
      <c r="V44" s="649" t="e">
        <f>IF(AND(#REF!="Muy Baja",#REF!="Moderado"),CONCATENATE("R",#REF!),"")</f>
        <v>#REF!</v>
      </c>
      <c r="W44" s="650"/>
      <c r="X44" s="650" t="e">
        <f>IF(AND(#REF!="Muy Baja",#REF!="Moderado"),CONCATENATE("R",#REF!),"")</f>
        <v>#REF!</v>
      </c>
      <c r="Y44" s="650"/>
      <c r="Z44" s="650" t="e">
        <f>IF(AND(#REF!="Muy Baja",#REF!="Moderado"),CONCATENATE("R",#REF!),"")</f>
        <v>#REF!</v>
      </c>
      <c r="AA44" s="651"/>
      <c r="AB44" s="633" t="e">
        <f>IF(AND(#REF!="Muy Baja",#REF!="Mayor"),CONCATENATE("R",#REF!),"")</f>
        <v>#REF!</v>
      </c>
      <c r="AC44" s="629"/>
      <c r="AD44" s="629" t="e">
        <f>IF(AND(#REF!="Muy Baja",#REF!="Mayor"),CONCATENATE("R",#REF!),"")</f>
        <v>#REF!</v>
      </c>
      <c r="AE44" s="629"/>
      <c r="AF44" s="629" t="e">
        <f>IF(AND(#REF!="Muy Baja",#REF!="Mayor"),CONCATENATE("R",#REF!),"")</f>
        <v>#REF!</v>
      </c>
      <c r="AG44" s="630"/>
      <c r="AH44" s="640" t="e">
        <f>IF(AND(#REF!="Muy Baja",#REF!="Catastrófico"),CONCATENATE("R",#REF!),"")</f>
        <v>#REF!</v>
      </c>
      <c r="AI44" s="641"/>
      <c r="AJ44" s="641" t="e">
        <f>IF(AND(#REF!="Muy Baja",#REF!="Catastrófico"),CONCATENATE("R",#REF!),"")</f>
        <v>#REF!</v>
      </c>
      <c r="AK44" s="641"/>
      <c r="AL44" s="641" t="e">
        <f>IF(AND(#REF!="Muy Baja",#REF!="Catastrófico"),CONCATENATE("R",#REF!),"")</f>
        <v>#REF!</v>
      </c>
      <c r="AM44" s="642"/>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x14ac:dyDescent="0.3">
      <c r="A45" s="73"/>
      <c r="B45" s="582"/>
      <c r="C45" s="582"/>
      <c r="D45" s="583"/>
      <c r="E45" s="626"/>
      <c r="F45" s="627"/>
      <c r="G45" s="627"/>
      <c r="H45" s="627"/>
      <c r="I45" s="628"/>
      <c r="J45" s="661"/>
      <c r="K45" s="662"/>
      <c r="L45" s="662"/>
      <c r="M45" s="662"/>
      <c r="N45" s="662"/>
      <c r="O45" s="663"/>
      <c r="P45" s="661"/>
      <c r="Q45" s="662"/>
      <c r="R45" s="662"/>
      <c r="S45" s="662"/>
      <c r="T45" s="662"/>
      <c r="U45" s="663"/>
      <c r="V45" s="652"/>
      <c r="W45" s="653"/>
      <c r="X45" s="653"/>
      <c r="Y45" s="653"/>
      <c r="Z45" s="653"/>
      <c r="AA45" s="654"/>
      <c r="AB45" s="637"/>
      <c r="AC45" s="638"/>
      <c r="AD45" s="638"/>
      <c r="AE45" s="638"/>
      <c r="AF45" s="638"/>
      <c r="AG45" s="639"/>
      <c r="AH45" s="643"/>
      <c r="AI45" s="644"/>
      <c r="AJ45" s="644"/>
      <c r="AK45" s="644"/>
      <c r="AL45" s="644"/>
      <c r="AM45" s="645"/>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x14ac:dyDescent="0.25">
      <c r="A46" s="73"/>
      <c r="B46" s="73"/>
      <c r="C46" s="73"/>
      <c r="D46" s="73"/>
      <c r="E46" s="73"/>
      <c r="F46" s="73"/>
      <c r="G46" s="73"/>
      <c r="H46" s="73"/>
      <c r="I46" s="73"/>
      <c r="J46" s="620" t="s">
        <v>301</v>
      </c>
      <c r="K46" s="621"/>
      <c r="L46" s="621"/>
      <c r="M46" s="621"/>
      <c r="N46" s="621"/>
      <c r="O46" s="622"/>
      <c r="P46" s="620" t="s">
        <v>302</v>
      </c>
      <c r="Q46" s="621"/>
      <c r="R46" s="621"/>
      <c r="S46" s="621"/>
      <c r="T46" s="621"/>
      <c r="U46" s="622"/>
      <c r="V46" s="620" t="s">
        <v>303</v>
      </c>
      <c r="W46" s="621"/>
      <c r="X46" s="621"/>
      <c r="Y46" s="621"/>
      <c r="Z46" s="621"/>
      <c r="AA46" s="622"/>
      <c r="AB46" s="620" t="s">
        <v>304</v>
      </c>
      <c r="AC46" s="636"/>
      <c r="AD46" s="621"/>
      <c r="AE46" s="621"/>
      <c r="AF46" s="621"/>
      <c r="AG46" s="622"/>
      <c r="AH46" s="620" t="s">
        <v>305</v>
      </c>
      <c r="AI46" s="621"/>
      <c r="AJ46" s="621"/>
      <c r="AK46" s="621"/>
      <c r="AL46" s="621"/>
      <c r="AM46" s="622"/>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x14ac:dyDescent="0.25">
      <c r="A47" s="73"/>
      <c r="B47" s="73"/>
      <c r="C47" s="73"/>
      <c r="D47" s="73"/>
      <c r="E47" s="73"/>
      <c r="F47" s="73"/>
      <c r="G47" s="73"/>
      <c r="H47" s="73"/>
      <c r="I47" s="73"/>
      <c r="J47" s="623"/>
      <c r="K47" s="624"/>
      <c r="L47" s="624"/>
      <c r="M47" s="624"/>
      <c r="N47" s="624"/>
      <c r="O47" s="625"/>
      <c r="P47" s="623"/>
      <c r="Q47" s="624"/>
      <c r="R47" s="624"/>
      <c r="S47" s="624"/>
      <c r="T47" s="624"/>
      <c r="U47" s="625"/>
      <c r="V47" s="623"/>
      <c r="W47" s="624"/>
      <c r="X47" s="624"/>
      <c r="Y47" s="624"/>
      <c r="Z47" s="624"/>
      <c r="AA47" s="625"/>
      <c r="AB47" s="623"/>
      <c r="AC47" s="624"/>
      <c r="AD47" s="624"/>
      <c r="AE47" s="624"/>
      <c r="AF47" s="624"/>
      <c r="AG47" s="625"/>
      <c r="AH47" s="623"/>
      <c r="AI47" s="624"/>
      <c r="AJ47" s="624"/>
      <c r="AK47" s="624"/>
      <c r="AL47" s="624"/>
      <c r="AM47" s="625"/>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x14ac:dyDescent="0.25">
      <c r="A48" s="73"/>
      <c r="B48" s="73"/>
      <c r="C48" s="73"/>
      <c r="D48" s="73"/>
      <c r="E48" s="73"/>
      <c r="F48" s="73"/>
      <c r="G48" s="73"/>
      <c r="H48" s="73"/>
      <c r="I48" s="73"/>
      <c r="J48" s="623"/>
      <c r="K48" s="624"/>
      <c r="L48" s="624"/>
      <c r="M48" s="624"/>
      <c r="N48" s="624"/>
      <c r="O48" s="625"/>
      <c r="P48" s="623"/>
      <c r="Q48" s="624"/>
      <c r="R48" s="624"/>
      <c r="S48" s="624"/>
      <c r="T48" s="624"/>
      <c r="U48" s="625"/>
      <c r="V48" s="623"/>
      <c r="W48" s="624"/>
      <c r="X48" s="624"/>
      <c r="Y48" s="624"/>
      <c r="Z48" s="624"/>
      <c r="AA48" s="625"/>
      <c r="AB48" s="623"/>
      <c r="AC48" s="624"/>
      <c r="AD48" s="624"/>
      <c r="AE48" s="624"/>
      <c r="AF48" s="624"/>
      <c r="AG48" s="625"/>
      <c r="AH48" s="623"/>
      <c r="AI48" s="624"/>
      <c r="AJ48" s="624"/>
      <c r="AK48" s="624"/>
      <c r="AL48" s="624"/>
      <c r="AM48" s="625"/>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x14ac:dyDescent="0.25">
      <c r="A49" s="73"/>
      <c r="B49" s="73"/>
      <c r="C49" s="73"/>
      <c r="D49" s="73"/>
      <c r="E49" s="73"/>
      <c r="F49" s="73"/>
      <c r="G49" s="73"/>
      <c r="H49" s="73"/>
      <c r="I49" s="73"/>
      <c r="J49" s="623"/>
      <c r="K49" s="624"/>
      <c r="L49" s="624"/>
      <c r="M49" s="624"/>
      <c r="N49" s="624"/>
      <c r="O49" s="625"/>
      <c r="P49" s="623"/>
      <c r="Q49" s="624"/>
      <c r="R49" s="624"/>
      <c r="S49" s="624"/>
      <c r="T49" s="624"/>
      <c r="U49" s="625"/>
      <c r="V49" s="623"/>
      <c r="W49" s="624"/>
      <c r="X49" s="624"/>
      <c r="Y49" s="624"/>
      <c r="Z49" s="624"/>
      <c r="AA49" s="625"/>
      <c r="AB49" s="623"/>
      <c r="AC49" s="624"/>
      <c r="AD49" s="624"/>
      <c r="AE49" s="624"/>
      <c r="AF49" s="624"/>
      <c r="AG49" s="625"/>
      <c r="AH49" s="623"/>
      <c r="AI49" s="624"/>
      <c r="AJ49" s="624"/>
      <c r="AK49" s="624"/>
      <c r="AL49" s="624"/>
      <c r="AM49" s="625"/>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x14ac:dyDescent="0.25">
      <c r="A50" s="73"/>
      <c r="B50" s="73"/>
      <c r="C50" s="73"/>
      <c r="D50" s="73"/>
      <c r="E50" s="73"/>
      <c r="F50" s="73"/>
      <c r="G50" s="73"/>
      <c r="H50" s="73"/>
      <c r="I50" s="73"/>
      <c r="J50" s="623"/>
      <c r="K50" s="624"/>
      <c r="L50" s="624"/>
      <c r="M50" s="624"/>
      <c r="N50" s="624"/>
      <c r="O50" s="625"/>
      <c r="P50" s="623"/>
      <c r="Q50" s="624"/>
      <c r="R50" s="624"/>
      <c r="S50" s="624"/>
      <c r="T50" s="624"/>
      <c r="U50" s="625"/>
      <c r="V50" s="623"/>
      <c r="W50" s="624"/>
      <c r="X50" s="624"/>
      <c r="Y50" s="624"/>
      <c r="Z50" s="624"/>
      <c r="AA50" s="625"/>
      <c r="AB50" s="623"/>
      <c r="AC50" s="624"/>
      <c r="AD50" s="624"/>
      <c r="AE50" s="624"/>
      <c r="AF50" s="624"/>
      <c r="AG50" s="625"/>
      <c r="AH50" s="623"/>
      <c r="AI50" s="624"/>
      <c r="AJ50" s="624"/>
      <c r="AK50" s="624"/>
      <c r="AL50" s="624"/>
      <c r="AM50" s="625"/>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x14ac:dyDescent="0.3">
      <c r="A51" s="73"/>
      <c r="B51" s="73"/>
      <c r="C51" s="73"/>
      <c r="D51" s="73"/>
      <c r="E51" s="73"/>
      <c r="F51" s="73"/>
      <c r="G51" s="73"/>
      <c r="H51" s="73"/>
      <c r="I51" s="73"/>
      <c r="J51" s="626"/>
      <c r="K51" s="627"/>
      <c r="L51" s="627"/>
      <c r="M51" s="627"/>
      <c r="N51" s="627"/>
      <c r="O51" s="628"/>
      <c r="P51" s="626"/>
      <c r="Q51" s="627"/>
      <c r="R51" s="627"/>
      <c r="S51" s="627"/>
      <c r="T51" s="627"/>
      <c r="U51" s="628"/>
      <c r="V51" s="626"/>
      <c r="W51" s="627"/>
      <c r="X51" s="627"/>
      <c r="Y51" s="627"/>
      <c r="Z51" s="627"/>
      <c r="AA51" s="628"/>
      <c r="AB51" s="626"/>
      <c r="AC51" s="627"/>
      <c r="AD51" s="627"/>
      <c r="AE51" s="627"/>
      <c r="AF51" s="627"/>
      <c r="AG51" s="628"/>
      <c r="AH51" s="626"/>
      <c r="AI51" s="627"/>
      <c r="AJ51" s="627"/>
      <c r="AK51" s="627"/>
      <c r="AL51" s="627"/>
      <c r="AM51" s="628"/>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x14ac:dyDescent="0.25">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x14ac:dyDescent="0.2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x14ac:dyDescent="0.25">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x14ac:dyDescent="0.25">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x14ac:dyDescent="0.25">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x14ac:dyDescent="0.25">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x14ac:dyDescent="0.25">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x14ac:dyDescent="0.25">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x14ac:dyDescent="0.25">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x14ac:dyDescent="0.25">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x14ac:dyDescent="0.25">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x14ac:dyDescent="0.25">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x14ac:dyDescent="0.25">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x14ac:dyDescent="0.25">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x14ac:dyDescent="0.25">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x14ac:dyDescent="0.25">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x14ac:dyDescent="0.25">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x14ac:dyDescent="0.25">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x14ac:dyDescent="0.25">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x14ac:dyDescent="0.25">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x14ac:dyDescent="0.25">
      <c r="B137" s="73"/>
      <c r="C137" s="73"/>
      <c r="D137" s="73"/>
      <c r="E137" s="73"/>
      <c r="F137" s="73"/>
      <c r="G137" s="73"/>
      <c r="H137" s="73"/>
      <c r="I137" s="73"/>
    </row>
    <row r="138" spans="2:63" x14ac:dyDescent="0.25">
      <c r="B138" s="73"/>
      <c r="C138" s="73"/>
      <c r="D138" s="73"/>
      <c r="E138" s="73"/>
      <c r="F138" s="73"/>
      <c r="G138" s="73"/>
      <c r="H138" s="73"/>
      <c r="I138" s="73"/>
    </row>
    <row r="139" spans="2:63" x14ac:dyDescent="0.25">
      <c r="B139" s="73"/>
      <c r="C139" s="73"/>
      <c r="D139" s="73"/>
      <c r="E139" s="73"/>
      <c r="F139" s="73"/>
      <c r="G139" s="73"/>
      <c r="H139" s="73"/>
      <c r="I139" s="73"/>
    </row>
    <row r="140" spans="2:63" x14ac:dyDescent="0.25">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 ref="N40:O41"/>
    <mergeCell ref="J34:K35"/>
    <mergeCell ref="L34:M35"/>
    <mergeCell ref="N34:O35"/>
    <mergeCell ref="J36:K37"/>
    <mergeCell ref="L36:M37"/>
    <mergeCell ref="N36:O37"/>
    <mergeCell ref="J30:K31"/>
    <mergeCell ref="L30:M31"/>
    <mergeCell ref="N30:O31"/>
    <mergeCell ref="J32:K33"/>
    <mergeCell ref="L32:M33"/>
    <mergeCell ref="N32:O33"/>
    <mergeCell ref="V42:W43"/>
    <mergeCell ref="X42:Y43"/>
    <mergeCell ref="Z42:AA43"/>
    <mergeCell ref="V44:W45"/>
    <mergeCell ref="X44:Y45"/>
    <mergeCell ref="Z44:AA45"/>
    <mergeCell ref="V38:W39"/>
    <mergeCell ref="X38:Y39"/>
    <mergeCell ref="Z38:AA39"/>
    <mergeCell ref="V40:W41"/>
    <mergeCell ref="X40:Y41"/>
    <mergeCell ref="Z40:AA41"/>
    <mergeCell ref="P34:Q35"/>
    <mergeCell ref="R34:S35"/>
    <mergeCell ref="T34:U35"/>
    <mergeCell ref="P36:Q37"/>
    <mergeCell ref="R36:S37"/>
    <mergeCell ref="T36:U37"/>
    <mergeCell ref="P30:Q31"/>
    <mergeCell ref="R30:S31"/>
    <mergeCell ref="T30:U31"/>
    <mergeCell ref="P32:Q33"/>
    <mergeCell ref="R32:S33"/>
    <mergeCell ref="T32:U33"/>
    <mergeCell ref="V34:W35"/>
    <mergeCell ref="X34:Y35"/>
    <mergeCell ref="Z34:AA35"/>
    <mergeCell ref="V36:W37"/>
    <mergeCell ref="X36:Y37"/>
    <mergeCell ref="Z36:AA37"/>
    <mergeCell ref="V30:W31"/>
    <mergeCell ref="X30:Y31"/>
    <mergeCell ref="Z30:AA31"/>
    <mergeCell ref="V32:W33"/>
    <mergeCell ref="X32:Y33"/>
    <mergeCell ref="Z32:AA33"/>
    <mergeCell ref="V26:W27"/>
    <mergeCell ref="X26:Y27"/>
    <mergeCell ref="Z26:AA27"/>
    <mergeCell ref="V28:W29"/>
    <mergeCell ref="X28:Y29"/>
    <mergeCell ref="Z28:AA29"/>
    <mergeCell ref="V22:W23"/>
    <mergeCell ref="X22:Y23"/>
    <mergeCell ref="Z22:AA23"/>
    <mergeCell ref="V24:W25"/>
    <mergeCell ref="X24:Y25"/>
    <mergeCell ref="Z24:AA25"/>
    <mergeCell ref="P26:Q27"/>
    <mergeCell ref="R26:S27"/>
    <mergeCell ref="T26:U27"/>
    <mergeCell ref="P28:Q29"/>
    <mergeCell ref="R28:S29"/>
    <mergeCell ref="T28:U29"/>
    <mergeCell ref="P22:Q23"/>
    <mergeCell ref="R22:S23"/>
    <mergeCell ref="T22:U23"/>
    <mergeCell ref="P24:Q25"/>
    <mergeCell ref="R24:S25"/>
    <mergeCell ref="T24:U25"/>
    <mergeCell ref="J26:K27"/>
    <mergeCell ref="L26:M27"/>
    <mergeCell ref="N26:O27"/>
    <mergeCell ref="J28:K29"/>
    <mergeCell ref="L28:M29"/>
    <mergeCell ref="N28:O29"/>
    <mergeCell ref="J22:K23"/>
    <mergeCell ref="L22:M23"/>
    <mergeCell ref="N22:O23"/>
    <mergeCell ref="J24:K25"/>
    <mergeCell ref="L24:M25"/>
    <mergeCell ref="N24:O25"/>
    <mergeCell ref="P18:Q19"/>
    <mergeCell ref="R18:S19"/>
    <mergeCell ref="T18:U19"/>
    <mergeCell ref="P20:Q21"/>
    <mergeCell ref="R20:S21"/>
    <mergeCell ref="T20:U21"/>
    <mergeCell ref="P14:Q15"/>
    <mergeCell ref="R14:S15"/>
    <mergeCell ref="T14:U15"/>
    <mergeCell ref="P16:Q17"/>
    <mergeCell ref="R16:S17"/>
    <mergeCell ref="T16:U17"/>
    <mergeCell ref="J18:K19"/>
    <mergeCell ref="L18:M19"/>
    <mergeCell ref="N18:O19"/>
    <mergeCell ref="J20:K21"/>
    <mergeCell ref="L20:M21"/>
    <mergeCell ref="N20:O21"/>
    <mergeCell ref="J14:K15"/>
    <mergeCell ref="L14:M15"/>
    <mergeCell ref="N14:O15"/>
    <mergeCell ref="J16:K17"/>
    <mergeCell ref="L16:M17"/>
    <mergeCell ref="N16:O17"/>
    <mergeCell ref="AH42:AI43"/>
    <mergeCell ref="AJ42:AK43"/>
    <mergeCell ref="AL42:AM43"/>
    <mergeCell ref="AH44:AI45"/>
    <mergeCell ref="AJ44:AK45"/>
    <mergeCell ref="AL44:AM45"/>
    <mergeCell ref="AH38:AI39"/>
    <mergeCell ref="AJ38:AK39"/>
    <mergeCell ref="AL38:AM39"/>
    <mergeCell ref="AH40:AI41"/>
    <mergeCell ref="AJ40:AK41"/>
    <mergeCell ref="AL40:AM41"/>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10:AI11"/>
    <mergeCell ref="AJ10:AK11"/>
    <mergeCell ref="AL10:AM11"/>
    <mergeCell ref="AH12:AI13"/>
    <mergeCell ref="AJ12:AK13"/>
    <mergeCell ref="AL12:AM13"/>
    <mergeCell ref="AH6:AI7"/>
    <mergeCell ref="AJ6:AK7"/>
    <mergeCell ref="AL6:AM7"/>
    <mergeCell ref="AH8:AI9"/>
    <mergeCell ref="AJ8:AK9"/>
    <mergeCell ref="AL8:AM9"/>
    <mergeCell ref="AB42:AC43"/>
    <mergeCell ref="AD42:AE43"/>
    <mergeCell ref="AF42:AG43"/>
    <mergeCell ref="AB44:AC45"/>
    <mergeCell ref="AD44:AE45"/>
    <mergeCell ref="AF44:AG45"/>
    <mergeCell ref="AB38:AC39"/>
    <mergeCell ref="AD38:AE39"/>
    <mergeCell ref="AF38:AG39"/>
    <mergeCell ref="AB40:AC41"/>
    <mergeCell ref="AD40:AE41"/>
    <mergeCell ref="AF40:AG41"/>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48"/>
  <sheetViews>
    <sheetView zoomScale="50" zoomScaleNormal="50" workbookViewId="0">
      <selection activeCell="J2" sqref="J2:AM4"/>
    </sheetView>
  </sheetViews>
  <sheetFormatPr baseColWidth="10" defaultColWidth="11.42578125" defaultRowHeight="15" x14ac:dyDescent="0.2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x14ac:dyDescent="0.25">
      <c r="A2" s="73"/>
      <c r="B2" s="693" t="s">
        <v>306</v>
      </c>
      <c r="C2" s="694"/>
      <c r="D2" s="694"/>
      <c r="E2" s="694"/>
      <c r="F2" s="694"/>
      <c r="G2" s="694"/>
      <c r="H2" s="694"/>
      <c r="I2" s="694"/>
      <c r="J2" s="635" t="s">
        <v>134</v>
      </c>
      <c r="K2" s="635"/>
      <c r="L2" s="635"/>
      <c r="M2" s="635"/>
      <c r="N2" s="635"/>
      <c r="O2" s="635"/>
      <c r="P2" s="635"/>
      <c r="Q2" s="635"/>
      <c r="R2" s="635"/>
      <c r="S2" s="635"/>
      <c r="T2" s="635"/>
      <c r="U2" s="635"/>
      <c r="V2" s="635"/>
      <c r="W2" s="635"/>
      <c r="X2" s="635"/>
      <c r="Y2" s="635"/>
      <c r="Z2" s="635"/>
      <c r="AA2" s="635"/>
      <c r="AB2" s="635"/>
      <c r="AC2" s="635"/>
      <c r="AD2" s="635"/>
      <c r="AE2" s="635"/>
      <c r="AF2" s="635"/>
      <c r="AG2" s="635"/>
      <c r="AH2" s="635"/>
      <c r="AI2" s="635"/>
      <c r="AJ2" s="635"/>
      <c r="AK2" s="635"/>
      <c r="AL2" s="635"/>
      <c r="AM2" s="635"/>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x14ac:dyDescent="0.25">
      <c r="A3" s="73"/>
      <c r="B3" s="694"/>
      <c r="C3" s="694"/>
      <c r="D3" s="694"/>
      <c r="E3" s="694"/>
      <c r="F3" s="694"/>
      <c r="G3" s="694"/>
      <c r="H3" s="694"/>
      <c r="I3" s="694"/>
      <c r="J3" s="635"/>
      <c r="K3" s="635"/>
      <c r="L3" s="635"/>
      <c r="M3" s="635"/>
      <c r="N3" s="635"/>
      <c r="O3" s="635"/>
      <c r="P3" s="635"/>
      <c r="Q3" s="635"/>
      <c r="R3" s="635"/>
      <c r="S3" s="635"/>
      <c r="T3" s="635"/>
      <c r="U3" s="635"/>
      <c r="V3" s="635"/>
      <c r="W3" s="635"/>
      <c r="X3" s="635"/>
      <c r="Y3" s="635"/>
      <c r="Z3" s="635"/>
      <c r="AA3" s="635"/>
      <c r="AB3" s="635"/>
      <c r="AC3" s="635"/>
      <c r="AD3" s="635"/>
      <c r="AE3" s="635"/>
      <c r="AF3" s="635"/>
      <c r="AG3" s="635"/>
      <c r="AH3" s="635"/>
      <c r="AI3" s="635"/>
      <c r="AJ3" s="635"/>
      <c r="AK3" s="635"/>
      <c r="AL3" s="635"/>
      <c r="AM3" s="635"/>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x14ac:dyDescent="0.25">
      <c r="A4" s="73"/>
      <c r="B4" s="694"/>
      <c r="C4" s="694"/>
      <c r="D4" s="694"/>
      <c r="E4" s="694"/>
      <c r="F4" s="694"/>
      <c r="G4" s="694"/>
      <c r="H4" s="694"/>
      <c r="I4" s="694"/>
      <c r="J4" s="635"/>
      <c r="K4" s="635"/>
      <c r="L4" s="635"/>
      <c r="M4" s="635"/>
      <c r="N4" s="635"/>
      <c r="O4" s="635"/>
      <c r="P4" s="635"/>
      <c r="Q4" s="635"/>
      <c r="R4" s="635"/>
      <c r="S4" s="635"/>
      <c r="T4" s="635"/>
      <c r="U4" s="635"/>
      <c r="V4" s="635"/>
      <c r="W4" s="635"/>
      <c r="X4" s="635"/>
      <c r="Y4" s="635"/>
      <c r="Z4" s="635"/>
      <c r="AA4" s="635"/>
      <c r="AB4" s="635"/>
      <c r="AC4" s="635"/>
      <c r="AD4" s="635"/>
      <c r="AE4" s="635"/>
      <c r="AF4" s="635"/>
      <c r="AG4" s="635"/>
      <c r="AH4" s="635"/>
      <c r="AI4" s="635"/>
      <c r="AJ4" s="635"/>
      <c r="AK4" s="635"/>
      <c r="AL4" s="635"/>
      <c r="AM4" s="635"/>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x14ac:dyDescent="0.25">
      <c r="A6" s="73"/>
      <c r="B6" s="582" t="s">
        <v>292</v>
      </c>
      <c r="C6" s="582"/>
      <c r="D6" s="583"/>
      <c r="E6" s="677" t="s">
        <v>293</v>
      </c>
      <c r="F6" s="678"/>
      <c r="G6" s="678"/>
      <c r="H6" s="678"/>
      <c r="I6" s="695"/>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684" t="s">
        <v>294</v>
      </c>
      <c r="AP6" s="685"/>
      <c r="AQ6" s="685"/>
      <c r="AR6" s="685"/>
      <c r="AS6" s="685"/>
      <c r="AT6" s="686"/>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x14ac:dyDescent="0.25">
      <c r="A7" s="73"/>
      <c r="B7" s="582"/>
      <c r="C7" s="582"/>
      <c r="D7" s="583"/>
      <c r="E7" s="681"/>
      <c r="F7" s="680"/>
      <c r="G7" s="680"/>
      <c r="H7" s="680"/>
      <c r="I7" s="696"/>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687"/>
      <c r="AP7" s="688"/>
      <c r="AQ7" s="688"/>
      <c r="AR7" s="688"/>
      <c r="AS7" s="688"/>
      <c r="AT7" s="689"/>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x14ac:dyDescent="0.25">
      <c r="A8" s="73"/>
      <c r="B8" s="582"/>
      <c r="C8" s="582"/>
      <c r="D8" s="583"/>
      <c r="E8" s="681"/>
      <c r="F8" s="680"/>
      <c r="G8" s="680"/>
      <c r="H8" s="680"/>
      <c r="I8" s="696"/>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687"/>
      <c r="AP8" s="688"/>
      <c r="AQ8" s="688"/>
      <c r="AR8" s="688"/>
      <c r="AS8" s="688"/>
      <c r="AT8" s="689"/>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x14ac:dyDescent="0.25">
      <c r="A9" s="73"/>
      <c r="B9" s="582"/>
      <c r="C9" s="582"/>
      <c r="D9" s="583"/>
      <c r="E9" s="681"/>
      <c r="F9" s="680"/>
      <c r="G9" s="680"/>
      <c r="H9" s="680"/>
      <c r="I9" s="696"/>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687"/>
      <c r="AP9" s="688"/>
      <c r="AQ9" s="688"/>
      <c r="AR9" s="688"/>
      <c r="AS9" s="688"/>
      <c r="AT9" s="689"/>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x14ac:dyDescent="0.25">
      <c r="A10" s="73"/>
      <c r="B10" s="582"/>
      <c r="C10" s="582"/>
      <c r="D10" s="583"/>
      <c r="E10" s="681"/>
      <c r="F10" s="680"/>
      <c r="G10" s="680"/>
      <c r="H10" s="680"/>
      <c r="I10" s="696"/>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687"/>
      <c r="AP10" s="688"/>
      <c r="AQ10" s="688"/>
      <c r="AR10" s="688"/>
      <c r="AS10" s="688"/>
      <c r="AT10" s="689"/>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x14ac:dyDescent="0.25">
      <c r="A11" s="73"/>
      <c r="B11" s="582"/>
      <c r="C11" s="582"/>
      <c r="D11" s="583"/>
      <c r="E11" s="681"/>
      <c r="F11" s="680"/>
      <c r="G11" s="680"/>
      <c r="H11" s="680"/>
      <c r="I11" s="696"/>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687"/>
      <c r="AP11" s="688"/>
      <c r="AQ11" s="688"/>
      <c r="AR11" s="688"/>
      <c r="AS11" s="688"/>
      <c r="AT11" s="689"/>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x14ac:dyDescent="0.25">
      <c r="A12" s="73"/>
      <c r="B12" s="582"/>
      <c r="C12" s="582"/>
      <c r="D12" s="583"/>
      <c r="E12" s="681"/>
      <c r="F12" s="680"/>
      <c r="G12" s="680"/>
      <c r="H12" s="680"/>
      <c r="I12" s="696"/>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687"/>
      <c r="AP12" s="688"/>
      <c r="AQ12" s="688"/>
      <c r="AR12" s="688"/>
      <c r="AS12" s="688"/>
      <c r="AT12" s="689"/>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x14ac:dyDescent="0.25">
      <c r="A13" s="73"/>
      <c r="B13" s="582"/>
      <c r="C13" s="582"/>
      <c r="D13" s="583"/>
      <c r="E13" s="681"/>
      <c r="F13" s="680"/>
      <c r="G13" s="680"/>
      <c r="H13" s="680"/>
      <c r="I13" s="696"/>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687"/>
      <c r="AP13" s="688"/>
      <c r="AQ13" s="688"/>
      <c r="AR13" s="688"/>
      <c r="AS13" s="688"/>
      <c r="AT13" s="689"/>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x14ac:dyDescent="0.25">
      <c r="A14" s="73"/>
      <c r="B14" s="582"/>
      <c r="C14" s="582"/>
      <c r="D14" s="583"/>
      <c r="E14" s="681"/>
      <c r="F14" s="680"/>
      <c r="G14" s="680"/>
      <c r="H14" s="680"/>
      <c r="I14" s="696"/>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687"/>
      <c r="AP14" s="688"/>
      <c r="AQ14" s="688"/>
      <c r="AR14" s="688"/>
      <c r="AS14" s="688"/>
      <c r="AT14" s="689"/>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x14ac:dyDescent="0.3">
      <c r="A15" s="73"/>
      <c r="B15" s="582"/>
      <c r="C15" s="582"/>
      <c r="D15" s="583"/>
      <c r="E15" s="682"/>
      <c r="F15" s="683"/>
      <c r="G15" s="683"/>
      <c r="H15" s="683"/>
      <c r="I15" s="697"/>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690"/>
      <c r="AP15" s="691"/>
      <c r="AQ15" s="691"/>
      <c r="AR15" s="691"/>
      <c r="AS15" s="691"/>
      <c r="AT15" s="692"/>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x14ac:dyDescent="0.25">
      <c r="A16" s="73"/>
      <c r="B16" s="582"/>
      <c r="C16" s="582"/>
      <c r="D16" s="583"/>
      <c r="E16" s="677" t="s">
        <v>295</v>
      </c>
      <c r="F16" s="678"/>
      <c r="G16" s="678"/>
      <c r="H16" s="678"/>
      <c r="I16" s="678"/>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668" t="s">
        <v>296</v>
      </c>
      <c r="AP16" s="669"/>
      <c r="AQ16" s="669"/>
      <c r="AR16" s="669"/>
      <c r="AS16" s="669"/>
      <c r="AT16" s="670"/>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x14ac:dyDescent="0.25">
      <c r="A17" s="73"/>
      <c r="B17" s="582"/>
      <c r="C17" s="582"/>
      <c r="D17" s="583"/>
      <c r="E17" s="679"/>
      <c r="F17" s="680"/>
      <c r="G17" s="680"/>
      <c r="H17" s="680"/>
      <c r="I17" s="680"/>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671"/>
      <c r="AP17" s="672"/>
      <c r="AQ17" s="672"/>
      <c r="AR17" s="672"/>
      <c r="AS17" s="672"/>
      <c r="AT17" s="673"/>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x14ac:dyDescent="0.25">
      <c r="A18" s="73"/>
      <c r="B18" s="582"/>
      <c r="C18" s="582"/>
      <c r="D18" s="583"/>
      <c r="E18" s="681"/>
      <c r="F18" s="680"/>
      <c r="G18" s="680"/>
      <c r="H18" s="680"/>
      <c r="I18" s="680"/>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671"/>
      <c r="AP18" s="672"/>
      <c r="AQ18" s="672"/>
      <c r="AR18" s="672"/>
      <c r="AS18" s="672"/>
      <c r="AT18" s="673"/>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x14ac:dyDescent="0.25">
      <c r="A19" s="73"/>
      <c r="B19" s="582"/>
      <c r="C19" s="582"/>
      <c r="D19" s="583"/>
      <c r="E19" s="681"/>
      <c r="F19" s="680"/>
      <c r="G19" s="680"/>
      <c r="H19" s="680"/>
      <c r="I19" s="680"/>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671"/>
      <c r="AP19" s="672"/>
      <c r="AQ19" s="672"/>
      <c r="AR19" s="672"/>
      <c r="AS19" s="672"/>
      <c r="AT19" s="67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x14ac:dyDescent="0.25">
      <c r="A20" s="73"/>
      <c r="B20" s="582"/>
      <c r="C20" s="582"/>
      <c r="D20" s="583"/>
      <c r="E20" s="681"/>
      <c r="F20" s="680"/>
      <c r="G20" s="680"/>
      <c r="H20" s="680"/>
      <c r="I20" s="680"/>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671"/>
      <c r="AP20" s="672"/>
      <c r="AQ20" s="672"/>
      <c r="AR20" s="672"/>
      <c r="AS20" s="672"/>
      <c r="AT20" s="673"/>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x14ac:dyDescent="0.25">
      <c r="A21" s="73"/>
      <c r="B21" s="582"/>
      <c r="C21" s="582"/>
      <c r="D21" s="583"/>
      <c r="E21" s="681"/>
      <c r="F21" s="680"/>
      <c r="G21" s="680"/>
      <c r="H21" s="680"/>
      <c r="I21" s="680"/>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671"/>
      <c r="AP21" s="672"/>
      <c r="AQ21" s="672"/>
      <c r="AR21" s="672"/>
      <c r="AS21" s="672"/>
      <c r="AT21" s="673"/>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x14ac:dyDescent="0.25">
      <c r="A22" s="73"/>
      <c r="B22" s="582"/>
      <c r="C22" s="582"/>
      <c r="D22" s="583"/>
      <c r="E22" s="681"/>
      <c r="F22" s="680"/>
      <c r="G22" s="680"/>
      <c r="H22" s="680"/>
      <c r="I22" s="680"/>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671"/>
      <c r="AP22" s="672"/>
      <c r="AQ22" s="672"/>
      <c r="AR22" s="672"/>
      <c r="AS22" s="672"/>
      <c r="AT22" s="673"/>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x14ac:dyDescent="0.25">
      <c r="A23" s="73"/>
      <c r="B23" s="582"/>
      <c r="C23" s="582"/>
      <c r="D23" s="583"/>
      <c r="E23" s="681"/>
      <c r="F23" s="680"/>
      <c r="G23" s="680"/>
      <c r="H23" s="680"/>
      <c r="I23" s="680"/>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671"/>
      <c r="AP23" s="672"/>
      <c r="AQ23" s="672"/>
      <c r="AR23" s="672"/>
      <c r="AS23" s="672"/>
      <c r="AT23" s="673"/>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x14ac:dyDescent="0.25">
      <c r="A24" s="73"/>
      <c r="B24" s="582"/>
      <c r="C24" s="582"/>
      <c r="D24" s="583"/>
      <c r="E24" s="681"/>
      <c r="F24" s="680"/>
      <c r="G24" s="680"/>
      <c r="H24" s="680"/>
      <c r="I24" s="680"/>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671"/>
      <c r="AP24" s="672"/>
      <c r="AQ24" s="672"/>
      <c r="AR24" s="672"/>
      <c r="AS24" s="672"/>
      <c r="AT24" s="673"/>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x14ac:dyDescent="0.3">
      <c r="A25" s="73"/>
      <c r="B25" s="582"/>
      <c r="C25" s="582"/>
      <c r="D25" s="583"/>
      <c r="E25" s="682"/>
      <c r="F25" s="683"/>
      <c r="G25" s="683"/>
      <c r="H25" s="683"/>
      <c r="I25" s="683"/>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674"/>
      <c r="AP25" s="675"/>
      <c r="AQ25" s="675"/>
      <c r="AR25" s="675"/>
      <c r="AS25" s="675"/>
      <c r="AT25" s="676"/>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x14ac:dyDescent="0.25">
      <c r="A26" s="73"/>
      <c r="B26" s="582"/>
      <c r="C26" s="582"/>
      <c r="D26" s="583"/>
      <c r="E26" s="677" t="s">
        <v>297</v>
      </c>
      <c r="F26" s="678"/>
      <c r="G26" s="678"/>
      <c r="H26" s="678"/>
      <c r="I26" s="695"/>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707" t="s">
        <v>26</v>
      </c>
      <c r="AP26" s="708"/>
      <c r="AQ26" s="708"/>
      <c r="AR26" s="708"/>
      <c r="AS26" s="708"/>
      <c r="AT26" s="709"/>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x14ac:dyDescent="0.25">
      <c r="A27" s="73"/>
      <c r="B27" s="582"/>
      <c r="C27" s="582"/>
      <c r="D27" s="583"/>
      <c r="E27" s="679"/>
      <c r="F27" s="680"/>
      <c r="G27" s="680"/>
      <c r="H27" s="680"/>
      <c r="I27" s="696"/>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710"/>
      <c r="AP27" s="711"/>
      <c r="AQ27" s="711"/>
      <c r="AR27" s="711"/>
      <c r="AS27" s="711"/>
      <c r="AT27" s="712"/>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x14ac:dyDescent="0.25">
      <c r="A28" s="73"/>
      <c r="B28" s="582"/>
      <c r="C28" s="582"/>
      <c r="D28" s="583"/>
      <c r="E28" s="681"/>
      <c r="F28" s="680"/>
      <c r="G28" s="680"/>
      <c r="H28" s="680"/>
      <c r="I28" s="696"/>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710"/>
      <c r="AP28" s="711"/>
      <c r="AQ28" s="711"/>
      <c r="AR28" s="711"/>
      <c r="AS28" s="711"/>
      <c r="AT28" s="712"/>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x14ac:dyDescent="0.25">
      <c r="A29" s="73"/>
      <c r="B29" s="582"/>
      <c r="C29" s="582"/>
      <c r="D29" s="583"/>
      <c r="E29" s="681"/>
      <c r="F29" s="680"/>
      <c r="G29" s="680"/>
      <c r="H29" s="680"/>
      <c r="I29" s="696"/>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710"/>
      <c r="AP29" s="711"/>
      <c r="AQ29" s="711"/>
      <c r="AR29" s="711"/>
      <c r="AS29" s="711"/>
      <c r="AT29" s="712"/>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x14ac:dyDescent="0.25">
      <c r="A30" s="73"/>
      <c r="B30" s="582"/>
      <c r="C30" s="582"/>
      <c r="D30" s="583"/>
      <c r="E30" s="681"/>
      <c r="F30" s="680"/>
      <c r="G30" s="680"/>
      <c r="H30" s="680"/>
      <c r="I30" s="696"/>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710"/>
      <c r="AP30" s="711"/>
      <c r="AQ30" s="711"/>
      <c r="AR30" s="711"/>
      <c r="AS30" s="711"/>
      <c r="AT30" s="712"/>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x14ac:dyDescent="0.25">
      <c r="A31" s="73"/>
      <c r="B31" s="582"/>
      <c r="C31" s="582"/>
      <c r="D31" s="583"/>
      <c r="E31" s="681"/>
      <c r="F31" s="680"/>
      <c r="G31" s="680"/>
      <c r="H31" s="680"/>
      <c r="I31" s="696"/>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710"/>
      <c r="AP31" s="711"/>
      <c r="AQ31" s="711"/>
      <c r="AR31" s="711"/>
      <c r="AS31" s="711"/>
      <c r="AT31" s="712"/>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x14ac:dyDescent="0.25">
      <c r="A32" s="73"/>
      <c r="B32" s="582"/>
      <c r="C32" s="582"/>
      <c r="D32" s="583"/>
      <c r="E32" s="681"/>
      <c r="F32" s="680"/>
      <c r="G32" s="680"/>
      <c r="H32" s="680"/>
      <c r="I32" s="696"/>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710"/>
      <c r="AP32" s="711"/>
      <c r="AQ32" s="711"/>
      <c r="AR32" s="711"/>
      <c r="AS32" s="711"/>
      <c r="AT32" s="712"/>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x14ac:dyDescent="0.25">
      <c r="A33" s="73"/>
      <c r="B33" s="582"/>
      <c r="C33" s="582"/>
      <c r="D33" s="583"/>
      <c r="E33" s="681"/>
      <c r="F33" s="680"/>
      <c r="G33" s="680"/>
      <c r="H33" s="680"/>
      <c r="I33" s="696"/>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710"/>
      <c r="AP33" s="711"/>
      <c r="AQ33" s="711"/>
      <c r="AR33" s="711"/>
      <c r="AS33" s="711"/>
      <c r="AT33" s="712"/>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x14ac:dyDescent="0.25">
      <c r="A34" s="73"/>
      <c r="B34" s="582"/>
      <c r="C34" s="582"/>
      <c r="D34" s="583"/>
      <c r="E34" s="681"/>
      <c r="F34" s="680"/>
      <c r="G34" s="680"/>
      <c r="H34" s="680"/>
      <c r="I34" s="696"/>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710"/>
      <c r="AP34" s="711"/>
      <c r="AQ34" s="711"/>
      <c r="AR34" s="711"/>
      <c r="AS34" s="711"/>
      <c r="AT34" s="712"/>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x14ac:dyDescent="0.3">
      <c r="A35" s="73"/>
      <c r="B35" s="582"/>
      <c r="C35" s="582"/>
      <c r="D35" s="583"/>
      <c r="E35" s="682"/>
      <c r="F35" s="683"/>
      <c r="G35" s="683"/>
      <c r="H35" s="683"/>
      <c r="I35" s="697"/>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713"/>
      <c r="AP35" s="714"/>
      <c r="AQ35" s="714"/>
      <c r="AR35" s="714"/>
      <c r="AS35" s="714"/>
      <c r="AT35" s="715"/>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x14ac:dyDescent="0.25">
      <c r="A36" s="73"/>
      <c r="B36" s="582"/>
      <c r="C36" s="582"/>
      <c r="D36" s="583"/>
      <c r="E36" s="677" t="s">
        <v>298</v>
      </c>
      <c r="F36" s="678"/>
      <c r="G36" s="678"/>
      <c r="H36" s="678"/>
      <c r="I36" s="678"/>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698" t="s">
        <v>299</v>
      </c>
      <c r="AP36" s="699"/>
      <c r="AQ36" s="699"/>
      <c r="AR36" s="699"/>
      <c r="AS36" s="699"/>
      <c r="AT36" s="700"/>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x14ac:dyDescent="0.25">
      <c r="A37" s="73"/>
      <c r="B37" s="582"/>
      <c r="C37" s="582"/>
      <c r="D37" s="583"/>
      <c r="E37" s="679"/>
      <c r="F37" s="680"/>
      <c r="G37" s="680"/>
      <c r="H37" s="680"/>
      <c r="I37" s="680"/>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701"/>
      <c r="AP37" s="702"/>
      <c r="AQ37" s="702"/>
      <c r="AR37" s="702"/>
      <c r="AS37" s="702"/>
      <c r="AT37" s="703"/>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x14ac:dyDescent="0.25">
      <c r="A38" s="73"/>
      <c r="B38" s="582"/>
      <c r="C38" s="582"/>
      <c r="D38" s="583"/>
      <c r="E38" s="681"/>
      <c r="F38" s="680"/>
      <c r="G38" s="680"/>
      <c r="H38" s="680"/>
      <c r="I38" s="680"/>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701"/>
      <c r="AP38" s="702"/>
      <c r="AQ38" s="702"/>
      <c r="AR38" s="702"/>
      <c r="AS38" s="702"/>
      <c r="AT38" s="70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x14ac:dyDescent="0.25">
      <c r="A39" s="73"/>
      <c r="B39" s="582"/>
      <c r="C39" s="582"/>
      <c r="D39" s="583"/>
      <c r="E39" s="681"/>
      <c r="F39" s="680"/>
      <c r="G39" s="680"/>
      <c r="H39" s="680"/>
      <c r="I39" s="680"/>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701"/>
      <c r="AP39" s="702"/>
      <c r="AQ39" s="702"/>
      <c r="AR39" s="702"/>
      <c r="AS39" s="702"/>
      <c r="AT39" s="70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x14ac:dyDescent="0.25">
      <c r="A40" s="73"/>
      <c r="B40" s="582"/>
      <c r="C40" s="582"/>
      <c r="D40" s="583"/>
      <c r="E40" s="681"/>
      <c r="F40" s="680"/>
      <c r="G40" s="680"/>
      <c r="H40" s="680"/>
      <c r="I40" s="680"/>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701"/>
      <c r="AP40" s="702"/>
      <c r="AQ40" s="702"/>
      <c r="AR40" s="702"/>
      <c r="AS40" s="702"/>
      <c r="AT40" s="70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x14ac:dyDescent="0.25">
      <c r="A41" s="73"/>
      <c r="B41" s="582"/>
      <c r="C41" s="582"/>
      <c r="D41" s="583"/>
      <c r="E41" s="681"/>
      <c r="F41" s="680"/>
      <c r="G41" s="680"/>
      <c r="H41" s="680"/>
      <c r="I41" s="680"/>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701"/>
      <c r="AP41" s="702"/>
      <c r="AQ41" s="702"/>
      <c r="AR41" s="702"/>
      <c r="AS41" s="702"/>
      <c r="AT41" s="70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x14ac:dyDescent="0.25">
      <c r="A42" s="73"/>
      <c r="B42" s="582"/>
      <c r="C42" s="582"/>
      <c r="D42" s="583"/>
      <c r="E42" s="681"/>
      <c r="F42" s="680"/>
      <c r="G42" s="680"/>
      <c r="H42" s="680"/>
      <c r="I42" s="680"/>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701"/>
      <c r="AP42" s="702"/>
      <c r="AQ42" s="702"/>
      <c r="AR42" s="702"/>
      <c r="AS42" s="702"/>
      <c r="AT42" s="70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x14ac:dyDescent="0.25">
      <c r="A43" s="73"/>
      <c r="B43" s="582"/>
      <c r="C43" s="582"/>
      <c r="D43" s="583"/>
      <c r="E43" s="681"/>
      <c r="F43" s="680"/>
      <c r="G43" s="680"/>
      <c r="H43" s="680"/>
      <c r="I43" s="680"/>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701"/>
      <c r="AP43" s="702"/>
      <c r="AQ43" s="702"/>
      <c r="AR43" s="702"/>
      <c r="AS43" s="702"/>
      <c r="AT43" s="70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x14ac:dyDescent="0.25">
      <c r="A44" s="73"/>
      <c r="B44" s="582"/>
      <c r="C44" s="582"/>
      <c r="D44" s="583"/>
      <c r="E44" s="681"/>
      <c r="F44" s="680"/>
      <c r="G44" s="680"/>
      <c r="H44" s="680"/>
      <c r="I44" s="680"/>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701"/>
      <c r="AP44" s="702"/>
      <c r="AQ44" s="702"/>
      <c r="AR44" s="702"/>
      <c r="AS44" s="702"/>
      <c r="AT44" s="70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x14ac:dyDescent="0.3">
      <c r="A45" s="73"/>
      <c r="B45" s="582"/>
      <c r="C45" s="582"/>
      <c r="D45" s="583"/>
      <c r="E45" s="682"/>
      <c r="F45" s="683"/>
      <c r="G45" s="683"/>
      <c r="H45" s="683"/>
      <c r="I45" s="683"/>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704"/>
      <c r="AP45" s="705"/>
      <c r="AQ45" s="705"/>
      <c r="AR45" s="705"/>
      <c r="AS45" s="705"/>
      <c r="AT45" s="706"/>
    </row>
    <row r="46" spans="1:80" ht="46.5" customHeight="1" x14ac:dyDescent="0.35">
      <c r="A46" s="73"/>
      <c r="B46" s="582"/>
      <c r="C46" s="582"/>
      <c r="D46" s="583"/>
      <c r="E46" s="677" t="s">
        <v>300</v>
      </c>
      <c r="F46" s="678"/>
      <c r="G46" s="678"/>
      <c r="H46" s="678"/>
      <c r="I46" s="695"/>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x14ac:dyDescent="0.25">
      <c r="A47" s="73"/>
      <c r="B47" s="582"/>
      <c r="C47" s="582"/>
      <c r="D47" s="583"/>
      <c r="E47" s="679"/>
      <c r="F47" s="680"/>
      <c r="G47" s="680"/>
      <c r="H47" s="680"/>
      <c r="I47" s="696"/>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x14ac:dyDescent="0.25">
      <c r="A48" s="73"/>
      <c r="B48" s="582"/>
      <c r="C48" s="582"/>
      <c r="D48" s="583"/>
      <c r="E48" s="679"/>
      <c r="F48" s="680"/>
      <c r="G48" s="680"/>
      <c r="H48" s="680"/>
      <c r="I48" s="696"/>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x14ac:dyDescent="0.25">
      <c r="A49" s="73"/>
      <c r="B49" s="582"/>
      <c r="C49" s="582"/>
      <c r="D49" s="583"/>
      <c r="E49" s="681"/>
      <c r="F49" s="680"/>
      <c r="G49" s="680"/>
      <c r="H49" s="680"/>
      <c r="I49" s="696"/>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x14ac:dyDescent="0.25">
      <c r="A50" s="73"/>
      <c r="B50" s="582"/>
      <c r="C50" s="582"/>
      <c r="D50" s="583"/>
      <c r="E50" s="681"/>
      <c r="F50" s="680"/>
      <c r="G50" s="680"/>
      <c r="H50" s="680"/>
      <c r="I50" s="696"/>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x14ac:dyDescent="0.25">
      <c r="A51" s="73"/>
      <c r="B51" s="582"/>
      <c r="C51" s="582"/>
      <c r="D51" s="583"/>
      <c r="E51" s="681"/>
      <c r="F51" s="680"/>
      <c r="G51" s="680"/>
      <c r="H51" s="680"/>
      <c r="I51" s="696"/>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x14ac:dyDescent="0.25">
      <c r="A52" s="73"/>
      <c r="B52" s="582"/>
      <c r="C52" s="582"/>
      <c r="D52" s="583"/>
      <c r="E52" s="681"/>
      <c r="F52" s="680"/>
      <c r="G52" s="680"/>
      <c r="H52" s="680"/>
      <c r="I52" s="696"/>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582"/>
      <c r="C53" s="582"/>
      <c r="D53" s="583"/>
      <c r="E53" s="681"/>
      <c r="F53" s="680"/>
      <c r="G53" s="680"/>
      <c r="H53" s="680"/>
      <c r="I53" s="696"/>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582"/>
      <c r="C54" s="582"/>
      <c r="D54" s="583"/>
      <c r="E54" s="681"/>
      <c r="F54" s="680"/>
      <c r="G54" s="680"/>
      <c r="H54" s="680"/>
      <c r="I54" s="696"/>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x14ac:dyDescent="0.3">
      <c r="A55" s="73"/>
      <c r="B55" s="582"/>
      <c r="C55" s="582"/>
      <c r="D55" s="583"/>
      <c r="E55" s="682"/>
      <c r="F55" s="683"/>
      <c r="G55" s="683"/>
      <c r="H55" s="683"/>
      <c r="I55" s="697"/>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677" t="s">
        <v>301</v>
      </c>
      <c r="K56" s="678"/>
      <c r="L56" s="678"/>
      <c r="M56" s="678"/>
      <c r="N56" s="678"/>
      <c r="O56" s="695"/>
      <c r="P56" s="677" t="s">
        <v>302</v>
      </c>
      <c r="Q56" s="678"/>
      <c r="R56" s="678"/>
      <c r="S56" s="678"/>
      <c r="T56" s="678"/>
      <c r="U56" s="695"/>
      <c r="V56" s="677" t="s">
        <v>303</v>
      </c>
      <c r="W56" s="678"/>
      <c r="X56" s="678"/>
      <c r="Y56" s="678"/>
      <c r="Z56" s="678"/>
      <c r="AA56" s="695"/>
      <c r="AB56" s="677" t="s">
        <v>304</v>
      </c>
      <c r="AC56" s="716"/>
      <c r="AD56" s="678"/>
      <c r="AE56" s="678"/>
      <c r="AF56" s="678"/>
      <c r="AG56" s="695"/>
      <c r="AH56" s="677" t="s">
        <v>305</v>
      </c>
      <c r="AI56" s="678"/>
      <c r="AJ56" s="678"/>
      <c r="AK56" s="678"/>
      <c r="AL56" s="678"/>
      <c r="AM56" s="695"/>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681"/>
      <c r="K57" s="680"/>
      <c r="L57" s="680"/>
      <c r="M57" s="680"/>
      <c r="N57" s="680"/>
      <c r="O57" s="696"/>
      <c r="P57" s="681"/>
      <c r="Q57" s="680"/>
      <c r="R57" s="680"/>
      <c r="S57" s="680"/>
      <c r="T57" s="680"/>
      <c r="U57" s="696"/>
      <c r="V57" s="681"/>
      <c r="W57" s="680"/>
      <c r="X57" s="680"/>
      <c r="Y57" s="680"/>
      <c r="Z57" s="680"/>
      <c r="AA57" s="696"/>
      <c r="AB57" s="681"/>
      <c r="AC57" s="680"/>
      <c r="AD57" s="680"/>
      <c r="AE57" s="680"/>
      <c r="AF57" s="680"/>
      <c r="AG57" s="696"/>
      <c r="AH57" s="681"/>
      <c r="AI57" s="680"/>
      <c r="AJ57" s="680"/>
      <c r="AK57" s="680"/>
      <c r="AL57" s="680"/>
      <c r="AM57" s="696"/>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681"/>
      <c r="K58" s="680"/>
      <c r="L58" s="680"/>
      <c r="M58" s="680"/>
      <c r="N58" s="680"/>
      <c r="O58" s="696"/>
      <c r="P58" s="681"/>
      <c r="Q58" s="680"/>
      <c r="R58" s="680"/>
      <c r="S58" s="680"/>
      <c r="T58" s="680"/>
      <c r="U58" s="696"/>
      <c r="V58" s="681"/>
      <c r="W58" s="680"/>
      <c r="X58" s="680"/>
      <c r="Y58" s="680"/>
      <c r="Z58" s="680"/>
      <c r="AA58" s="696"/>
      <c r="AB58" s="681"/>
      <c r="AC58" s="680"/>
      <c r="AD58" s="680"/>
      <c r="AE58" s="680"/>
      <c r="AF58" s="680"/>
      <c r="AG58" s="696"/>
      <c r="AH58" s="681"/>
      <c r="AI58" s="680"/>
      <c r="AJ58" s="680"/>
      <c r="AK58" s="680"/>
      <c r="AL58" s="680"/>
      <c r="AM58" s="696"/>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681"/>
      <c r="K59" s="680"/>
      <c r="L59" s="680"/>
      <c r="M59" s="680"/>
      <c r="N59" s="680"/>
      <c r="O59" s="696"/>
      <c r="P59" s="681"/>
      <c r="Q59" s="680"/>
      <c r="R59" s="680"/>
      <c r="S59" s="680"/>
      <c r="T59" s="680"/>
      <c r="U59" s="696"/>
      <c r="V59" s="681"/>
      <c r="W59" s="680"/>
      <c r="X59" s="680"/>
      <c r="Y59" s="680"/>
      <c r="Z59" s="680"/>
      <c r="AA59" s="696"/>
      <c r="AB59" s="681"/>
      <c r="AC59" s="680"/>
      <c r="AD59" s="680"/>
      <c r="AE59" s="680"/>
      <c r="AF59" s="680"/>
      <c r="AG59" s="696"/>
      <c r="AH59" s="681"/>
      <c r="AI59" s="680"/>
      <c r="AJ59" s="680"/>
      <c r="AK59" s="680"/>
      <c r="AL59" s="680"/>
      <c r="AM59" s="696"/>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681"/>
      <c r="K60" s="680"/>
      <c r="L60" s="680"/>
      <c r="M60" s="680"/>
      <c r="N60" s="680"/>
      <c r="O60" s="696"/>
      <c r="P60" s="681"/>
      <c r="Q60" s="680"/>
      <c r="R60" s="680"/>
      <c r="S60" s="680"/>
      <c r="T60" s="680"/>
      <c r="U60" s="696"/>
      <c r="V60" s="681"/>
      <c r="W60" s="680"/>
      <c r="X60" s="680"/>
      <c r="Y60" s="680"/>
      <c r="Z60" s="680"/>
      <c r="AA60" s="696"/>
      <c r="AB60" s="681"/>
      <c r="AC60" s="680"/>
      <c r="AD60" s="680"/>
      <c r="AE60" s="680"/>
      <c r="AF60" s="680"/>
      <c r="AG60" s="696"/>
      <c r="AH60" s="681"/>
      <c r="AI60" s="680"/>
      <c r="AJ60" s="680"/>
      <c r="AK60" s="680"/>
      <c r="AL60" s="680"/>
      <c r="AM60" s="696"/>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x14ac:dyDescent="0.3">
      <c r="A61" s="73"/>
      <c r="B61" s="73"/>
      <c r="C61" s="73"/>
      <c r="D61" s="73"/>
      <c r="E61" s="73"/>
      <c r="F61" s="73"/>
      <c r="G61" s="73"/>
      <c r="H61" s="73"/>
      <c r="I61" s="73"/>
      <c r="J61" s="682"/>
      <c r="K61" s="683"/>
      <c r="L61" s="683"/>
      <c r="M61" s="683"/>
      <c r="N61" s="683"/>
      <c r="O61" s="697"/>
      <c r="P61" s="682"/>
      <c r="Q61" s="683"/>
      <c r="R61" s="683"/>
      <c r="S61" s="683"/>
      <c r="T61" s="683"/>
      <c r="U61" s="697"/>
      <c r="V61" s="682"/>
      <c r="W61" s="683"/>
      <c r="X61" s="683"/>
      <c r="Y61" s="683"/>
      <c r="Z61" s="683"/>
      <c r="AA61" s="697"/>
      <c r="AB61" s="682"/>
      <c r="AC61" s="683"/>
      <c r="AD61" s="683"/>
      <c r="AE61" s="683"/>
      <c r="AF61" s="683"/>
      <c r="AG61" s="697"/>
      <c r="AH61" s="682"/>
      <c r="AI61" s="683"/>
      <c r="AJ61" s="683"/>
      <c r="AK61" s="683"/>
      <c r="AL61" s="683"/>
      <c r="AM61" s="697"/>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x14ac:dyDescent="0.25">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x14ac:dyDescent="0.25">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x14ac:dyDescent="0.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x14ac:dyDescent="0.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x14ac:dyDescent="0.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x14ac:dyDescent="0.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x14ac:dyDescent="0.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x14ac:dyDescent="0.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x14ac:dyDescent="0.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x14ac:dyDescent="0.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x14ac:dyDescent="0.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x14ac:dyDescent="0.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x14ac:dyDescent="0.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x14ac:dyDescent="0.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x14ac:dyDescent="0.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x14ac:dyDescent="0.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x14ac:dyDescent="0.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x14ac:dyDescent="0.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x14ac:dyDescent="0.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x14ac:dyDescent="0.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x14ac:dyDescent="0.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x14ac:dyDescent="0.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x14ac:dyDescent="0.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x14ac:dyDescent="0.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x14ac:dyDescent="0.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x14ac:dyDescent="0.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x14ac:dyDescent="0.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x14ac:dyDescent="0.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x14ac:dyDescent="0.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x14ac:dyDescent="0.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x14ac:dyDescent="0.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x14ac:dyDescent="0.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x14ac:dyDescent="0.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x14ac:dyDescent="0.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x14ac:dyDescent="0.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x14ac:dyDescent="0.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x14ac:dyDescent="0.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x14ac:dyDescent="0.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x14ac:dyDescent="0.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x14ac:dyDescent="0.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x14ac:dyDescent="0.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x14ac:dyDescent="0.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x14ac:dyDescent="0.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x14ac:dyDescent="0.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x14ac:dyDescent="0.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x14ac:dyDescent="0.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x14ac:dyDescent="0.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x14ac:dyDescent="0.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x14ac:dyDescent="0.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x14ac:dyDescent="0.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x14ac:dyDescent="0.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x14ac:dyDescent="0.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x14ac:dyDescent="0.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x14ac:dyDescent="0.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x14ac:dyDescent="0.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x14ac:dyDescent="0.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x14ac:dyDescent="0.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x14ac:dyDescent="0.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x14ac:dyDescent="0.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x14ac:dyDescent="0.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x14ac:dyDescent="0.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x14ac:dyDescent="0.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x14ac:dyDescent="0.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x14ac:dyDescent="0.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x14ac:dyDescent="0.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x14ac:dyDescent="0.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x14ac:dyDescent="0.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x14ac:dyDescent="0.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x14ac:dyDescent="0.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x14ac:dyDescent="0.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x14ac:dyDescent="0.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x14ac:dyDescent="0.25">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x14ac:dyDescent="0.25">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x14ac:dyDescent="0.25">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x14ac:dyDescent="0.25">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x14ac:dyDescent="0.25">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x14ac:dyDescent="0.25">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x14ac:dyDescent="0.25">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x14ac:dyDescent="0.25">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x14ac:dyDescent="0.25">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x14ac:dyDescent="0.25">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x14ac:dyDescent="0.25">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x14ac:dyDescent="0.25">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x14ac:dyDescent="0.25">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x14ac:dyDescent="0.25">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x14ac:dyDescent="0.25">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x14ac:dyDescent="0.25">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x14ac:dyDescent="0.25">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x14ac:dyDescent="0.25">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x14ac:dyDescent="0.25">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x14ac:dyDescent="0.25">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x14ac:dyDescent="0.25">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x14ac:dyDescent="0.25">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x14ac:dyDescent="0.25">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x14ac:dyDescent="0.25">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x14ac:dyDescent="0.25">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x14ac:dyDescent="0.25">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x14ac:dyDescent="0.25">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x14ac:dyDescent="0.25">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x14ac:dyDescent="0.25">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x14ac:dyDescent="0.25">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x14ac:dyDescent="0.25">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x14ac:dyDescent="0.25">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x14ac:dyDescent="0.25">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x14ac:dyDescent="0.25">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x14ac:dyDescent="0.25">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x14ac:dyDescent="0.25">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x14ac:dyDescent="0.25">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x14ac:dyDescent="0.25">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x14ac:dyDescent="0.25">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x14ac:dyDescent="0.25">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x14ac:dyDescent="0.25">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x14ac:dyDescent="0.25">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x14ac:dyDescent="0.25">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x14ac:dyDescent="0.25">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x14ac:dyDescent="0.25">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x14ac:dyDescent="0.25">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x14ac:dyDescent="0.25">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x14ac:dyDescent="0.25">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x14ac:dyDescent="0.25">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x14ac:dyDescent="0.25">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x14ac:dyDescent="0.25">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x14ac:dyDescent="0.25">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x14ac:dyDescent="0.25">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x14ac:dyDescent="0.25">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x14ac:dyDescent="0.25">
      <c r="A245" s="73"/>
    </row>
    <row r="246" spans="1:60" x14ac:dyDescent="0.25">
      <c r="A246" s="73"/>
    </row>
    <row r="247" spans="1:60" x14ac:dyDescent="0.25">
      <c r="A247" s="73"/>
    </row>
    <row r="248" spans="1:60" x14ac:dyDescent="0.25">
      <c r="A248" s="73"/>
    </row>
  </sheetData>
  <sheetProtection algorithmName="SHA-512" hashValue="pk41qPkreGaIienBHjYN6qHrG0CgO529+BqkFfOkTGgU8ieLIk2ly7oHCkTe6nIJwtUs4b/6dT5t6eEiLeXG7Q==" saltValue="1Vg2zxH2JXOw6ZLmo/E9SA==" spinCount="100000" sheet="1" objects="1" scenarios="1"/>
  <mergeCells count="17">
    <mergeCell ref="J56:O61"/>
    <mergeCell ref="P56:U61"/>
    <mergeCell ref="V56:AA61"/>
    <mergeCell ref="AB56:AG61"/>
    <mergeCell ref="AH56:AM61"/>
    <mergeCell ref="AO16:AT25"/>
    <mergeCell ref="E16:I25"/>
    <mergeCell ref="AO6:AT15"/>
    <mergeCell ref="B2:I4"/>
    <mergeCell ref="J2:AM4"/>
    <mergeCell ref="B6:D55"/>
    <mergeCell ref="E6:I15"/>
    <mergeCell ref="E46:I55"/>
    <mergeCell ref="AO36:AT45"/>
    <mergeCell ref="E36:I45"/>
    <mergeCell ref="AO26:AT35"/>
    <mergeCell ref="E26:I3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K55"/>
  <sheetViews>
    <sheetView zoomScale="90" zoomScaleNormal="90" workbookViewId="0">
      <selection activeCell="D4" sqref="D4"/>
    </sheetView>
  </sheetViews>
  <sheetFormatPr baseColWidth="10" defaultColWidth="11.42578125" defaultRowHeight="15" x14ac:dyDescent="0.25"/>
  <cols>
    <col min="2" max="2" width="24.140625" customWidth="1"/>
    <col min="3" max="3" width="70.140625" customWidth="1"/>
    <col min="4" max="4" width="29.85546875" customWidth="1"/>
  </cols>
  <sheetData>
    <row r="1" spans="1:37" ht="23.25" x14ac:dyDescent="0.25">
      <c r="A1" s="73"/>
      <c r="B1" s="717" t="s">
        <v>307</v>
      </c>
      <c r="C1" s="717"/>
      <c r="D1" s="717"/>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x14ac:dyDescent="0.2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x14ac:dyDescent="0.25">
      <c r="A3" s="73"/>
      <c r="B3" s="7"/>
      <c r="C3" s="8" t="s">
        <v>308</v>
      </c>
      <c r="D3" s="8" t="s">
        <v>292</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x14ac:dyDescent="0.25">
      <c r="A4" s="73"/>
      <c r="B4" s="9" t="s">
        <v>309</v>
      </c>
      <c r="C4" s="10" t="s">
        <v>310</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x14ac:dyDescent="0.25">
      <c r="A5" s="73"/>
      <c r="B5" s="12" t="s">
        <v>311</v>
      </c>
      <c r="C5" s="13" t="s">
        <v>312</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x14ac:dyDescent="0.25">
      <c r="A6" s="73"/>
      <c r="B6" s="15" t="s">
        <v>313</v>
      </c>
      <c r="C6" s="13" t="s">
        <v>314</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x14ac:dyDescent="0.25">
      <c r="A7" s="73"/>
      <c r="B7" s="16" t="s">
        <v>315</v>
      </c>
      <c r="C7" s="13" t="s">
        <v>316</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x14ac:dyDescent="0.25">
      <c r="A8" s="73"/>
      <c r="B8" s="17" t="s">
        <v>317</v>
      </c>
      <c r="C8" s="13" t="s">
        <v>318</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x14ac:dyDescent="0.25">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x14ac:dyDescent="0.2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x14ac:dyDescent="0.25">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x14ac:dyDescent="0.25">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x14ac:dyDescent="0.25">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x14ac:dyDescent="0.25">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x14ac:dyDescent="0.25">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x14ac:dyDescent="0.25">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x14ac:dyDescent="0.25">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x14ac:dyDescent="0.25">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x14ac:dyDescent="0.25">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x14ac:dyDescent="0.25">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x14ac:dyDescent="0.25">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x14ac:dyDescent="0.25">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x14ac:dyDescent="0.25">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x14ac:dyDescent="0.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x14ac:dyDescent="0.25">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x14ac:dyDescent="0.25">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x14ac:dyDescent="0.25">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x14ac:dyDescent="0.25">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x14ac:dyDescent="0.25">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x14ac:dyDescent="0.25">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x14ac:dyDescent="0.25">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x14ac:dyDescent="0.25">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x14ac:dyDescent="0.25">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x14ac:dyDescent="0.25">
      <c r="A35" s="73"/>
    </row>
    <row r="36" spans="1:31" x14ac:dyDescent="0.25">
      <c r="A36" s="73"/>
    </row>
    <row r="37" spans="1:31" x14ac:dyDescent="0.25">
      <c r="A37" s="73"/>
    </row>
    <row r="38" spans="1:31" x14ac:dyDescent="0.25">
      <c r="A38" s="73"/>
    </row>
    <row r="39" spans="1:31" x14ac:dyDescent="0.25">
      <c r="A39" s="73"/>
    </row>
    <row r="40" spans="1:31" x14ac:dyDescent="0.25">
      <c r="A40" s="73"/>
    </row>
    <row r="41" spans="1:31" x14ac:dyDescent="0.25">
      <c r="A41" s="73"/>
    </row>
    <row r="42" spans="1:31" x14ac:dyDescent="0.25">
      <c r="A42" s="73"/>
    </row>
    <row r="43" spans="1:31" x14ac:dyDescent="0.25">
      <c r="A43" s="73"/>
    </row>
    <row r="44" spans="1:31" x14ac:dyDescent="0.25">
      <c r="A44" s="73"/>
    </row>
    <row r="45" spans="1:31" x14ac:dyDescent="0.25">
      <c r="A45" s="73"/>
    </row>
    <row r="46" spans="1:31" x14ac:dyDescent="0.25">
      <c r="A46" s="73"/>
    </row>
    <row r="47" spans="1:31" x14ac:dyDescent="0.25">
      <c r="A47" s="73"/>
    </row>
    <row r="48" spans="1:31" x14ac:dyDescent="0.25">
      <c r="A48" s="73"/>
    </row>
    <row r="49" spans="1:1" x14ac:dyDescent="0.25">
      <c r="A49" s="73"/>
    </row>
    <row r="50" spans="1:1" x14ac:dyDescent="0.25">
      <c r="A50" s="73"/>
    </row>
    <row r="51" spans="1:1" x14ac:dyDescent="0.25">
      <c r="A51" s="73"/>
    </row>
    <row r="52" spans="1:1" x14ac:dyDescent="0.25">
      <c r="A52" s="73"/>
    </row>
    <row r="53" spans="1:1" x14ac:dyDescent="0.25">
      <c r="A53" s="73"/>
    </row>
    <row r="54" spans="1:1" x14ac:dyDescent="0.25">
      <c r="A54" s="73"/>
    </row>
    <row r="55" spans="1:1" x14ac:dyDescent="0.25">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U232"/>
  <sheetViews>
    <sheetView zoomScale="60" zoomScaleNormal="60" workbookViewId="0">
      <selection activeCell="D9" sqref="D9"/>
    </sheetView>
  </sheetViews>
  <sheetFormatPr baseColWidth="10" defaultColWidth="11.42578125" defaultRowHeight="15" x14ac:dyDescent="0.25"/>
  <cols>
    <col min="2" max="2" width="40.42578125" customWidth="1"/>
    <col min="3" max="3" width="74.85546875" customWidth="1"/>
    <col min="4" max="4" width="135" bestFit="1" customWidth="1"/>
    <col min="5" max="5" width="144.7109375" bestFit="1" customWidth="1"/>
  </cols>
  <sheetData>
    <row r="1" spans="1:21" ht="33.75" x14ac:dyDescent="0.25">
      <c r="A1" s="73"/>
      <c r="B1" s="718" t="s">
        <v>319</v>
      </c>
      <c r="C1" s="718"/>
      <c r="D1" s="718"/>
      <c r="E1" s="73"/>
      <c r="F1" s="73"/>
      <c r="G1" s="73"/>
      <c r="H1" s="73"/>
      <c r="I1" s="73"/>
      <c r="J1" s="73"/>
      <c r="K1" s="73"/>
      <c r="L1" s="73"/>
      <c r="M1" s="73"/>
      <c r="N1" s="73"/>
      <c r="O1" s="73"/>
      <c r="P1" s="73"/>
      <c r="Q1" s="73"/>
      <c r="R1" s="73"/>
      <c r="S1" s="73"/>
      <c r="T1" s="73"/>
      <c r="U1" s="73"/>
    </row>
    <row r="2" spans="1:21" x14ac:dyDescent="0.25">
      <c r="A2" s="73"/>
      <c r="B2" s="73"/>
      <c r="C2" s="73"/>
      <c r="D2" s="73"/>
      <c r="E2" s="73"/>
      <c r="F2" s="73"/>
      <c r="G2" s="73"/>
      <c r="H2" s="73"/>
      <c r="I2" s="73"/>
      <c r="J2" s="73"/>
      <c r="K2" s="73"/>
      <c r="L2" s="73"/>
      <c r="M2" s="73"/>
      <c r="N2" s="73"/>
      <c r="O2" s="73"/>
      <c r="P2" s="73"/>
      <c r="Q2" s="73"/>
      <c r="R2" s="73"/>
      <c r="S2" s="73"/>
      <c r="T2" s="73"/>
      <c r="U2" s="73"/>
    </row>
    <row r="3" spans="1:21" ht="30" x14ac:dyDescent="0.25">
      <c r="A3" s="73"/>
      <c r="B3" s="94"/>
      <c r="C3" s="26" t="s">
        <v>320</v>
      </c>
      <c r="D3" s="26" t="s">
        <v>321</v>
      </c>
      <c r="E3" s="73"/>
      <c r="F3" s="73"/>
      <c r="G3" s="73"/>
      <c r="H3" s="73"/>
      <c r="I3" s="73"/>
      <c r="J3" s="73"/>
      <c r="K3" s="73"/>
      <c r="L3" s="73"/>
      <c r="M3" s="73"/>
      <c r="N3" s="73"/>
      <c r="O3" s="73"/>
      <c r="P3" s="73"/>
      <c r="Q3" s="73"/>
      <c r="R3" s="73"/>
      <c r="S3" s="73"/>
      <c r="T3" s="73"/>
      <c r="U3" s="73"/>
    </row>
    <row r="4" spans="1:21" ht="33.75" x14ac:dyDescent="0.25">
      <c r="A4" s="93" t="s">
        <v>12</v>
      </c>
      <c r="B4" s="29" t="s">
        <v>322</v>
      </c>
      <c r="C4" s="34" t="s">
        <v>323</v>
      </c>
      <c r="D4" s="27" t="s">
        <v>324</v>
      </c>
      <c r="E4" s="73"/>
      <c r="F4" s="73"/>
      <c r="G4" s="73"/>
      <c r="H4" s="73"/>
      <c r="I4" s="73"/>
      <c r="J4" s="73"/>
      <c r="K4" s="73"/>
      <c r="L4" s="73"/>
      <c r="M4" s="73"/>
      <c r="N4" s="73"/>
      <c r="O4" s="73"/>
      <c r="P4" s="73"/>
      <c r="Q4" s="73"/>
      <c r="R4" s="73"/>
      <c r="S4" s="73"/>
      <c r="T4" s="73"/>
      <c r="U4" s="73"/>
    </row>
    <row r="5" spans="1:21" ht="67.5" x14ac:dyDescent="0.25">
      <c r="A5" s="93" t="s">
        <v>325</v>
      </c>
      <c r="B5" s="30" t="s">
        <v>326</v>
      </c>
      <c r="C5" s="35" t="s">
        <v>327</v>
      </c>
      <c r="D5" s="28" t="s">
        <v>328</v>
      </c>
      <c r="E5" s="73"/>
      <c r="F5" s="73"/>
      <c r="G5" s="73"/>
      <c r="H5" s="73"/>
      <c r="I5" s="73"/>
      <c r="J5" s="73"/>
      <c r="K5" s="73"/>
      <c r="L5" s="73"/>
      <c r="M5" s="73"/>
      <c r="N5" s="73"/>
      <c r="O5" s="73"/>
      <c r="P5" s="73"/>
      <c r="Q5" s="73"/>
      <c r="R5" s="73"/>
      <c r="S5" s="73"/>
      <c r="T5" s="73"/>
      <c r="U5" s="73"/>
    </row>
    <row r="6" spans="1:21" ht="67.5" x14ac:dyDescent="0.25">
      <c r="A6" s="93" t="s">
        <v>26</v>
      </c>
      <c r="B6" s="31" t="s">
        <v>329</v>
      </c>
      <c r="C6" s="35" t="s">
        <v>330</v>
      </c>
      <c r="D6" s="28" t="s">
        <v>331</v>
      </c>
      <c r="E6" s="73"/>
      <c r="F6" s="73"/>
      <c r="G6" s="73"/>
      <c r="H6" s="73"/>
      <c r="I6" s="73"/>
      <c r="J6" s="73"/>
      <c r="K6" s="73"/>
      <c r="L6" s="73"/>
      <c r="M6" s="73"/>
      <c r="N6" s="73"/>
      <c r="O6" s="73"/>
      <c r="P6" s="73"/>
      <c r="Q6" s="73"/>
      <c r="R6" s="73"/>
      <c r="S6" s="73"/>
      <c r="T6" s="73"/>
      <c r="U6" s="73"/>
    </row>
    <row r="7" spans="1:21" ht="101.25" x14ac:dyDescent="0.25">
      <c r="A7" s="93" t="s">
        <v>332</v>
      </c>
      <c r="B7" s="32" t="s">
        <v>333</v>
      </c>
      <c r="C7" s="35" t="s">
        <v>334</v>
      </c>
      <c r="D7" s="28" t="s">
        <v>335</v>
      </c>
      <c r="E7" s="73"/>
      <c r="F7" s="73"/>
      <c r="G7" s="73"/>
      <c r="H7" s="73"/>
      <c r="I7" s="73"/>
      <c r="J7" s="73"/>
      <c r="K7" s="73"/>
      <c r="L7" s="73"/>
      <c r="M7" s="73"/>
      <c r="N7" s="73"/>
      <c r="O7" s="73"/>
      <c r="P7" s="73"/>
      <c r="Q7" s="73"/>
      <c r="R7" s="73"/>
      <c r="S7" s="73"/>
      <c r="T7" s="73"/>
      <c r="U7" s="73"/>
    </row>
    <row r="8" spans="1:21" ht="67.5" x14ac:dyDescent="0.25">
      <c r="A8" s="93" t="s">
        <v>40</v>
      </c>
      <c r="B8" s="33" t="s">
        <v>336</v>
      </c>
      <c r="C8" s="35" t="s">
        <v>337</v>
      </c>
      <c r="D8" s="28" t="s">
        <v>338</v>
      </c>
      <c r="E8" s="73"/>
      <c r="F8" s="73"/>
      <c r="G8" s="73"/>
      <c r="H8" s="73"/>
      <c r="I8" s="73"/>
      <c r="J8" s="73"/>
      <c r="K8" s="73"/>
      <c r="L8" s="73"/>
      <c r="M8" s="73"/>
      <c r="N8" s="73"/>
      <c r="O8" s="73"/>
      <c r="P8" s="73"/>
      <c r="Q8" s="73"/>
      <c r="R8" s="73"/>
      <c r="S8" s="73"/>
      <c r="T8" s="73"/>
      <c r="U8" s="73"/>
    </row>
    <row r="9" spans="1:21" ht="20.25" x14ac:dyDescent="0.25">
      <c r="A9" s="93"/>
      <c r="B9" s="93"/>
      <c r="C9" s="95"/>
      <c r="D9" s="95"/>
      <c r="E9" s="73"/>
      <c r="F9" s="73"/>
      <c r="G9" s="73"/>
      <c r="H9" s="73"/>
      <c r="I9" s="73"/>
      <c r="J9" s="73"/>
      <c r="K9" s="73"/>
      <c r="L9" s="73"/>
      <c r="M9" s="73"/>
      <c r="N9" s="73"/>
      <c r="O9" s="73"/>
      <c r="P9" s="73"/>
      <c r="Q9" s="73"/>
      <c r="R9" s="73"/>
      <c r="S9" s="73"/>
      <c r="T9" s="73"/>
      <c r="U9" s="73"/>
    </row>
    <row r="10" spans="1:21" ht="16.5" x14ac:dyDescent="0.25">
      <c r="A10" s="93"/>
      <c r="B10" s="96"/>
      <c r="C10" s="96"/>
      <c r="D10" s="96"/>
      <c r="E10" s="73"/>
      <c r="F10" s="73"/>
      <c r="G10" s="73"/>
      <c r="H10" s="73"/>
      <c r="I10" s="73"/>
      <c r="J10" s="73"/>
      <c r="K10" s="73"/>
      <c r="L10" s="73"/>
      <c r="M10" s="73"/>
      <c r="N10" s="73"/>
      <c r="O10" s="73"/>
      <c r="P10" s="73"/>
      <c r="Q10" s="73"/>
      <c r="R10" s="73"/>
      <c r="S10" s="73"/>
      <c r="T10" s="73"/>
      <c r="U10" s="73"/>
    </row>
    <row r="11" spans="1:21" x14ac:dyDescent="0.25">
      <c r="A11" s="93"/>
      <c r="B11" s="93" t="s">
        <v>339</v>
      </c>
      <c r="C11" s="93" t="s">
        <v>260</v>
      </c>
      <c r="D11" s="93" t="s">
        <v>340</v>
      </c>
      <c r="E11" s="73"/>
      <c r="F11" s="73"/>
      <c r="G11" s="73"/>
      <c r="H11" s="73"/>
      <c r="I11" s="73"/>
      <c r="J11" s="73"/>
      <c r="K11" s="73"/>
      <c r="L11" s="73"/>
      <c r="M11" s="73"/>
      <c r="N11" s="73"/>
      <c r="O11" s="73"/>
      <c r="P11" s="73"/>
      <c r="Q11" s="73"/>
      <c r="R11" s="73"/>
      <c r="S11" s="73"/>
      <c r="T11" s="73"/>
      <c r="U11" s="73"/>
    </row>
    <row r="12" spans="1:21" x14ac:dyDescent="0.25">
      <c r="A12" s="93"/>
      <c r="B12" s="93" t="s">
        <v>341</v>
      </c>
      <c r="C12" s="93" t="s">
        <v>342</v>
      </c>
      <c r="D12" s="93" t="s">
        <v>343</v>
      </c>
      <c r="E12" s="73"/>
      <c r="F12" s="73"/>
      <c r="G12" s="73"/>
      <c r="H12" s="73"/>
      <c r="I12" s="73"/>
      <c r="J12" s="73"/>
      <c r="K12" s="73"/>
      <c r="L12" s="73"/>
      <c r="M12" s="73"/>
      <c r="N12" s="73"/>
      <c r="O12" s="73"/>
      <c r="P12" s="73"/>
      <c r="Q12" s="73"/>
      <c r="R12" s="73"/>
      <c r="S12" s="73"/>
      <c r="T12" s="73"/>
      <c r="U12" s="73"/>
    </row>
    <row r="13" spans="1:21" x14ac:dyDescent="0.25">
      <c r="A13" s="93"/>
      <c r="B13" s="93"/>
      <c r="C13" s="93" t="s">
        <v>344</v>
      </c>
      <c r="D13" s="93" t="s">
        <v>345</v>
      </c>
      <c r="E13" s="73"/>
      <c r="F13" s="73"/>
      <c r="G13" s="73"/>
      <c r="H13" s="73"/>
      <c r="I13" s="73"/>
      <c r="J13" s="73"/>
      <c r="K13" s="73"/>
      <c r="L13" s="73"/>
      <c r="M13" s="73"/>
      <c r="N13" s="73"/>
      <c r="O13" s="73"/>
      <c r="P13" s="73"/>
      <c r="Q13" s="73"/>
      <c r="R13" s="73"/>
      <c r="S13" s="73"/>
      <c r="T13" s="73"/>
      <c r="U13" s="73"/>
    </row>
    <row r="14" spans="1:21" x14ac:dyDescent="0.25">
      <c r="A14" s="93"/>
      <c r="B14" s="93"/>
      <c r="C14" s="93" t="s">
        <v>346</v>
      </c>
      <c r="D14" s="93" t="s">
        <v>347</v>
      </c>
      <c r="E14" s="73"/>
      <c r="F14" s="73"/>
      <c r="G14" s="73"/>
      <c r="H14" s="73"/>
      <c r="I14" s="73"/>
      <c r="J14" s="73"/>
      <c r="K14" s="73"/>
      <c r="L14" s="73"/>
      <c r="M14" s="73"/>
      <c r="N14" s="73"/>
      <c r="O14" s="73"/>
      <c r="P14" s="73"/>
      <c r="Q14" s="73"/>
      <c r="R14" s="73"/>
      <c r="S14" s="73"/>
      <c r="T14" s="73"/>
      <c r="U14" s="73"/>
    </row>
    <row r="15" spans="1:21" x14ac:dyDescent="0.25">
      <c r="A15" s="93"/>
      <c r="B15" s="93"/>
      <c r="C15" s="93" t="s">
        <v>348</v>
      </c>
      <c r="D15" s="93" t="s">
        <v>349</v>
      </c>
      <c r="E15" s="73"/>
      <c r="F15" s="73"/>
      <c r="G15" s="73"/>
      <c r="H15" s="73"/>
      <c r="I15" s="73"/>
      <c r="J15" s="73"/>
      <c r="K15" s="73"/>
      <c r="L15" s="73"/>
      <c r="M15" s="73"/>
      <c r="N15" s="73"/>
      <c r="O15" s="73"/>
      <c r="P15" s="73"/>
      <c r="Q15" s="73"/>
      <c r="R15" s="73"/>
      <c r="S15" s="73"/>
      <c r="T15" s="73"/>
      <c r="U15" s="73"/>
    </row>
    <row r="16" spans="1:21" x14ac:dyDescent="0.25">
      <c r="A16" s="93"/>
      <c r="B16" s="93"/>
      <c r="C16" s="93"/>
      <c r="D16" s="93"/>
      <c r="E16" s="73"/>
      <c r="F16" s="73"/>
      <c r="G16" s="73"/>
      <c r="H16" s="73"/>
      <c r="I16" s="73"/>
      <c r="J16" s="73"/>
      <c r="K16" s="73"/>
      <c r="L16" s="73"/>
      <c r="M16" s="73"/>
      <c r="N16" s="73"/>
      <c r="O16" s="73"/>
    </row>
    <row r="17" spans="1:15" x14ac:dyDescent="0.25">
      <c r="A17" s="93"/>
      <c r="B17" s="93"/>
      <c r="C17" s="93"/>
      <c r="D17" s="93"/>
      <c r="E17" s="73"/>
      <c r="F17" s="73"/>
      <c r="G17" s="73"/>
      <c r="H17" s="73"/>
      <c r="I17" s="73"/>
      <c r="J17" s="73"/>
      <c r="K17" s="73"/>
      <c r="L17" s="73"/>
      <c r="M17" s="73"/>
      <c r="N17" s="73"/>
      <c r="O17" s="73"/>
    </row>
    <row r="18" spans="1:15" x14ac:dyDescent="0.25">
      <c r="A18" s="93"/>
      <c r="B18" s="97"/>
      <c r="C18" s="97"/>
      <c r="D18" s="97"/>
      <c r="E18" s="73"/>
      <c r="F18" s="73"/>
      <c r="G18" s="73"/>
      <c r="H18" s="73"/>
      <c r="I18" s="73"/>
      <c r="J18" s="73"/>
      <c r="K18" s="73"/>
      <c r="L18" s="73"/>
      <c r="M18" s="73"/>
      <c r="N18" s="73"/>
      <c r="O18" s="73"/>
    </row>
    <row r="19" spans="1:15" x14ac:dyDescent="0.25">
      <c r="A19" s="93"/>
      <c r="B19" s="97"/>
      <c r="C19" s="97"/>
      <c r="D19" s="97"/>
      <c r="E19" s="73"/>
      <c r="F19" s="73"/>
      <c r="G19" s="73"/>
      <c r="H19" s="73"/>
      <c r="I19" s="73"/>
      <c r="J19" s="73"/>
      <c r="K19" s="73"/>
      <c r="L19" s="73"/>
      <c r="M19" s="73"/>
      <c r="N19" s="73"/>
      <c r="O19" s="73"/>
    </row>
    <row r="20" spans="1:15" x14ac:dyDescent="0.25">
      <c r="A20" s="93"/>
      <c r="B20" s="97"/>
      <c r="C20" s="97"/>
      <c r="D20" s="97"/>
      <c r="E20" s="73"/>
      <c r="F20" s="73"/>
      <c r="G20" s="73"/>
      <c r="H20" s="73"/>
      <c r="I20" s="73"/>
      <c r="J20" s="73"/>
      <c r="K20" s="73"/>
      <c r="L20" s="73"/>
      <c r="M20" s="73"/>
      <c r="N20" s="73"/>
      <c r="O20" s="73"/>
    </row>
    <row r="21" spans="1:15" x14ac:dyDescent="0.25">
      <c r="A21" s="93"/>
      <c r="B21" s="97"/>
      <c r="C21" s="97"/>
      <c r="D21" s="97"/>
      <c r="E21" s="73"/>
      <c r="F21" s="73"/>
      <c r="G21" s="73"/>
      <c r="H21" s="73"/>
      <c r="I21" s="73"/>
      <c r="J21" s="73"/>
      <c r="K21" s="73"/>
      <c r="L21" s="73"/>
      <c r="M21" s="73"/>
      <c r="N21" s="73"/>
      <c r="O21" s="73"/>
    </row>
    <row r="22" spans="1:15" ht="20.25" x14ac:dyDescent="0.25">
      <c r="A22" s="93"/>
      <c r="B22" s="93"/>
      <c r="C22" s="95"/>
      <c r="D22" s="95"/>
      <c r="E22" s="73"/>
      <c r="F22" s="73"/>
      <c r="G22" s="73"/>
      <c r="H22" s="73"/>
      <c r="I22" s="73"/>
      <c r="J22" s="73"/>
      <c r="K22" s="73"/>
      <c r="L22" s="73"/>
      <c r="M22" s="73"/>
      <c r="N22" s="73"/>
      <c r="O22" s="73"/>
    </row>
    <row r="23" spans="1:15" ht="20.25" x14ac:dyDescent="0.25">
      <c r="A23" s="93"/>
      <c r="B23" s="93"/>
      <c r="C23" s="95"/>
      <c r="D23" s="95"/>
      <c r="E23" s="73"/>
      <c r="F23" s="73"/>
      <c r="G23" s="73"/>
      <c r="H23" s="73"/>
      <c r="I23" s="73"/>
      <c r="J23" s="73"/>
      <c r="K23" s="73"/>
      <c r="L23" s="73"/>
      <c r="M23" s="73"/>
      <c r="N23" s="73"/>
      <c r="O23" s="73"/>
    </row>
    <row r="24" spans="1:15" ht="20.25" x14ac:dyDescent="0.25">
      <c r="A24" s="93"/>
      <c r="B24" s="93"/>
      <c r="C24" s="95"/>
      <c r="D24" s="95"/>
      <c r="E24" s="73"/>
      <c r="F24" s="73"/>
      <c r="G24" s="73"/>
      <c r="H24" s="73"/>
      <c r="I24" s="73"/>
      <c r="J24" s="73"/>
      <c r="K24" s="73"/>
      <c r="L24" s="73"/>
      <c r="M24" s="73"/>
      <c r="N24" s="73"/>
      <c r="O24" s="73"/>
    </row>
    <row r="25" spans="1:15" ht="20.25" x14ac:dyDescent="0.25">
      <c r="A25" s="93"/>
      <c r="B25" s="93"/>
      <c r="C25" s="95"/>
      <c r="D25" s="95"/>
      <c r="E25" s="73"/>
      <c r="F25" s="73"/>
      <c r="G25" s="73"/>
      <c r="H25" s="73"/>
      <c r="I25" s="73"/>
      <c r="J25" s="73"/>
      <c r="K25" s="73"/>
      <c r="L25" s="73"/>
      <c r="M25" s="73"/>
      <c r="N25" s="73"/>
      <c r="O25" s="73"/>
    </row>
    <row r="26" spans="1:15" ht="20.25" x14ac:dyDescent="0.25">
      <c r="A26" s="93"/>
      <c r="B26" s="93"/>
      <c r="C26" s="95"/>
      <c r="D26" s="95"/>
      <c r="E26" s="73"/>
      <c r="F26" s="73"/>
      <c r="G26" s="73"/>
      <c r="H26" s="73"/>
      <c r="I26" s="73"/>
      <c r="J26" s="73"/>
      <c r="K26" s="73"/>
      <c r="L26" s="73"/>
      <c r="M26" s="73"/>
      <c r="N26" s="73"/>
      <c r="O26" s="73"/>
    </row>
    <row r="27" spans="1:15" ht="20.25" x14ac:dyDescent="0.25">
      <c r="A27" s="93"/>
      <c r="B27" s="93"/>
      <c r="C27" s="95"/>
      <c r="D27" s="95"/>
      <c r="E27" s="73"/>
      <c r="F27" s="73"/>
      <c r="G27" s="73"/>
      <c r="H27" s="73"/>
      <c r="I27" s="73"/>
      <c r="J27" s="73"/>
      <c r="K27" s="73"/>
      <c r="L27" s="73"/>
      <c r="M27" s="73"/>
      <c r="N27" s="73"/>
      <c r="O27" s="73"/>
    </row>
    <row r="28" spans="1:15" ht="20.25" x14ac:dyDescent="0.25">
      <c r="A28" s="93"/>
      <c r="B28" s="93"/>
      <c r="C28" s="95"/>
      <c r="D28" s="95"/>
      <c r="E28" s="73"/>
      <c r="F28" s="73"/>
      <c r="G28" s="73"/>
      <c r="H28" s="73"/>
      <c r="I28" s="73"/>
      <c r="J28" s="73"/>
      <c r="K28" s="73"/>
      <c r="L28" s="73"/>
      <c r="M28" s="73"/>
      <c r="N28" s="73"/>
      <c r="O28" s="73"/>
    </row>
    <row r="29" spans="1:15" ht="20.25" x14ac:dyDescent="0.25">
      <c r="A29" s="93"/>
      <c r="B29" s="93"/>
      <c r="C29" s="95"/>
      <c r="D29" s="95"/>
      <c r="E29" s="73"/>
      <c r="F29" s="73"/>
      <c r="G29" s="73"/>
      <c r="H29" s="73"/>
      <c r="I29" s="73"/>
      <c r="J29" s="73"/>
      <c r="K29" s="73"/>
      <c r="L29" s="73"/>
      <c r="M29" s="73"/>
      <c r="N29" s="73"/>
      <c r="O29" s="73"/>
    </row>
    <row r="30" spans="1:15" ht="20.25" x14ac:dyDescent="0.25">
      <c r="A30" s="93"/>
      <c r="B30" s="93"/>
      <c r="C30" s="95"/>
      <c r="D30" s="95"/>
      <c r="E30" s="73"/>
      <c r="F30" s="73"/>
      <c r="G30" s="73"/>
      <c r="H30" s="73"/>
      <c r="I30" s="73"/>
      <c r="J30" s="73"/>
      <c r="K30" s="73"/>
      <c r="L30" s="73"/>
      <c r="M30" s="73"/>
      <c r="N30" s="73"/>
      <c r="O30" s="73"/>
    </row>
    <row r="31" spans="1:15" ht="20.25" x14ac:dyDescent="0.25">
      <c r="A31" s="93"/>
      <c r="B31" s="93"/>
      <c r="C31" s="95"/>
      <c r="D31" s="95"/>
      <c r="E31" s="73"/>
      <c r="F31" s="73"/>
      <c r="G31" s="73"/>
      <c r="H31" s="73"/>
      <c r="I31" s="73"/>
      <c r="J31" s="73"/>
      <c r="K31" s="73"/>
      <c r="L31" s="73"/>
      <c r="M31" s="73"/>
      <c r="N31" s="73"/>
      <c r="O31" s="73"/>
    </row>
    <row r="32" spans="1:15" ht="20.25" x14ac:dyDescent="0.25">
      <c r="A32" s="93"/>
      <c r="B32" s="93"/>
      <c r="C32" s="95"/>
      <c r="D32" s="95"/>
      <c r="E32" s="73"/>
      <c r="F32" s="73"/>
      <c r="G32" s="73"/>
      <c r="H32" s="73"/>
      <c r="I32" s="73"/>
      <c r="J32" s="73"/>
      <c r="K32" s="73"/>
      <c r="L32" s="73"/>
      <c r="M32" s="73"/>
      <c r="N32" s="73"/>
      <c r="O32" s="73"/>
    </row>
    <row r="33" spans="1:15" ht="20.25" x14ac:dyDescent="0.25">
      <c r="A33" s="93"/>
      <c r="B33" s="93"/>
      <c r="C33" s="95"/>
      <c r="D33" s="95"/>
      <c r="E33" s="73"/>
      <c r="F33" s="73"/>
      <c r="G33" s="73"/>
      <c r="H33" s="73"/>
      <c r="I33" s="73"/>
      <c r="J33" s="73"/>
      <c r="K33" s="73"/>
      <c r="L33" s="73"/>
      <c r="M33" s="73"/>
      <c r="N33" s="73"/>
      <c r="O33" s="73"/>
    </row>
    <row r="34" spans="1:15" ht="20.25" x14ac:dyDescent="0.25">
      <c r="A34" s="93"/>
      <c r="B34" s="93"/>
      <c r="C34" s="95"/>
      <c r="D34" s="95"/>
      <c r="E34" s="73"/>
      <c r="F34" s="73"/>
      <c r="G34" s="73"/>
      <c r="H34" s="73"/>
      <c r="I34" s="73"/>
      <c r="J34" s="73"/>
      <c r="K34" s="73"/>
      <c r="L34" s="73"/>
      <c r="M34" s="73"/>
      <c r="N34" s="73"/>
      <c r="O34" s="73"/>
    </row>
    <row r="35" spans="1:15" ht="20.25" x14ac:dyDescent="0.25">
      <c r="A35" s="93"/>
      <c r="B35" s="93"/>
      <c r="C35" s="95"/>
      <c r="D35" s="95"/>
      <c r="E35" s="73"/>
      <c r="F35" s="73"/>
      <c r="G35" s="73"/>
      <c r="H35" s="73"/>
      <c r="I35" s="73"/>
      <c r="J35" s="73"/>
      <c r="K35" s="73"/>
      <c r="L35" s="73"/>
      <c r="M35" s="73"/>
      <c r="N35" s="73"/>
      <c r="O35" s="73"/>
    </row>
    <row r="36" spans="1:15" ht="20.25" x14ac:dyDescent="0.25">
      <c r="A36" s="93"/>
      <c r="B36" s="93"/>
      <c r="C36" s="95"/>
      <c r="D36" s="95"/>
      <c r="E36" s="73"/>
      <c r="F36" s="73"/>
      <c r="G36" s="73"/>
      <c r="H36" s="73"/>
      <c r="I36" s="73"/>
      <c r="J36" s="73"/>
      <c r="K36" s="73"/>
      <c r="L36" s="73"/>
      <c r="M36" s="73"/>
      <c r="N36" s="73"/>
      <c r="O36" s="73"/>
    </row>
    <row r="37" spans="1:15" ht="20.25" x14ac:dyDescent="0.25">
      <c r="A37" s="93"/>
      <c r="B37" s="93"/>
      <c r="C37" s="95"/>
      <c r="D37" s="95"/>
      <c r="E37" s="73"/>
      <c r="F37" s="73"/>
      <c r="G37" s="73"/>
      <c r="H37" s="73"/>
      <c r="I37" s="73"/>
      <c r="J37" s="73"/>
      <c r="K37" s="73"/>
      <c r="L37" s="73"/>
      <c r="M37" s="73"/>
      <c r="N37" s="73"/>
      <c r="O37" s="73"/>
    </row>
    <row r="38" spans="1:15" ht="20.25" x14ac:dyDescent="0.25">
      <c r="A38" s="93"/>
      <c r="B38" s="93"/>
      <c r="C38" s="95"/>
      <c r="D38" s="95"/>
      <c r="E38" s="73"/>
      <c r="F38" s="73"/>
      <c r="G38" s="73"/>
      <c r="H38" s="73"/>
      <c r="I38" s="73"/>
      <c r="J38" s="73"/>
      <c r="K38" s="73"/>
      <c r="L38" s="73"/>
      <c r="M38" s="73"/>
      <c r="N38" s="73"/>
      <c r="O38" s="73"/>
    </row>
    <row r="39" spans="1:15" ht="20.25" x14ac:dyDescent="0.25">
      <c r="A39" s="93"/>
      <c r="B39" s="93"/>
      <c r="C39" s="95"/>
      <c r="D39" s="95"/>
      <c r="E39" s="73"/>
      <c r="F39" s="73"/>
      <c r="G39" s="73"/>
      <c r="H39" s="73"/>
      <c r="I39" s="73"/>
      <c r="J39" s="73"/>
      <c r="K39" s="73"/>
      <c r="L39" s="73"/>
      <c r="M39" s="73"/>
      <c r="N39" s="73"/>
      <c r="O39" s="73"/>
    </row>
    <row r="40" spans="1:15" ht="20.25" x14ac:dyDescent="0.25">
      <c r="A40" s="93"/>
      <c r="B40" s="93"/>
      <c r="C40" s="95"/>
      <c r="D40" s="95"/>
      <c r="E40" s="73"/>
      <c r="F40" s="73"/>
      <c r="G40" s="73"/>
      <c r="H40" s="73"/>
      <c r="I40" s="73"/>
      <c r="J40" s="73"/>
      <c r="K40" s="73"/>
      <c r="L40" s="73"/>
      <c r="M40" s="73"/>
      <c r="N40" s="73"/>
      <c r="O40" s="73"/>
    </row>
    <row r="41" spans="1:15" ht="20.25" x14ac:dyDescent="0.25">
      <c r="A41" s="93"/>
      <c r="B41" s="93"/>
      <c r="C41" s="95"/>
      <c r="D41" s="95"/>
      <c r="E41" s="73"/>
      <c r="F41" s="73"/>
      <c r="G41" s="73"/>
      <c r="H41" s="73"/>
      <c r="I41" s="73"/>
      <c r="J41" s="73"/>
      <c r="K41" s="73"/>
      <c r="L41" s="73"/>
      <c r="M41" s="73"/>
      <c r="N41" s="73"/>
      <c r="O41" s="73"/>
    </row>
    <row r="42" spans="1:15" ht="20.25" x14ac:dyDescent="0.25">
      <c r="A42" s="93"/>
      <c r="B42" s="93"/>
      <c r="C42" s="95"/>
      <c r="D42" s="95"/>
      <c r="E42" s="73"/>
      <c r="F42" s="73"/>
      <c r="G42" s="73"/>
      <c r="H42" s="73"/>
      <c r="I42" s="73"/>
      <c r="J42" s="73"/>
      <c r="K42" s="73"/>
      <c r="L42" s="73"/>
      <c r="M42" s="73"/>
      <c r="N42" s="73"/>
      <c r="O42" s="73"/>
    </row>
    <row r="43" spans="1:15" ht="20.25" x14ac:dyDescent="0.25">
      <c r="A43" s="93"/>
      <c r="B43" s="93"/>
      <c r="C43" s="95"/>
      <c r="D43" s="95"/>
      <c r="E43" s="73"/>
      <c r="F43" s="73"/>
      <c r="G43" s="73"/>
      <c r="H43" s="73"/>
      <c r="I43" s="73"/>
      <c r="J43" s="73"/>
      <c r="K43" s="73"/>
      <c r="L43" s="73"/>
      <c r="M43" s="73"/>
      <c r="N43" s="73"/>
      <c r="O43" s="73"/>
    </row>
    <row r="44" spans="1:15" ht="20.25" x14ac:dyDescent="0.25">
      <c r="A44" s="93"/>
      <c r="B44" s="93"/>
      <c r="C44" s="95"/>
      <c r="D44" s="95"/>
      <c r="E44" s="73"/>
      <c r="F44" s="73"/>
      <c r="G44" s="73"/>
      <c r="H44" s="73"/>
      <c r="I44" s="73"/>
      <c r="J44" s="73"/>
      <c r="K44" s="73"/>
      <c r="L44" s="73"/>
      <c r="M44" s="73"/>
      <c r="N44" s="73"/>
      <c r="O44" s="73"/>
    </row>
    <row r="45" spans="1:15" ht="20.25" x14ac:dyDescent="0.25">
      <c r="A45" s="93"/>
      <c r="B45" s="93"/>
      <c r="C45" s="95"/>
      <c r="D45" s="95"/>
      <c r="E45" s="73"/>
      <c r="F45" s="73"/>
      <c r="G45" s="73"/>
      <c r="H45" s="73"/>
      <c r="I45" s="73"/>
      <c r="J45" s="73"/>
      <c r="K45" s="73"/>
      <c r="L45" s="73"/>
      <c r="M45" s="73"/>
      <c r="N45" s="73"/>
      <c r="O45" s="73"/>
    </row>
    <row r="46" spans="1:15" ht="20.25" x14ac:dyDescent="0.25">
      <c r="A46" s="93"/>
      <c r="B46" s="93"/>
      <c r="C46" s="95"/>
      <c r="D46" s="95"/>
      <c r="E46" s="73"/>
      <c r="F46" s="73"/>
      <c r="G46" s="73"/>
      <c r="H46" s="73"/>
      <c r="I46" s="73"/>
      <c r="J46" s="73"/>
      <c r="K46" s="73"/>
      <c r="L46" s="73"/>
      <c r="M46" s="73"/>
      <c r="N46" s="73"/>
      <c r="O46" s="73"/>
    </row>
    <row r="47" spans="1:15" ht="20.25" x14ac:dyDescent="0.25">
      <c r="A47" s="93"/>
      <c r="B47" s="93"/>
      <c r="C47" s="95"/>
      <c r="D47" s="95"/>
      <c r="E47" s="73"/>
      <c r="F47" s="73"/>
      <c r="G47" s="73"/>
      <c r="H47" s="73"/>
      <c r="I47" s="73"/>
      <c r="J47" s="73"/>
      <c r="K47" s="73"/>
      <c r="L47" s="73"/>
      <c r="M47" s="73"/>
      <c r="N47" s="73"/>
      <c r="O47" s="73"/>
    </row>
    <row r="48" spans="1:15" ht="20.25" x14ac:dyDescent="0.25">
      <c r="A48" s="93"/>
      <c r="B48" s="93"/>
      <c r="C48" s="95"/>
      <c r="D48" s="95"/>
      <c r="E48" s="73"/>
      <c r="F48" s="73"/>
      <c r="G48" s="73"/>
      <c r="H48" s="73"/>
      <c r="I48" s="73"/>
      <c r="J48" s="73"/>
      <c r="K48" s="73"/>
      <c r="L48" s="73"/>
      <c r="M48" s="73"/>
      <c r="N48" s="73"/>
      <c r="O48" s="73"/>
    </row>
    <row r="49" spans="1:15" ht="20.25" x14ac:dyDescent="0.25">
      <c r="A49" s="93"/>
      <c r="B49" s="93"/>
      <c r="C49" s="95"/>
      <c r="D49" s="95"/>
      <c r="E49" s="73"/>
      <c r="F49" s="73"/>
      <c r="G49" s="73"/>
      <c r="H49" s="73"/>
      <c r="I49" s="73"/>
      <c r="J49" s="73"/>
      <c r="K49" s="73"/>
      <c r="L49" s="73"/>
      <c r="M49" s="73"/>
      <c r="N49" s="73"/>
      <c r="O49" s="73"/>
    </row>
    <row r="50" spans="1:15" ht="20.25" x14ac:dyDescent="0.25">
      <c r="A50" s="93"/>
      <c r="B50" s="93"/>
      <c r="C50" s="95"/>
      <c r="D50" s="95"/>
      <c r="E50" s="73"/>
      <c r="F50" s="73"/>
      <c r="G50" s="73"/>
      <c r="H50" s="73"/>
      <c r="I50" s="73"/>
      <c r="J50" s="73"/>
      <c r="K50" s="73"/>
      <c r="L50" s="73"/>
      <c r="M50" s="73"/>
      <c r="N50" s="73"/>
      <c r="O50" s="73"/>
    </row>
    <row r="51" spans="1:15" ht="20.25" x14ac:dyDescent="0.25">
      <c r="A51" s="93"/>
      <c r="B51" s="93"/>
      <c r="C51" s="95"/>
      <c r="D51" s="95"/>
      <c r="E51" s="73"/>
      <c r="F51" s="73"/>
      <c r="G51" s="73"/>
      <c r="H51" s="73"/>
      <c r="I51" s="73"/>
      <c r="J51" s="73"/>
      <c r="K51" s="73"/>
      <c r="L51" s="73"/>
      <c r="M51" s="73"/>
      <c r="N51" s="73"/>
      <c r="O51" s="73"/>
    </row>
    <row r="52" spans="1:15" ht="20.25" x14ac:dyDescent="0.25">
      <c r="A52" s="93"/>
      <c r="B52" s="19"/>
      <c r="C52" s="24"/>
      <c r="D52" s="24"/>
    </row>
    <row r="53" spans="1:15" ht="20.25" x14ac:dyDescent="0.25">
      <c r="A53" s="93"/>
      <c r="B53" s="19"/>
      <c r="C53" s="24"/>
      <c r="D53" s="24"/>
    </row>
    <row r="54" spans="1:15" ht="20.25" x14ac:dyDescent="0.25">
      <c r="A54" s="93"/>
      <c r="B54" s="19"/>
      <c r="C54" s="24"/>
      <c r="D54" s="24"/>
    </row>
    <row r="55" spans="1:15" ht="20.25" x14ac:dyDescent="0.25">
      <c r="A55" s="93"/>
      <c r="B55" s="19"/>
      <c r="C55" s="24"/>
      <c r="D55" s="24"/>
    </row>
    <row r="56" spans="1:15" ht="20.25" x14ac:dyDescent="0.25">
      <c r="A56" s="93"/>
      <c r="B56" s="19"/>
      <c r="C56" s="24"/>
      <c r="D56" s="24"/>
    </row>
    <row r="57" spans="1:15" ht="20.25" x14ac:dyDescent="0.25">
      <c r="A57" s="93"/>
      <c r="B57" s="19"/>
      <c r="C57" s="24"/>
      <c r="D57" s="24"/>
    </row>
    <row r="58" spans="1:15" ht="20.25" x14ac:dyDescent="0.25">
      <c r="A58" s="93"/>
      <c r="B58" s="19"/>
      <c r="C58" s="24"/>
      <c r="D58" s="24"/>
    </row>
    <row r="59" spans="1:15" ht="20.25" x14ac:dyDescent="0.25">
      <c r="A59" s="93"/>
      <c r="B59" s="19"/>
      <c r="C59" s="24"/>
      <c r="D59" s="24"/>
    </row>
    <row r="60" spans="1:15" ht="20.25" x14ac:dyDescent="0.25">
      <c r="A60" s="93"/>
      <c r="B60" s="19"/>
      <c r="C60" s="24"/>
      <c r="D60" s="24"/>
    </row>
    <row r="61" spans="1:15" ht="20.25" x14ac:dyDescent="0.25">
      <c r="A61" s="93"/>
      <c r="B61" s="19"/>
      <c r="C61" s="24"/>
      <c r="D61" s="24"/>
    </row>
    <row r="62" spans="1:15" ht="20.25" x14ac:dyDescent="0.25">
      <c r="A62" s="93"/>
      <c r="B62" s="19"/>
      <c r="C62" s="24"/>
      <c r="D62" s="24"/>
    </row>
    <row r="63" spans="1:15" ht="20.25" x14ac:dyDescent="0.25">
      <c r="A63" s="93"/>
      <c r="B63" s="19"/>
      <c r="C63" s="24"/>
      <c r="D63" s="24"/>
    </row>
    <row r="64" spans="1:15" ht="20.25" x14ac:dyDescent="0.25">
      <c r="A64" s="93"/>
      <c r="B64" s="19"/>
      <c r="C64" s="24"/>
      <c r="D64" s="24"/>
    </row>
    <row r="65" spans="1:4" ht="20.25" x14ac:dyDescent="0.25">
      <c r="A65" s="93"/>
      <c r="B65" s="19"/>
      <c r="C65" s="24"/>
      <c r="D65" s="24"/>
    </row>
    <row r="66" spans="1:4" ht="20.25" x14ac:dyDescent="0.25">
      <c r="A66" s="93"/>
      <c r="B66" s="19"/>
      <c r="C66" s="24"/>
      <c r="D66" s="24"/>
    </row>
    <row r="67" spans="1:4" ht="20.25" x14ac:dyDescent="0.25">
      <c r="A67" s="93"/>
      <c r="B67" s="19"/>
      <c r="C67" s="24"/>
      <c r="D67" s="24"/>
    </row>
    <row r="68" spans="1:4" ht="20.25" x14ac:dyDescent="0.25">
      <c r="A68" s="93"/>
      <c r="B68" s="19"/>
      <c r="C68" s="24"/>
      <c r="D68" s="24"/>
    </row>
    <row r="69" spans="1:4" ht="20.25" x14ac:dyDescent="0.25">
      <c r="A69" s="93"/>
      <c r="B69" s="19"/>
      <c r="C69" s="24"/>
      <c r="D69" s="24"/>
    </row>
    <row r="70" spans="1:4" ht="20.25" x14ac:dyDescent="0.25">
      <c r="A70" s="93"/>
      <c r="B70" s="19"/>
      <c r="C70" s="24"/>
      <c r="D70" s="24"/>
    </row>
    <row r="71" spans="1:4" ht="20.25" x14ac:dyDescent="0.25">
      <c r="A71" s="93"/>
      <c r="B71" s="19"/>
      <c r="C71" s="24"/>
      <c r="D71" s="24"/>
    </row>
    <row r="72" spans="1:4" ht="20.25" x14ac:dyDescent="0.25">
      <c r="A72" s="93"/>
      <c r="B72" s="19"/>
      <c r="C72" s="24"/>
      <c r="D72" s="24"/>
    </row>
    <row r="73" spans="1:4" ht="20.25" x14ac:dyDescent="0.25">
      <c r="A73" s="93"/>
      <c r="B73" s="19"/>
      <c r="C73" s="24"/>
      <c r="D73" s="24"/>
    </row>
    <row r="74" spans="1:4" ht="20.25" x14ac:dyDescent="0.25">
      <c r="A74" s="93"/>
      <c r="B74" s="19"/>
      <c r="C74" s="24"/>
      <c r="D74" s="24"/>
    </row>
    <row r="75" spans="1:4" ht="20.25" x14ac:dyDescent="0.25">
      <c r="A75" s="93"/>
      <c r="B75" s="19"/>
      <c r="C75" s="24"/>
      <c r="D75" s="24"/>
    </row>
    <row r="76" spans="1:4" ht="20.25" x14ac:dyDescent="0.25">
      <c r="A76" s="93"/>
      <c r="B76" s="19"/>
      <c r="C76" s="24"/>
      <c r="D76" s="24"/>
    </row>
    <row r="77" spans="1:4" ht="20.25" x14ac:dyDescent="0.25">
      <c r="A77" s="93"/>
      <c r="B77" s="19"/>
      <c r="C77" s="24"/>
      <c r="D77" s="24"/>
    </row>
    <row r="78" spans="1:4" ht="20.25" x14ac:dyDescent="0.25">
      <c r="A78" s="93"/>
      <c r="B78" s="19"/>
      <c r="C78" s="24"/>
      <c r="D78" s="24"/>
    </row>
    <row r="79" spans="1:4" ht="20.25" x14ac:dyDescent="0.25">
      <c r="A79" s="93"/>
      <c r="B79" s="19"/>
      <c r="C79" s="24"/>
      <c r="D79" s="24"/>
    </row>
    <row r="80" spans="1:4" ht="20.25" x14ac:dyDescent="0.25">
      <c r="A80" s="93"/>
      <c r="B80" s="19"/>
      <c r="C80" s="24"/>
      <c r="D80" s="24"/>
    </row>
    <row r="81" spans="1:4" ht="20.25" x14ac:dyDescent="0.25">
      <c r="A81" s="93"/>
      <c r="B81" s="19"/>
      <c r="C81" s="24"/>
      <c r="D81" s="24"/>
    </row>
    <row r="82" spans="1:4" ht="20.25" x14ac:dyDescent="0.25">
      <c r="A82" s="93"/>
      <c r="B82" s="19"/>
      <c r="C82" s="24"/>
      <c r="D82" s="24"/>
    </row>
    <row r="83" spans="1:4" ht="20.25" x14ac:dyDescent="0.25">
      <c r="A83" s="93"/>
      <c r="B83" s="19"/>
      <c r="C83" s="24"/>
      <c r="D83" s="24"/>
    </row>
    <row r="84" spans="1:4" ht="20.25" x14ac:dyDescent="0.25">
      <c r="A84" s="93"/>
      <c r="B84" s="19"/>
      <c r="C84" s="24"/>
      <c r="D84" s="24"/>
    </row>
    <row r="85" spans="1:4" ht="20.25" x14ac:dyDescent="0.25">
      <c r="A85" s="93"/>
      <c r="B85" s="19"/>
      <c r="C85" s="24"/>
      <c r="D85" s="24"/>
    </row>
    <row r="86" spans="1:4" ht="20.25" x14ac:dyDescent="0.25">
      <c r="A86" s="93"/>
      <c r="B86" s="19"/>
      <c r="C86" s="24"/>
      <c r="D86" s="24"/>
    </row>
    <row r="87" spans="1:4" ht="20.25" x14ac:dyDescent="0.25">
      <c r="A87" s="93"/>
      <c r="B87" s="19"/>
      <c r="C87" s="24"/>
      <c r="D87" s="24"/>
    </row>
    <row r="88" spans="1:4" ht="20.25" x14ac:dyDescent="0.25">
      <c r="A88" s="93"/>
      <c r="B88" s="19"/>
      <c r="C88" s="24"/>
      <c r="D88" s="24"/>
    </row>
    <row r="89" spans="1:4" ht="20.25" x14ac:dyDescent="0.25">
      <c r="A89" s="93"/>
      <c r="B89" s="19"/>
      <c r="C89" s="24"/>
      <c r="D89" s="24"/>
    </row>
    <row r="90" spans="1:4" ht="20.25" x14ac:dyDescent="0.25">
      <c r="A90" s="93"/>
      <c r="B90" s="19"/>
      <c r="C90" s="24"/>
      <c r="D90" s="24"/>
    </row>
    <row r="91" spans="1:4" ht="20.25" x14ac:dyDescent="0.25">
      <c r="A91" s="93"/>
      <c r="B91" s="19"/>
      <c r="C91" s="24"/>
      <c r="D91" s="24"/>
    </row>
    <row r="92" spans="1:4" ht="20.25" x14ac:dyDescent="0.25">
      <c r="A92" s="93"/>
      <c r="B92" s="19"/>
      <c r="C92" s="24"/>
      <c r="D92" s="24"/>
    </row>
    <row r="93" spans="1:4" ht="20.25" x14ac:dyDescent="0.25">
      <c r="A93" s="93"/>
      <c r="B93" s="19"/>
      <c r="C93" s="24"/>
      <c r="D93" s="24"/>
    </row>
    <row r="94" spans="1:4" ht="20.25" x14ac:dyDescent="0.25">
      <c r="A94" s="93"/>
      <c r="B94" s="19"/>
      <c r="C94" s="24"/>
      <c r="D94" s="24"/>
    </row>
    <row r="95" spans="1:4" ht="20.25" x14ac:dyDescent="0.25">
      <c r="A95" s="93"/>
      <c r="B95" s="19"/>
      <c r="C95" s="24"/>
      <c r="D95" s="24"/>
    </row>
    <row r="96" spans="1:4" ht="20.25" x14ac:dyDescent="0.25">
      <c r="A96" s="93"/>
      <c r="B96" s="19"/>
      <c r="C96" s="24"/>
      <c r="D96" s="24"/>
    </row>
    <row r="97" spans="1:4" ht="20.25" x14ac:dyDescent="0.25">
      <c r="A97" s="93"/>
      <c r="B97" s="19"/>
      <c r="C97" s="24"/>
      <c r="D97" s="24"/>
    </row>
    <row r="98" spans="1:4" ht="20.25" x14ac:dyDescent="0.25">
      <c r="A98" s="93"/>
      <c r="B98" s="19"/>
      <c r="C98" s="24"/>
      <c r="D98" s="24"/>
    </row>
    <row r="99" spans="1:4" ht="20.25" x14ac:dyDescent="0.25">
      <c r="A99" s="93"/>
      <c r="B99" s="19"/>
      <c r="C99" s="24"/>
      <c r="D99" s="24"/>
    </row>
    <row r="100" spans="1:4" ht="20.25" x14ac:dyDescent="0.25">
      <c r="A100" s="93"/>
      <c r="B100" s="19"/>
      <c r="C100" s="24"/>
      <c r="D100" s="24"/>
    </row>
    <row r="101" spans="1:4" ht="20.25" x14ac:dyDescent="0.25">
      <c r="A101" s="93"/>
      <c r="B101" s="19"/>
      <c r="C101" s="24"/>
      <c r="D101" s="24"/>
    </row>
    <row r="102" spans="1:4" ht="20.25" x14ac:dyDescent="0.25">
      <c r="A102" s="93"/>
      <c r="B102" s="19"/>
      <c r="C102" s="24"/>
      <c r="D102" s="24"/>
    </row>
    <row r="103" spans="1:4" ht="20.25" x14ac:dyDescent="0.25">
      <c r="A103" s="93"/>
      <c r="B103" s="19"/>
      <c r="C103" s="24"/>
      <c r="D103" s="24"/>
    </row>
    <row r="104" spans="1:4" ht="20.25" x14ac:dyDescent="0.25">
      <c r="A104" s="93"/>
      <c r="B104" s="19"/>
      <c r="C104" s="24"/>
      <c r="D104" s="24"/>
    </row>
    <row r="105" spans="1:4" ht="20.25" x14ac:dyDescent="0.25">
      <c r="A105" s="93"/>
      <c r="B105" s="19"/>
      <c r="C105" s="24"/>
      <c r="D105" s="24"/>
    </row>
    <row r="106" spans="1:4" ht="20.25" x14ac:dyDescent="0.25">
      <c r="A106" s="93"/>
      <c r="B106" s="19"/>
      <c r="C106" s="24"/>
      <c r="D106" s="24"/>
    </row>
    <row r="107" spans="1:4" ht="20.25" x14ac:dyDescent="0.25">
      <c r="A107" s="93"/>
      <c r="B107" s="19"/>
      <c r="C107" s="24"/>
      <c r="D107" s="24"/>
    </row>
    <row r="108" spans="1:4" ht="20.25" x14ac:dyDescent="0.25">
      <c r="A108" s="93"/>
      <c r="B108" s="19"/>
      <c r="C108" s="24"/>
      <c r="D108" s="24"/>
    </row>
    <row r="109" spans="1:4" ht="20.25" x14ac:dyDescent="0.25">
      <c r="A109" s="93"/>
      <c r="B109" s="19"/>
      <c r="C109" s="24"/>
      <c r="D109" s="24"/>
    </row>
    <row r="110" spans="1:4" ht="20.25" x14ac:dyDescent="0.25">
      <c r="A110" s="93"/>
      <c r="B110" s="19"/>
      <c r="C110" s="24"/>
      <c r="D110" s="24"/>
    </row>
    <row r="111" spans="1:4" ht="20.25" x14ac:dyDescent="0.25">
      <c r="A111" s="93"/>
      <c r="B111" s="19"/>
      <c r="C111" s="24"/>
      <c r="D111" s="24"/>
    </row>
    <row r="112" spans="1:4" ht="20.25" x14ac:dyDescent="0.25">
      <c r="A112" s="93"/>
      <c r="B112" s="19"/>
      <c r="C112" s="24"/>
      <c r="D112" s="24"/>
    </row>
    <row r="113" spans="1:4" ht="20.25" x14ac:dyDescent="0.25">
      <c r="A113" s="93"/>
      <c r="B113" s="19"/>
      <c r="C113" s="24"/>
      <c r="D113" s="24"/>
    </row>
    <row r="114" spans="1:4" ht="20.25" x14ac:dyDescent="0.25">
      <c r="A114" s="93"/>
      <c r="B114" s="19"/>
      <c r="C114" s="24"/>
      <c r="D114" s="24"/>
    </row>
    <row r="115" spans="1:4" ht="20.25" x14ac:dyDescent="0.25">
      <c r="A115" s="93"/>
      <c r="B115" s="19"/>
      <c r="C115" s="24"/>
      <c r="D115" s="24"/>
    </row>
    <row r="116" spans="1:4" ht="20.25" x14ac:dyDescent="0.25">
      <c r="A116" s="93"/>
      <c r="B116" s="19"/>
      <c r="C116" s="24"/>
      <c r="D116" s="24"/>
    </row>
    <row r="117" spans="1:4" ht="20.25" x14ac:dyDescent="0.25">
      <c r="A117" s="93"/>
      <c r="B117" s="19"/>
      <c r="C117" s="24"/>
      <c r="D117" s="24"/>
    </row>
    <row r="118" spans="1:4" ht="20.25" x14ac:dyDescent="0.25">
      <c r="A118" s="93"/>
      <c r="B118" s="19"/>
      <c r="C118" s="24"/>
      <c r="D118" s="24"/>
    </row>
    <row r="119" spans="1:4" ht="20.25" x14ac:dyDescent="0.25">
      <c r="A119" s="93"/>
      <c r="B119" s="19"/>
      <c r="C119" s="24"/>
      <c r="D119" s="24"/>
    </row>
    <row r="120" spans="1:4" ht="20.25" x14ac:dyDescent="0.25">
      <c r="A120" s="93"/>
      <c r="B120" s="19"/>
      <c r="C120" s="24"/>
      <c r="D120" s="24"/>
    </row>
    <row r="121" spans="1:4" ht="20.25" x14ac:dyDescent="0.25">
      <c r="A121" s="93"/>
      <c r="B121" s="19"/>
      <c r="C121" s="24"/>
      <c r="D121" s="24"/>
    </row>
    <row r="122" spans="1:4" ht="20.25" x14ac:dyDescent="0.25">
      <c r="A122" s="93"/>
      <c r="B122" s="19"/>
      <c r="C122" s="24"/>
      <c r="D122" s="24"/>
    </row>
    <row r="123" spans="1:4" ht="20.25" x14ac:dyDescent="0.25">
      <c r="A123" s="93"/>
      <c r="B123" s="19"/>
      <c r="C123" s="24"/>
      <c r="D123" s="24"/>
    </row>
    <row r="124" spans="1:4" ht="20.25" x14ac:dyDescent="0.25">
      <c r="A124" s="93"/>
      <c r="B124" s="19"/>
      <c r="C124" s="24"/>
      <c r="D124" s="24"/>
    </row>
    <row r="125" spans="1:4" ht="20.25" x14ac:dyDescent="0.25">
      <c r="A125" s="93"/>
      <c r="B125" s="19"/>
      <c r="C125" s="24"/>
      <c r="D125" s="24"/>
    </row>
    <row r="126" spans="1:4" ht="20.25" x14ac:dyDescent="0.25">
      <c r="A126" s="93"/>
      <c r="B126" s="19"/>
      <c r="C126" s="24"/>
      <c r="D126" s="24"/>
    </row>
    <row r="127" spans="1:4" ht="20.25" x14ac:dyDescent="0.25">
      <c r="A127" s="93"/>
      <c r="B127" s="19"/>
      <c r="C127" s="24"/>
      <c r="D127" s="24"/>
    </row>
    <row r="128" spans="1:4" ht="20.25" x14ac:dyDescent="0.25">
      <c r="A128" s="93"/>
      <c r="B128" s="19"/>
      <c r="C128" s="24"/>
      <c r="D128" s="24"/>
    </row>
    <row r="129" spans="1:4" ht="20.25" x14ac:dyDescent="0.25">
      <c r="A129" s="93"/>
      <c r="B129" s="19"/>
      <c r="C129" s="24"/>
      <c r="D129" s="24"/>
    </row>
    <row r="130" spans="1:4" ht="20.25" x14ac:dyDescent="0.25">
      <c r="A130" s="93"/>
      <c r="B130" s="19"/>
      <c r="C130" s="24"/>
      <c r="D130" s="24"/>
    </row>
    <row r="131" spans="1:4" ht="20.25" x14ac:dyDescent="0.25">
      <c r="A131" s="93"/>
      <c r="B131" s="19"/>
      <c r="C131" s="24"/>
      <c r="D131" s="24"/>
    </row>
    <row r="132" spans="1:4" ht="20.25" x14ac:dyDescent="0.25">
      <c r="A132" s="93"/>
      <c r="B132" s="19"/>
      <c r="C132" s="24"/>
      <c r="D132" s="24"/>
    </row>
    <row r="133" spans="1:4" ht="20.25" x14ac:dyDescent="0.25">
      <c r="A133" s="93"/>
      <c r="B133" s="19"/>
      <c r="C133" s="24"/>
      <c r="D133" s="24"/>
    </row>
    <row r="134" spans="1:4" ht="20.25" x14ac:dyDescent="0.25">
      <c r="A134" s="93"/>
      <c r="B134" s="19"/>
      <c r="C134" s="24"/>
      <c r="D134" s="24"/>
    </row>
    <row r="135" spans="1:4" ht="20.25" x14ac:dyDescent="0.25">
      <c r="A135" s="93"/>
      <c r="B135" s="19"/>
      <c r="C135" s="24"/>
      <c r="D135" s="24"/>
    </row>
    <row r="136" spans="1:4" ht="20.25" x14ac:dyDescent="0.25">
      <c r="A136" s="93"/>
      <c r="B136" s="19"/>
      <c r="C136" s="24"/>
      <c r="D136" s="24"/>
    </row>
    <row r="137" spans="1:4" ht="20.25" x14ac:dyDescent="0.25">
      <c r="A137" s="93"/>
      <c r="B137" s="19"/>
      <c r="C137" s="24"/>
      <c r="D137" s="24"/>
    </row>
    <row r="138" spans="1:4" ht="20.25" x14ac:dyDescent="0.25">
      <c r="A138" s="93"/>
      <c r="B138" s="19"/>
      <c r="C138" s="24"/>
      <c r="D138" s="24"/>
    </row>
    <row r="139" spans="1:4" ht="20.25" x14ac:dyDescent="0.25">
      <c r="A139" s="93"/>
      <c r="B139" s="19"/>
      <c r="C139" s="24"/>
      <c r="D139" s="24"/>
    </row>
    <row r="140" spans="1:4" ht="20.25" x14ac:dyDescent="0.25">
      <c r="A140" s="93"/>
      <c r="B140" s="19"/>
      <c r="C140" s="24"/>
      <c r="D140" s="24"/>
    </row>
    <row r="141" spans="1:4" ht="20.25" x14ac:dyDescent="0.25">
      <c r="A141" s="93"/>
      <c r="B141" s="19"/>
      <c r="C141" s="24"/>
      <c r="D141" s="24"/>
    </row>
    <row r="142" spans="1:4" ht="20.25" x14ac:dyDescent="0.25">
      <c r="A142" s="93"/>
      <c r="B142" s="19"/>
      <c r="C142" s="24"/>
      <c r="D142" s="24"/>
    </row>
    <row r="143" spans="1:4" ht="20.25" x14ac:dyDescent="0.25">
      <c r="A143" s="93"/>
      <c r="B143" s="19"/>
      <c r="C143" s="24"/>
      <c r="D143" s="24"/>
    </row>
    <row r="144" spans="1:4" ht="20.25" x14ac:dyDescent="0.25">
      <c r="A144" s="93"/>
      <c r="B144" s="19"/>
      <c r="C144" s="24"/>
      <c r="D144" s="24"/>
    </row>
    <row r="145" spans="1:4" ht="20.25" x14ac:dyDescent="0.25">
      <c r="A145" s="93"/>
      <c r="B145" s="19"/>
      <c r="C145" s="24"/>
      <c r="D145" s="24"/>
    </row>
    <row r="146" spans="1:4" ht="20.25" x14ac:dyDescent="0.25">
      <c r="A146" s="93"/>
      <c r="B146" s="19"/>
      <c r="C146" s="24"/>
      <c r="D146" s="24"/>
    </row>
    <row r="147" spans="1:4" ht="20.25" x14ac:dyDescent="0.25">
      <c r="A147" s="93"/>
      <c r="B147" s="19"/>
      <c r="C147" s="24"/>
      <c r="D147" s="24"/>
    </row>
    <row r="148" spans="1:4" ht="20.25" x14ac:dyDescent="0.25">
      <c r="A148" s="93"/>
      <c r="B148" s="19"/>
      <c r="C148" s="24"/>
      <c r="D148" s="24"/>
    </row>
    <row r="149" spans="1:4" ht="20.25" x14ac:dyDescent="0.25">
      <c r="A149" s="93"/>
      <c r="B149" s="19"/>
      <c r="C149" s="24"/>
      <c r="D149" s="24"/>
    </row>
    <row r="150" spans="1:4" ht="20.25" x14ac:dyDescent="0.25">
      <c r="A150" s="93"/>
      <c r="B150" s="19"/>
      <c r="C150" s="24"/>
      <c r="D150" s="24"/>
    </row>
    <row r="151" spans="1:4" ht="20.25" x14ac:dyDescent="0.25">
      <c r="A151" s="93"/>
      <c r="B151" s="19"/>
      <c r="C151" s="24"/>
      <c r="D151" s="24"/>
    </row>
    <row r="152" spans="1:4" ht="20.25" x14ac:dyDescent="0.25">
      <c r="A152" s="93"/>
      <c r="B152" s="19"/>
      <c r="C152" s="24"/>
      <c r="D152" s="24"/>
    </row>
    <row r="153" spans="1:4" ht="20.25" x14ac:dyDescent="0.25">
      <c r="A153" s="93"/>
      <c r="B153" s="19"/>
      <c r="C153" s="24"/>
      <c r="D153" s="24"/>
    </row>
    <row r="154" spans="1:4" ht="20.25" x14ac:dyDescent="0.25">
      <c r="A154" s="93"/>
      <c r="B154" s="19"/>
      <c r="C154" s="24"/>
      <c r="D154" s="24"/>
    </row>
    <row r="155" spans="1:4" ht="20.25" x14ac:dyDescent="0.25">
      <c r="A155" s="93"/>
      <c r="B155" s="19"/>
      <c r="C155" s="24"/>
      <c r="D155" s="24"/>
    </row>
    <row r="156" spans="1:4" ht="20.25" x14ac:dyDescent="0.25">
      <c r="A156" s="93"/>
      <c r="B156" s="19"/>
      <c r="C156" s="24"/>
      <c r="D156" s="24"/>
    </row>
    <row r="157" spans="1:4" ht="20.25" x14ac:dyDescent="0.25">
      <c r="A157" s="93"/>
      <c r="B157" s="19"/>
      <c r="C157" s="24"/>
      <c r="D157" s="24"/>
    </row>
    <row r="158" spans="1:4" ht="20.25" x14ac:dyDescent="0.25">
      <c r="A158" s="93"/>
      <c r="B158" s="19"/>
      <c r="C158" s="24"/>
      <c r="D158" s="24"/>
    </row>
    <row r="159" spans="1:4" ht="20.25" x14ac:dyDescent="0.25">
      <c r="A159" s="93"/>
      <c r="B159" s="19"/>
      <c r="C159" s="24"/>
      <c r="D159" s="24"/>
    </row>
    <row r="160" spans="1:4" ht="20.25" x14ac:dyDescent="0.25">
      <c r="A160" s="93"/>
      <c r="B160" s="19"/>
      <c r="C160" s="24"/>
      <c r="D160" s="24"/>
    </row>
    <row r="161" spans="1:4" ht="20.25" x14ac:dyDescent="0.25">
      <c r="A161" s="93"/>
      <c r="B161" s="19"/>
      <c r="C161" s="24"/>
      <c r="D161" s="24"/>
    </row>
    <row r="162" spans="1:4" ht="20.25" x14ac:dyDescent="0.25">
      <c r="A162" s="93"/>
      <c r="B162" s="19"/>
      <c r="C162" s="24"/>
      <c r="D162" s="24"/>
    </row>
    <row r="163" spans="1:4" ht="20.25" x14ac:dyDescent="0.25">
      <c r="A163" s="93"/>
      <c r="B163" s="19"/>
      <c r="C163" s="24"/>
      <c r="D163" s="24"/>
    </row>
    <row r="164" spans="1:4" ht="20.25" x14ac:dyDescent="0.25">
      <c r="A164" s="93"/>
      <c r="B164" s="19"/>
      <c r="C164" s="24"/>
      <c r="D164" s="24"/>
    </row>
    <row r="165" spans="1:4" ht="20.25" x14ac:dyDescent="0.25">
      <c r="A165" s="93"/>
      <c r="B165" s="19"/>
      <c r="C165" s="24"/>
      <c r="D165" s="24"/>
    </row>
    <row r="166" spans="1:4" ht="20.25" x14ac:dyDescent="0.25">
      <c r="A166" s="93"/>
      <c r="B166" s="19"/>
      <c r="C166" s="24"/>
      <c r="D166" s="24"/>
    </row>
    <row r="167" spans="1:4" ht="20.25" x14ac:dyDescent="0.25">
      <c r="A167" s="93"/>
      <c r="B167" s="19"/>
      <c r="C167" s="24"/>
      <c r="D167" s="24"/>
    </row>
    <row r="168" spans="1:4" ht="20.25" x14ac:dyDescent="0.25">
      <c r="A168" s="93"/>
      <c r="B168" s="19"/>
      <c r="C168" s="24"/>
      <c r="D168" s="24"/>
    </row>
    <row r="169" spans="1:4" ht="20.25" x14ac:dyDescent="0.25">
      <c r="A169" s="93"/>
      <c r="B169" s="19"/>
      <c r="C169" s="24"/>
      <c r="D169" s="24"/>
    </row>
    <row r="170" spans="1:4" ht="20.25" x14ac:dyDescent="0.25">
      <c r="A170" s="93"/>
      <c r="B170" s="19"/>
      <c r="C170" s="24"/>
      <c r="D170" s="24"/>
    </row>
    <row r="171" spans="1:4" ht="20.25" x14ac:dyDescent="0.25">
      <c r="A171" s="93"/>
      <c r="B171" s="19"/>
      <c r="C171" s="24"/>
      <c r="D171" s="24"/>
    </row>
    <row r="172" spans="1:4" ht="20.25" x14ac:dyDescent="0.25">
      <c r="A172" s="93"/>
      <c r="B172" s="19"/>
      <c r="C172" s="24"/>
      <c r="D172" s="24"/>
    </row>
    <row r="173" spans="1:4" ht="20.25" x14ac:dyDescent="0.25">
      <c r="A173" s="93"/>
      <c r="B173" s="19"/>
      <c r="C173" s="24"/>
      <c r="D173" s="24"/>
    </row>
    <row r="174" spans="1:4" ht="20.25" x14ac:dyDescent="0.25">
      <c r="A174" s="93"/>
      <c r="B174" s="19"/>
      <c r="C174" s="24"/>
      <c r="D174" s="24"/>
    </row>
    <row r="175" spans="1:4" ht="20.25" x14ac:dyDescent="0.25">
      <c r="A175" s="93"/>
      <c r="B175" s="19"/>
      <c r="C175" s="24"/>
      <c r="D175" s="24"/>
    </row>
    <row r="176" spans="1:4" ht="20.25" x14ac:dyDescent="0.25">
      <c r="A176" s="93"/>
      <c r="B176" s="19"/>
      <c r="C176" s="24"/>
      <c r="D176" s="24"/>
    </row>
    <row r="177" spans="1:4" ht="20.25" x14ac:dyDescent="0.25">
      <c r="A177" s="93"/>
      <c r="B177" s="19"/>
      <c r="C177" s="24"/>
      <c r="D177" s="24"/>
    </row>
    <row r="178" spans="1:4" ht="20.25" x14ac:dyDescent="0.25">
      <c r="A178" s="93"/>
      <c r="B178" s="19"/>
      <c r="C178" s="24"/>
      <c r="D178" s="24"/>
    </row>
    <row r="179" spans="1:4" ht="20.25" x14ac:dyDescent="0.25">
      <c r="A179" s="93"/>
      <c r="B179" s="19"/>
      <c r="C179" s="24"/>
      <c r="D179" s="24"/>
    </row>
    <row r="180" spans="1:4" ht="20.25" x14ac:dyDescent="0.25">
      <c r="A180" s="93"/>
      <c r="B180" s="19"/>
      <c r="C180" s="24"/>
      <c r="D180" s="24"/>
    </row>
    <row r="181" spans="1:4" ht="20.25" x14ac:dyDescent="0.25">
      <c r="A181" s="93"/>
      <c r="B181" s="19"/>
      <c r="C181" s="24"/>
      <c r="D181" s="24"/>
    </row>
    <row r="182" spans="1:4" ht="20.25" x14ac:dyDescent="0.25">
      <c r="A182" s="93"/>
      <c r="B182" s="19"/>
      <c r="C182" s="24"/>
      <c r="D182" s="24"/>
    </row>
    <row r="183" spans="1:4" ht="20.25" x14ac:dyDescent="0.25">
      <c r="A183" s="93"/>
      <c r="B183" s="19"/>
      <c r="C183" s="24"/>
      <c r="D183" s="24"/>
    </row>
    <row r="184" spans="1:4" ht="20.25" x14ac:dyDescent="0.25">
      <c r="A184" s="93"/>
      <c r="B184" s="19"/>
      <c r="C184" s="24"/>
      <c r="D184" s="24"/>
    </row>
    <row r="185" spans="1:4" ht="20.25" x14ac:dyDescent="0.25">
      <c r="A185" s="93"/>
      <c r="B185" s="19"/>
      <c r="C185" s="24"/>
      <c r="D185" s="24"/>
    </row>
    <row r="186" spans="1:4" ht="20.25" x14ac:dyDescent="0.25">
      <c r="A186" s="93"/>
      <c r="B186" s="19"/>
      <c r="C186" s="24"/>
      <c r="D186" s="24"/>
    </row>
    <row r="187" spans="1:4" ht="20.25" x14ac:dyDescent="0.25">
      <c r="A187" s="93"/>
      <c r="B187" s="19"/>
      <c r="C187" s="24"/>
      <c r="D187" s="24"/>
    </row>
    <row r="188" spans="1:4" ht="20.25" x14ac:dyDescent="0.25">
      <c r="A188" s="93"/>
      <c r="B188" s="19"/>
      <c r="C188" s="24"/>
      <c r="D188" s="24"/>
    </row>
    <row r="189" spans="1:4" ht="20.25" x14ac:dyDescent="0.25">
      <c r="A189" s="93"/>
      <c r="B189" s="19"/>
      <c r="C189" s="24"/>
      <c r="D189" s="24"/>
    </row>
    <row r="190" spans="1:4" ht="20.25" x14ac:dyDescent="0.25">
      <c r="A190" s="93"/>
      <c r="B190" s="19"/>
      <c r="C190" s="24"/>
      <c r="D190" s="24"/>
    </row>
    <row r="191" spans="1:4" ht="20.25" x14ac:dyDescent="0.25">
      <c r="A191" s="93"/>
      <c r="B191" s="19"/>
      <c r="C191" s="24"/>
      <c r="D191" s="24"/>
    </row>
    <row r="192" spans="1:4" ht="20.25" x14ac:dyDescent="0.25">
      <c r="A192" s="93"/>
      <c r="B192" s="19"/>
      <c r="C192" s="24"/>
      <c r="D192" s="24"/>
    </row>
    <row r="193" spans="1:4" ht="20.25" x14ac:dyDescent="0.25">
      <c r="A193" s="93"/>
      <c r="B193" s="19"/>
      <c r="C193" s="24"/>
      <c r="D193" s="24"/>
    </row>
    <row r="194" spans="1:4" ht="20.25" x14ac:dyDescent="0.25">
      <c r="A194" s="93"/>
      <c r="B194" s="19"/>
      <c r="C194" s="24"/>
      <c r="D194" s="24"/>
    </row>
    <row r="195" spans="1:4" ht="20.25" x14ac:dyDescent="0.25">
      <c r="A195" s="93"/>
      <c r="B195" s="19"/>
      <c r="C195" s="24"/>
      <c r="D195" s="24"/>
    </row>
    <row r="196" spans="1:4" ht="20.25" x14ac:dyDescent="0.25">
      <c r="A196" s="93"/>
      <c r="B196" s="19"/>
      <c r="C196" s="24"/>
      <c r="D196" s="24"/>
    </row>
    <row r="197" spans="1:4" ht="20.25" x14ac:dyDescent="0.25">
      <c r="A197" s="93"/>
      <c r="B197" s="19"/>
      <c r="C197" s="24"/>
      <c r="D197" s="24"/>
    </row>
    <row r="198" spans="1:4" ht="20.25" x14ac:dyDescent="0.25">
      <c r="A198" s="93"/>
      <c r="B198" s="19"/>
      <c r="C198" s="24"/>
      <c r="D198" s="24"/>
    </row>
    <row r="199" spans="1:4" ht="20.25" x14ac:dyDescent="0.25">
      <c r="A199" s="93"/>
      <c r="B199" s="19"/>
      <c r="C199" s="24"/>
      <c r="D199" s="24"/>
    </row>
    <row r="200" spans="1:4" ht="20.25" x14ac:dyDescent="0.25">
      <c r="A200" s="93"/>
      <c r="B200" s="19"/>
      <c r="C200" s="24"/>
      <c r="D200" s="24"/>
    </row>
    <row r="201" spans="1:4" ht="20.25" x14ac:dyDescent="0.25">
      <c r="A201" s="93"/>
      <c r="B201" s="19"/>
      <c r="C201" s="24"/>
      <c r="D201" s="24"/>
    </row>
    <row r="202" spans="1:4" ht="20.25" x14ac:dyDescent="0.25">
      <c r="A202" s="93"/>
      <c r="B202" s="19"/>
      <c r="C202" s="24"/>
      <c r="D202" s="24"/>
    </row>
    <row r="203" spans="1:4" ht="20.25" x14ac:dyDescent="0.25">
      <c r="A203" s="93"/>
      <c r="B203" s="19"/>
      <c r="C203" s="24"/>
      <c r="D203" s="24"/>
    </row>
    <row r="204" spans="1:4" ht="20.25" x14ac:dyDescent="0.25">
      <c r="A204" s="93"/>
      <c r="B204" s="19"/>
      <c r="C204" s="24"/>
      <c r="D204" s="24"/>
    </row>
    <row r="205" spans="1:4" ht="20.25" x14ac:dyDescent="0.25">
      <c r="A205" s="93"/>
      <c r="B205" s="19"/>
      <c r="C205" s="24"/>
      <c r="D205" s="24"/>
    </row>
    <row r="206" spans="1:4" ht="20.25" x14ac:dyDescent="0.25">
      <c r="A206" s="93"/>
      <c r="B206" s="19"/>
      <c r="C206" s="24"/>
      <c r="D206" s="24"/>
    </row>
    <row r="207" spans="1:4" ht="20.25" x14ac:dyDescent="0.25">
      <c r="A207" s="93"/>
      <c r="B207" s="19"/>
      <c r="C207" s="24"/>
      <c r="D207" s="24"/>
    </row>
    <row r="208" spans="1:4" x14ac:dyDescent="0.25">
      <c r="A208" s="73"/>
      <c r="B208" s="19"/>
      <c r="C208" s="19"/>
      <c r="D208" s="19"/>
    </row>
    <row r="209" spans="1:8" ht="20.25" x14ac:dyDescent="0.25">
      <c r="A209" s="73"/>
      <c r="B209" s="20" t="s">
        <v>350</v>
      </c>
      <c r="C209" s="20" t="s">
        <v>351</v>
      </c>
      <c r="D209" s="23" t="s">
        <v>350</v>
      </c>
      <c r="E209" s="23" t="s">
        <v>351</v>
      </c>
    </row>
    <row r="210" spans="1:8" ht="21" x14ac:dyDescent="0.35">
      <c r="A210" s="73"/>
      <c r="B210" s="21" t="s">
        <v>352</v>
      </c>
      <c r="C210" s="21" t="s">
        <v>353</v>
      </c>
      <c r="D210" t="s">
        <v>352</v>
      </c>
      <c r="F210" t="str">
        <f>IF(NOT(ISBLANK(D210)),D210,IF(NOT(ISBLANK(E210)),"     "&amp;E210,FALSE))</f>
        <v>Afectación Económica o presupuestal</v>
      </c>
      <c r="G210" t="s">
        <v>352</v>
      </c>
      <c r="H210" t="str">
        <f>IF(NOT(ISERROR(MATCH(G210,_xlfn.ANCHORARRAY(B221),0))),F223&amp;"Por favor no seleccionar los criterios de impacto",G210)</f>
        <v>❌Por favor no seleccionar los criterios de impacto</v>
      </c>
    </row>
    <row r="211" spans="1:8" ht="21" x14ac:dyDescent="0.35">
      <c r="A211" s="73"/>
      <c r="B211" s="21" t="s">
        <v>352</v>
      </c>
      <c r="C211" s="21" t="s">
        <v>327</v>
      </c>
      <c r="E211" t="s">
        <v>353</v>
      </c>
      <c r="F211" t="str">
        <f t="shared" ref="F211:F221" si="0">IF(NOT(ISBLANK(D211)),D211,IF(NOT(ISBLANK(E211)),"     "&amp;E211,FALSE))</f>
        <v xml:space="preserve">     Afectación menor a 10 SMLMV .</v>
      </c>
    </row>
    <row r="212" spans="1:8" ht="21" x14ac:dyDescent="0.35">
      <c r="A212" s="73"/>
      <c r="B212" s="21" t="s">
        <v>352</v>
      </c>
      <c r="C212" s="21" t="s">
        <v>330</v>
      </c>
      <c r="E212" t="s">
        <v>327</v>
      </c>
      <c r="F212" t="str">
        <f t="shared" si="0"/>
        <v xml:space="preserve">     Entre 10 y 50 SMLMV </v>
      </c>
    </row>
    <row r="213" spans="1:8" ht="21" x14ac:dyDescent="0.35">
      <c r="A213" s="73"/>
      <c r="B213" s="21" t="s">
        <v>352</v>
      </c>
      <c r="C213" s="21" t="s">
        <v>334</v>
      </c>
      <c r="E213" t="s">
        <v>330</v>
      </c>
      <c r="F213" t="str">
        <f t="shared" si="0"/>
        <v xml:space="preserve">     Entre 50 y 100 SMLMV </v>
      </c>
    </row>
    <row r="214" spans="1:8" ht="21" x14ac:dyDescent="0.35">
      <c r="A214" s="73"/>
      <c r="B214" s="21" t="s">
        <v>352</v>
      </c>
      <c r="C214" s="21" t="s">
        <v>337</v>
      </c>
      <c r="E214" t="s">
        <v>334</v>
      </c>
      <c r="F214" t="str">
        <f t="shared" si="0"/>
        <v xml:space="preserve">     Entre 100 y 500 SMLMV </v>
      </c>
    </row>
    <row r="215" spans="1:8" ht="21" x14ac:dyDescent="0.35">
      <c r="A215" s="73"/>
      <c r="B215" s="21" t="s">
        <v>321</v>
      </c>
      <c r="C215" s="21" t="s">
        <v>324</v>
      </c>
      <c r="E215" t="s">
        <v>337</v>
      </c>
      <c r="F215" t="str">
        <f t="shared" si="0"/>
        <v xml:space="preserve">     Mayor a 500 SMLMV </v>
      </c>
    </row>
    <row r="216" spans="1:8" ht="21" x14ac:dyDescent="0.35">
      <c r="A216" s="73"/>
      <c r="B216" s="21" t="s">
        <v>321</v>
      </c>
      <c r="C216" s="21" t="s">
        <v>328</v>
      </c>
      <c r="D216" t="s">
        <v>321</v>
      </c>
      <c r="F216" t="str">
        <f t="shared" si="0"/>
        <v>Pérdida Reputacional</v>
      </c>
    </row>
    <row r="217" spans="1:8" ht="21" x14ac:dyDescent="0.35">
      <c r="A217" s="73"/>
      <c r="B217" s="21" t="s">
        <v>321</v>
      </c>
      <c r="C217" s="21" t="s">
        <v>331</v>
      </c>
      <c r="E217" t="s">
        <v>324</v>
      </c>
      <c r="F217" t="str">
        <f t="shared" si="0"/>
        <v xml:space="preserve">     El riesgo afecta la imagen de alguna área de la organización</v>
      </c>
    </row>
    <row r="218" spans="1:8" ht="21" x14ac:dyDescent="0.35">
      <c r="A218" s="73"/>
      <c r="B218" s="21" t="s">
        <v>321</v>
      </c>
      <c r="C218" s="21" t="s">
        <v>335</v>
      </c>
      <c r="E218" t="s">
        <v>328</v>
      </c>
      <c r="F218" t="str">
        <f t="shared" si="0"/>
        <v xml:space="preserve">     El riesgo afecta la imagen de la entidad internamente, de conocimiento general, nivel interno, de junta dircetiva y accionistas y/o de provedores</v>
      </c>
    </row>
    <row r="219" spans="1:8" ht="21" x14ac:dyDescent="0.35">
      <c r="A219" s="73"/>
      <c r="B219" s="21" t="s">
        <v>321</v>
      </c>
      <c r="C219" s="21" t="s">
        <v>338</v>
      </c>
      <c r="E219" t="s">
        <v>331</v>
      </c>
      <c r="F219" t="str">
        <f t="shared" si="0"/>
        <v xml:space="preserve">     El riesgo afecta la imagen de la entidad con algunos usuarios de relevancia frente al logro de los objetivos</v>
      </c>
    </row>
    <row r="220" spans="1:8" x14ac:dyDescent="0.25">
      <c r="A220" s="73"/>
      <c r="B220" s="22"/>
      <c r="C220" s="22"/>
      <c r="E220" t="s">
        <v>335</v>
      </c>
      <c r="F220" t="str">
        <f t="shared" si="0"/>
        <v xml:space="preserve">     El riesgo afecta la imagen de de la entidad con efecto publicitario sostenido a nivel de sector administrativo, nivel departamental o municipal</v>
      </c>
    </row>
    <row r="221" spans="1:8" x14ac:dyDescent="0.25">
      <c r="A221" s="73"/>
      <c r="B221" s="22" t="str" cm="1">
        <f t="array" ref="B221:B223">_xlfn.UNIQUE(Tabla1[[#All],[Criterios]])</f>
        <v>Criterios</v>
      </c>
      <c r="C221" s="22"/>
      <c r="E221" t="s">
        <v>338</v>
      </c>
      <c r="F221" t="str">
        <f t="shared" si="0"/>
        <v xml:space="preserve">     El riesgo afecta la imagen de la entidad a nivel nacional, con efecto publicitarios sostenible a nivel país</v>
      </c>
    </row>
    <row r="222" spans="1:8" x14ac:dyDescent="0.25">
      <c r="A222" s="73"/>
      <c r="B222" s="22" t="str">
        <v>Afectación Económica o presupuestal</v>
      </c>
      <c r="C222" s="22"/>
    </row>
    <row r="223" spans="1:8" x14ac:dyDescent="0.25">
      <c r="B223" s="22" t="str">
        <v>Pérdida Reputacional</v>
      </c>
      <c r="C223" s="22"/>
      <c r="F223" s="25" t="s">
        <v>354</v>
      </c>
    </row>
    <row r="224" spans="1:8" x14ac:dyDescent="0.25">
      <c r="B224" s="18"/>
      <c r="C224" s="18"/>
      <c r="F224" s="25" t="s">
        <v>355</v>
      </c>
    </row>
    <row r="225" spans="2:4" x14ac:dyDescent="0.25">
      <c r="B225" s="18"/>
      <c r="C225" s="18"/>
    </row>
    <row r="226" spans="2:4" x14ac:dyDescent="0.25">
      <c r="B226" s="18"/>
      <c r="C226" s="18"/>
    </row>
    <row r="227" spans="2:4" x14ac:dyDescent="0.25">
      <c r="B227" s="18"/>
      <c r="C227" s="18"/>
      <c r="D227" s="18"/>
    </row>
    <row r="228" spans="2:4" x14ac:dyDescent="0.25">
      <c r="B228" s="18"/>
      <c r="C228" s="18"/>
      <c r="D228" s="18"/>
    </row>
    <row r="229" spans="2:4" x14ac:dyDescent="0.25">
      <c r="B229" s="18"/>
      <c r="C229" s="18"/>
      <c r="D229" s="18"/>
    </row>
    <row r="230" spans="2:4" x14ac:dyDescent="0.25">
      <c r="B230" s="18"/>
      <c r="C230" s="18"/>
      <c r="D230" s="18"/>
    </row>
    <row r="231" spans="2:4" x14ac:dyDescent="0.25">
      <c r="B231" s="18"/>
      <c r="C231" s="18"/>
      <c r="D231" s="18"/>
    </row>
    <row r="232" spans="2:4" x14ac:dyDescent="0.25">
      <c r="B232" s="18"/>
      <c r="C232" s="18"/>
      <c r="D232" s="18"/>
    </row>
  </sheetData>
  <mergeCells count="1">
    <mergeCell ref="B1:D1"/>
  </mergeCells>
  <dataValidations disablePrompts="1" count="1">
    <dataValidation type="list" allowBlank="1" showInputMessage="1" showErrorMessage="1" sqref="G21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B1:F16"/>
  <sheetViews>
    <sheetView workbookViewId="0">
      <selection activeCell="H8" sqref="H8"/>
    </sheetView>
  </sheetViews>
  <sheetFormatPr baseColWidth="10" defaultColWidth="14.28515625" defaultRowHeight="12.75" x14ac:dyDescent="0.2"/>
  <cols>
    <col min="1" max="2" width="14.28515625" style="78"/>
    <col min="3" max="3" width="17" style="78" customWidth="1"/>
    <col min="4" max="4" width="14.28515625" style="78"/>
    <col min="5" max="5" width="46" style="78" customWidth="1"/>
    <col min="6" max="16384" width="14.28515625" style="78"/>
  </cols>
  <sheetData>
    <row r="1" spans="2:6" ht="24" customHeight="1" thickBot="1" x14ac:dyDescent="0.25">
      <c r="B1" s="719" t="s">
        <v>356</v>
      </c>
      <c r="C1" s="720"/>
      <c r="D1" s="720"/>
      <c r="E1" s="720"/>
      <c r="F1" s="721"/>
    </row>
    <row r="2" spans="2:6" ht="16.5" thickBot="1" x14ac:dyDescent="0.3">
      <c r="B2" s="79"/>
      <c r="C2" s="79"/>
      <c r="D2" s="79"/>
      <c r="E2" s="79"/>
      <c r="F2" s="79"/>
    </row>
    <row r="3" spans="2:6" ht="16.5" thickBot="1" x14ac:dyDescent="0.25">
      <c r="B3" s="723" t="s">
        <v>357</v>
      </c>
      <c r="C3" s="724"/>
      <c r="D3" s="724"/>
      <c r="E3" s="91" t="s">
        <v>84</v>
      </c>
      <c r="F3" s="92" t="s">
        <v>358</v>
      </c>
    </row>
    <row r="4" spans="2:6" ht="31.5" x14ac:dyDescent="0.2">
      <c r="B4" s="725" t="s">
        <v>359</v>
      </c>
      <c r="C4" s="727" t="s">
        <v>248</v>
      </c>
      <c r="D4" s="80" t="s">
        <v>262</v>
      </c>
      <c r="E4" s="81" t="s">
        <v>360</v>
      </c>
      <c r="F4" s="82">
        <v>0.25</v>
      </c>
    </row>
    <row r="5" spans="2:6" ht="47.25" x14ac:dyDescent="0.2">
      <c r="B5" s="726"/>
      <c r="C5" s="728"/>
      <c r="D5" s="83" t="s">
        <v>361</v>
      </c>
      <c r="E5" s="84" t="s">
        <v>362</v>
      </c>
      <c r="F5" s="85">
        <v>0.15</v>
      </c>
    </row>
    <row r="6" spans="2:6" ht="47.25" x14ac:dyDescent="0.2">
      <c r="B6" s="726"/>
      <c r="C6" s="728"/>
      <c r="D6" s="83" t="s">
        <v>363</v>
      </c>
      <c r="E6" s="84" t="s">
        <v>364</v>
      </c>
      <c r="F6" s="85">
        <v>0.1</v>
      </c>
    </row>
    <row r="7" spans="2:6" ht="63" x14ac:dyDescent="0.2">
      <c r="B7" s="726"/>
      <c r="C7" s="728" t="s">
        <v>249</v>
      </c>
      <c r="D7" s="83" t="s">
        <v>365</v>
      </c>
      <c r="E7" s="84" t="s">
        <v>366</v>
      </c>
      <c r="F7" s="85">
        <v>0.25</v>
      </c>
    </row>
    <row r="8" spans="2:6" ht="31.5" x14ac:dyDescent="0.2">
      <c r="B8" s="726"/>
      <c r="C8" s="728"/>
      <c r="D8" s="83" t="s">
        <v>263</v>
      </c>
      <c r="E8" s="84" t="s">
        <v>367</v>
      </c>
      <c r="F8" s="85">
        <v>0.15</v>
      </c>
    </row>
    <row r="9" spans="2:6" ht="47.25" x14ac:dyDescent="0.2">
      <c r="B9" s="726" t="s">
        <v>368</v>
      </c>
      <c r="C9" s="728" t="s">
        <v>251</v>
      </c>
      <c r="D9" s="83" t="s">
        <v>264</v>
      </c>
      <c r="E9" s="84" t="s">
        <v>369</v>
      </c>
      <c r="F9" s="86" t="s">
        <v>370</v>
      </c>
    </row>
    <row r="10" spans="2:6" ht="63" x14ac:dyDescent="0.2">
      <c r="B10" s="726"/>
      <c r="C10" s="728"/>
      <c r="D10" s="83" t="s">
        <v>371</v>
      </c>
      <c r="E10" s="84" t="s">
        <v>372</v>
      </c>
      <c r="F10" s="86" t="s">
        <v>370</v>
      </c>
    </row>
    <row r="11" spans="2:6" ht="47.25" x14ac:dyDescent="0.2">
      <c r="B11" s="726"/>
      <c r="C11" s="728" t="s">
        <v>252</v>
      </c>
      <c r="D11" s="83" t="s">
        <v>373</v>
      </c>
      <c r="E11" s="84" t="s">
        <v>374</v>
      </c>
      <c r="F11" s="86" t="s">
        <v>370</v>
      </c>
    </row>
    <row r="12" spans="2:6" ht="47.25" x14ac:dyDescent="0.2">
      <c r="B12" s="726"/>
      <c r="C12" s="728"/>
      <c r="D12" s="83" t="s">
        <v>265</v>
      </c>
      <c r="E12" s="84" t="s">
        <v>375</v>
      </c>
      <c r="F12" s="86" t="s">
        <v>370</v>
      </c>
    </row>
    <row r="13" spans="2:6" ht="31.5" x14ac:dyDescent="0.2">
      <c r="B13" s="726"/>
      <c r="C13" s="728" t="s">
        <v>253</v>
      </c>
      <c r="D13" s="83" t="s">
        <v>266</v>
      </c>
      <c r="E13" s="84" t="s">
        <v>376</v>
      </c>
      <c r="F13" s="86" t="s">
        <v>370</v>
      </c>
    </row>
    <row r="14" spans="2:6" ht="32.25" thickBot="1" x14ac:dyDescent="0.25">
      <c r="B14" s="729"/>
      <c r="C14" s="730"/>
      <c r="D14" s="87" t="s">
        <v>377</v>
      </c>
      <c r="E14" s="88" t="s">
        <v>378</v>
      </c>
      <c r="F14" s="89" t="s">
        <v>370</v>
      </c>
    </row>
    <row r="15" spans="2:6" ht="49.5" customHeight="1" x14ac:dyDescent="0.2">
      <c r="B15" s="722" t="s">
        <v>379</v>
      </c>
      <c r="C15" s="722"/>
      <c r="D15" s="722"/>
      <c r="E15" s="722"/>
      <c r="F15" s="722"/>
    </row>
    <row r="16" spans="2:6" ht="27" customHeight="1" x14ac:dyDescent="0.25">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1"/>
  <sheetViews>
    <sheetView workbookViewId="0">
      <selection activeCell="J18" sqref="J18"/>
    </sheetView>
  </sheetViews>
  <sheetFormatPr baseColWidth="10" defaultColWidth="11.42578125" defaultRowHeight="15" x14ac:dyDescent="0.25"/>
  <sheetData>
    <row r="2" spans="2:7" x14ac:dyDescent="0.25">
      <c r="B2" t="s">
        <v>380</v>
      </c>
      <c r="E2" t="s">
        <v>381</v>
      </c>
    </row>
    <row r="3" spans="2:7" x14ac:dyDescent="0.25">
      <c r="B3" t="s">
        <v>382</v>
      </c>
      <c r="E3" t="s">
        <v>383</v>
      </c>
    </row>
    <row r="4" spans="2:7" x14ac:dyDescent="0.25">
      <c r="B4" t="s">
        <v>384</v>
      </c>
      <c r="E4" t="s">
        <v>259</v>
      </c>
    </row>
    <row r="5" spans="2:7" x14ac:dyDescent="0.25">
      <c r="B5" t="s">
        <v>267</v>
      </c>
    </row>
    <row r="8" spans="2:7" x14ac:dyDescent="0.25">
      <c r="B8" t="s">
        <v>385</v>
      </c>
      <c r="G8" t="s">
        <v>386</v>
      </c>
    </row>
    <row r="9" spans="2:7" x14ac:dyDescent="0.25">
      <c r="B9" t="s">
        <v>286</v>
      </c>
      <c r="G9" t="s">
        <v>106</v>
      </c>
    </row>
    <row r="10" spans="2:7" x14ac:dyDescent="0.25">
      <c r="B10" t="s">
        <v>387</v>
      </c>
      <c r="G10" t="s">
        <v>111</v>
      </c>
    </row>
    <row r="12" spans="2:7" x14ac:dyDescent="0.25">
      <c r="G12" t="s">
        <v>388</v>
      </c>
    </row>
    <row r="13" spans="2:7" x14ac:dyDescent="0.25">
      <c r="B13" t="s">
        <v>389</v>
      </c>
      <c r="G13" t="s">
        <v>256</v>
      </c>
    </row>
    <row r="14" spans="2:7" x14ac:dyDescent="0.25">
      <c r="B14" t="s">
        <v>390</v>
      </c>
      <c r="G14" t="s">
        <v>391</v>
      </c>
    </row>
    <row r="15" spans="2:7" x14ac:dyDescent="0.25">
      <c r="B15" t="s">
        <v>392</v>
      </c>
    </row>
    <row r="16" spans="2:7" x14ac:dyDescent="0.25">
      <c r="B16" t="s">
        <v>393</v>
      </c>
    </row>
    <row r="17" spans="2:7" x14ac:dyDescent="0.25">
      <c r="B17" t="s">
        <v>394</v>
      </c>
      <c r="G17" t="s">
        <v>395</v>
      </c>
    </row>
    <row r="18" spans="2:7" x14ac:dyDescent="0.25">
      <c r="B18" t="s">
        <v>396</v>
      </c>
      <c r="G18" t="s">
        <v>397</v>
      </c>
    </row>
    <row r="19" spans="2:7" x14ac:dyDescent="0.25">
      <c r="B19" t="s">
        <v>254</v>
      </c>
      <c r="G19" t="s">
        <v>398</v>
      </c>
    </row>
    <row r="20" spans="2:7" x14ac:dyDescent="0.25">
      <c r="G20" t="s">
        <v>277</v>
      </c>
    </row>
    <row r="21" spans="2:7" x14ac:dyDescent="0.25">
      <c r="G21" t="s">
        <v>399</v>
      </c>
    </row>
  </sheetData>
  <sortState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E24" sqref="E24"/>
    </sheetView>
  </sheetViews>
  <sheetFormatPr baseColWidth="10" defaultColWidth="11.42578125" defaultRowHeight="12.75" x14ac:dyDescent="0.2"/>
  <cols>
    <col min="1" max="1" width="32.85546875" style="5" customWidth="1"/>
    <col min="2" max="2" width="11.42578125" style="5"/>
    <col min="3" max="3" width="35.42578125" style="5" customWidth="1"/>
    <col min="4" max="16384" width="11.42578125" style="5"/>
  </cols>
  <sheetData>
    <row r="1" spans="1:3" ht="15" x14ac:dyDescent="0.25">
      <c r="C1" s="199" t="s">
        <v>400</v>
      </c>
    </row>
    <row r="2" spans="1:3" ht="15" x14ac:dyDescent="0.25">
      <c r="C2" t="s">
        <v>401</v>
      </c>
    </row>
    <row r="3" spans="1:3" ht="15" x14ac:dyDescent="0.25">
      <c r="A3" s="6" t="s">
        <v>262</v>
      </c>
      <c r="C3" t="s">
        <v>212</v>
      </c>
    </row>
    <row r="4" spans="1:3" ht="15" x14ac:dyDescent="0.25">
      <c r="A4" s="6" t="s">
        <v>361</v>
      </c>
      <c r="C4" t="s">
        <v>402</v>
      </c>
    </row>
    <row r="5" spans="1:3" ht="15" x14ac:dyDescent="0.25">
      <c r="A5" s="6" t="s">
        <v>363</v>
      </c>
      <c r="C5" t="s">
        <v>403</v>
      </c>
    </row>
    <row r="6" spans="1:3" ht="15" x14ac:dyDescent="0.25">
      <c r="A6" s="6" t="s">
        <v>365</v>
      </c>
      <c r="C6" t="s">
        <v>404</v>
      </c>
    </row>
    <row r="7" spans="1:3" ht="15" x14ac:dyDescent="0.25">
      <c r="A7" s="6" t="s">
        <v>263</v>
      </c>
      <c r="C7" t="s">
        <v>405</v>
      </c>
    </row>
    <row r="8" spans="1:3" ht="15" x14ac:dyDescent="0.25">
      <c r="A8" s="6" t="s">
        <v>264</v>
      </c>
      <c r="C8" t="s">
        <v>222</v>
      </c>
    </row>
    <row r="9" spans="1:3" ht="15" x14ac:dyDescent="0.25">
      <c r="A9" s="6" t="s">
        <v>371</v>
      </c>
      <c r="C9" t="s">
        <v>406</v>
      </c>
    </row>
    <row r="10" spans="1:3" ht="15" x14ac:dyDescent="0.25">
      <c r="A10" s="6" t="s">
        <v>373</v>
      </c>
      <c r="C10" t="s">
        <v>407</v>
      </c>
    </row>
    <row r="11" spans="1:3" ht="15" x14ac:dyDescent="0.25">
      <c r="A11" s="6" t="s">
        <v>265</v>
      </c>
      <c r="C11" t="s">
        <v>408</v>
      </c>
    </row>
    <row r="12" spans="1:3" ht="15" x14ac:dyDescent="0.25">
      <c r="A12" s="6" t="s">
        <v>409</v>
      </c>
      <c r="C12" t="s">
        <v>410</v>
      </c>
    </row>
    <row r="13" spans="1:3" ht="15" x14ac:dyDescent="0.25">
      <c r="A13" s="6" t="s">
        <v>411</v>
      </c>
      <c r="C13" t="s">
        <v>412</v>
      </c>
    </row>
    <row r="14" spans="1:3" ht="15" x14ac:dyDescent="0.25">
      <c r="A14" s="6" t="s">
        <v>413</v>
      </c>
      <c r="C14" t="s">
        <v>414</v>
      </c>
    </row>
    <row r="15" spans="1:3" ht="15" x14ac:dyDescent="0.25">
      <c r="C15" t="s">
        <v>415</v>
      </c>
    </row>
    <row r="16" spans="1:3" ht="15" x14ac:dyDescent="0.25">
      <c r="A16" s="6" t="s">
        <v>416</v>
      </c>
      <c r="C16" t="s">
        <v>417</v>
      </c>
    </row>
    <row r="17" spans="1:3" ht="15" x14ac:dyDescent="0.25">
      <c r="A17" s="6" t="s">
        <v>380</v>
      </c>
      <c r="C17" t="s">
        <v>418</v>
      </c>
    </row>
    <row r="18" spans="1:3" ht="15" x14ac:dyDescent="0.25">
      <c r="A18" s="6" t="s">
        <v>382</v>
      </c>
      <c r="C18" t="s">
        <v>419</v>
      </c>
    </row>
    <row r="19" spans="1:3" ht="15" x14ac:dyDescent="0.25">
      <c r="C19" t="s">
        <v>214</v>
      </c>
    </row>
    <row r="20" spans="1:3" ht="15" x14ac:dyDescent="0.25">
      <c r="A20" s="6" t="s">
        <v>286</v>
      </c>
      <c r="C20" t="s">
        <v>420</v>
      </c>
    </row>
    <row r="21" spans="1:3" ht="15" x14ac:dyDescent="0.25">
      <c r="A21" s="6" t="s">
        <v>387</v>
      </c>
      <c r="C21" t="s">
        <v>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5</vt:i4>
      </vt:variant>
    </vt:vector>
  </HeadingPairs>
  <TitlesOfParts>
    <vt:vector size="19" baseType="lpstr">
      <vt:lpstr>FÓRMULAS</vt:lpstr>
      <vt:lpstr>Intructivo</vt:lpstr>
      <vt:lpstr>DOFA</vt:lpstr>
      <vt:lpstr>Mapa de Riesgos</vt:lpstr>
      <vt:lpstr>Plan de Acción</vt:lpstr>
      <vt:lpstr>Monitoreo de Riesgos</vt:lpstr>
      <vt:lpstr>Historial de Cambios</vt:lpstr>
      <vt:lpstr>Matriz Calor Inherente</vt:lpstr>
      <vt:lpstr>Matriz Calor Residual</vt:lpstr>
      <vt:lpstr>Tabla probabilidad</vt:lpstr>
      <vt:lpstr>Tabla Impacto</vt:lpstr>
      <vt:lpstr>Tabla Valoración controles</vt:lpstr>
      <vt:lpstr>Opciones Tratamiento</vt:lpstr>
      <vt:lpstr>Hoja1</vt:lpstr>
      <vt:lpstr>DOFA!Área_de_impresión</vt:lpstr>
      <vt:lpstr>IMPACTO</vt:lpstr>
      <vt:lpstr>NIVEL</vt:lpstr>
      <vt:lpstr>PROBABILIDAD</vt:lpstr>
      <vt:lpstr>'Historial de Cambios'!Títulos_a_imprimir</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UTS</cp:lastModifiedBy>
  <cp:revision/>
  <dcterms:created xsi:type="dcterms:W3CDTF">2020-03-24T23:12:47Z</dcterms:created>
  <dcterms:modified xsi:type="dcterms:W3CDTF">2025-05-21T21:34:12Z</dcterms:modified>
  <cp:category/>
  <cp:contentStatus/>
</cp:coreProperties>
</file>