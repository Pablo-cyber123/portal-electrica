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D:\!UTS\!UTS - 2025\Monitoreo Riesgos de Gestión, Corrupción y Seguridad 2025_1\Riesgos Gestión y Seguridad 2025_2\"/>
    </mc:Choice>
  </mc:AlternateContent>
  <bookViews>
    <workbookView xWindow="0" yWindow="0" windowWidth="28800" windowHeight="12330" tabRatio="848" firstSheet="3" activeTab="5"/>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DOFA!$A$1:$M$31</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2"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24" l="1"/>
  <c r="V29" i="25"/>
  <c r="S29" i="25"/>
  <c r="I29" i="25"/>
  <c r="J29" i="25"/>
  <c r="M30" i="25"/>
  <c r="Z29" i="25"/>
  <c r="M31" i="25"/>
  <c r="AA29" i="25"/>
  <c r="AB29" i="25"/>
  <c r="Z30" i="25"/>
  <c r="M32" i="25"/>
  <c r="AA30" i="25"/>
  <c r="AB30" i="25"/>
  <c r="Z31" i="25"/>
  <c r="AA31" i="25"/>
  <c r="S32" i="25"/>
  <c r="AD32" i="25"/>
  <c r="AC32" i="25"/>
  <c r="V32" i="25"/>
  <c r="M33" i="25"/>
  <c r="Z32" i="25"/>
  <c r="AB32" i="25"/>
  <c r="AB31" i="25"/>
  <c r="S33" i="25"/>
  <c r="Z33" i="25"/>
  <c r="V33" i="25"/>
  <c r="M34" i="25"/>
  <c r="AA32" i="25"/>
  <c r="AE32" i="25"/>
  <c r="AD33" i="25"/>
  <c r="AC33" i="25"/>
  <c r="AB33" i="25"/>
  <c r="AA33" i="25"/>
  <c r="S34" i="25"/>
  <c r="AD34" i="25"/>
  <c r="AC34" i="25"/>
  <c r="V34" i="25"/>
  <c r="AE33" i="25"/>
  <c r="Z34" i="25"/>
  <c r="AB34" i="25"/>
  <c r="AA34" i="25"/>
  <c r="AE34" i="25"/>
  <c r="S28" i="25"/>
  <c r="S27" i="25"/>
  <c r="AD28" i="25"/>
  <c r="AC28" i="25"/>
  <c r="S26" i="25"/>
  <c r="AD27" i="25"/>
  <c r="AC27" i="25"/>
  <c r="S23" i="25"/>
  <c r="AB28" i="25"/>
  <c r="AA28" i="25"/>
  <c r="AB27" i="25"/>
  <c r="AA27" i="25"/>
  <c r="AB26" i="25"/>
  <c r="AA26" i="25"/>
  <c r="AE27" i="25"/>
  <c r="AD26" i="25"/>
  <c r="AC26" i="25"/>
  <c r="AE26" i="25"/>
  <c r="AE28" i="25"/>
  <c r="I23" i="25"/>
  <c r="M27" i="25"/>
  <c r="M25" i="25"/>
  <c r="M28" i="25"/>
  <c r="M24" i="25"/>
  <c r="M26" i="25"/>
  <c r="J23" i="25"/>
  <c r="Z23" i="25"/>
  <c r="J14" i="24"/>
  <c r="I14" i="24"/>
  <c r="H14" i="24"/>
  <c r="G14" i="24"/>
  <c r="F14" i="24"/>
  <c r="E14" i="24"/>
  <c r="P14" i="23"/>
  <c r="O14" i="23"/>
  <c r="N14" i="23"/>
  <c r="M14" i="23"/>
  <c r="L14" i="23"/>
  <c r="K14" i="23"/>
  <c r="J14" i="23"/>
  <c r="I14" i="23"/>
  <c r="G14" i="23"/>
  <c r="F14" i="23"/>
  <c r="E14" i="23"/>
  <c r="I35" i="25"/>
  <c r="M40" i="25"/>
  <c r="M36" i="25"/>
  <c r="M38" i="25"/>
  <c r="M39" i="25"/>
  <c r="M37" i="25"/>
  <c r="AA23" i="25"/>
  <c r="AB23" i="25"/>
  <c r="Z24" i="25"/>
  <c r="J35" i="25"/>
  <c r="AB24" i="25"/>
  <c r="Z25" i="25"/>
  <c r="AA24" i="25"/>
  <c r="V22" i="25"/>
  <c r="S22" i="25"/>
  <c r="V21" i="25"/>
  <c r="S21" i="25"/>
  <c r="V20" i="25"/>
  <c r="S20" i="25"/>
  <c r="V19" i="25"/>
  <c r="S19" i="25"/>
  <c r="V18" i="25"/>
  <c r="S18" i="25"/>
  <c r="V17" i="25"/>
  <c r="S17" i="25"/>
  <c r="I17" i="25"/>
  <c r="AD46" i="25"/>
  <c r="AC46" i="25"/>
  <c r="Z46" i="25"/>
  <c r="AB46" i="25"/>
  <c r="AD45" i="25"/>
  <c r="AC45" i="25"/>
  <c r="Z45" i="25"/>
  <c r="AB45" i="25"/>
  <c r="AD44" i="25"/>
  <c r="AC44" i="25"/>
  <c r="Z44" i="25"/>
  <c r="AA44" i="25"/>
  <c r="AD43" i="25"/>
  <c r="AC43" i="25"/>
  <c r="Z43" i="25"/>
  <c r="AA43" i="25"/>
  <c r="AD42" i="25"/>
  <c r="AC42" i="25"/>
  <c r="Z42" i="25"/>
  <c r="AA42" i="25"/>
  <c r="AD41" i="25"/>
  <c r="AC41" i="25"/>
  <c r="Z41" i="25"/>
  <c r="AA41" i="25"/>
  <c r="M19" i="25"/>
  <c r="M20" i="25"/>
  <c r="M21" i="25"/>
  <c r="M18" i="25"/>
  <c r="M22" i="25"/>
  <c r="AA25" i="25"/>
  <c r="AB25" i="25"/>
  <c r="AE42" i="25"/>
  <c r="AB41" i="25"/>
  <c r="AE44" i="25"/>
  <c r="AB44" i="25"/>
  <c r="AA45" i="25"/>
  <c r="AE45" i="25"/>
  <c r="AA46" i="25"/>
  <c r="AE46" i="25"/>
  <c r="AB43" i="25"/>
  <c r="AB42" i="25"/>
  <c r="AE41" i="25"/>
  <c r="AE43" i="25"/>
  <c r="J17" i="25"/>
  <c r="Z17" i="25"/>
  <c r="AD22" i="25"/>
  <c r="AC22" i="25"/>
  <c r="Z22" i="25"/>
  <c r="D1" i="23"/>
  <c r="T2" i="23"/>
  <c r="D2" i="23"/>
  <c r="A2" i="23"/>
  <c r="N5" i="23"/>
  <c r="N4" i="23"/>
  <c r="D5" i="23"/>
  <c r="D4" i="23"/>
  <c r="R68" i="23"/>
  <c r="R67" i="23"/>
  <c r="H67" i="23"/>
  <c r="P68" i="24"/>
  <c r="P67" i="24"/>
  <c r="I67" i="24"/>
  <c r="D5" i="24"/>
  <c r="D4" i="24"/>
  <c r="V2" i="24"/>
  <c r="D2" i="24"/>
  <c r="D1" i="24"/>
  <c r="A2" i="24"/>
  <c r="F2" i="26"/>
  <c r="A2" i="26"/>
  <c r="B2" i="26"/>
  <c r="B1" i="26"/>
  <c r="F19" i="26"/>
  <c r="F18" i="26"/>
  <c r="D18" i="26"/>
  <c r="B18" i="26"/>
  <c r="AA17" i="25"/>
  <c r="AB17" i="25"/>
  <c r="Z18" i="25"/>
  <c r="AA18" i="25"/>
  <c r="AB22" i="25"/>
  <c r="AA22" i="25"/>
  <c r="AE22" i="25"/>
  <c r="G64" i="24"/>
  <c r="F64" i="24"/>
  <c r="E64" i="24"/>
  <c r="G63" i="24"/>
  <c r="F63" i="24"/>
  <c r="E63" i="24"/>
  <c r="G62" i="24"/>
  <c r="F62" i="24"/>
  <c r="E62" i="24"/>
  <c r="G61" i="24"/>
  <c r="F61" i="24"/>
  <c r="E61" i="24"/>
  <c r="G60" i="24"/>
  <c r="F60" i="24"/>
  <c r="E60" i="24"/>
  <c r="G59" i="24"/>
  <c r="F59" i="24"/>
  <c r="E59" i="24"/>
  <c r="G58" i="24"/>
  <c r="F58" i="24"/>
  <c r="E58" i="24"/>
  <c r="G57" i="24"/>
  <c r="F57" i="24"/>
  <c r="E57" i="24"/>
  <c r="G56" i="24"/>
  <c r="F56" i="24"/>
  <c r="E56" i="24"/>
  <c r="G55" i="24"/>
  <c r="F55" i="24"/>
  <c r="E55" i="24"/>
  <c r="G54" i="24"/>
  <c r="F54" i="24"/>
  <c r="E54" i="24"/>
  <c r="G53" i="24"/>
  <c r="F53" i="24"/>
  <c r="E53" i="24"/>
  <c r="G52" i="24"/>
  <c r="F52" i="24"/>
  <c r="E52" i="24"/>
  <c r="G51" i="24"/>
  <c r="F51" i="24"/>
  <c r="E51" i="24"/>
  <c r="G50" i="24"/>
  <c r="F50" i="24"/>
  <c r="E50" i="24"/>
  <c r="G49" i="24"/>
  <c r="F49" i="24"/>
  <c r="E49" i="24"/>
  <c r="G48" i="24"/>
  <c r="F48" i="24"/>
  <c r="E48" i="24"/>
  <c r="G47" i="24"/>
  <c r="F47" i="24"/>
  <c r="E47" i="24"/>
  <c r="G46" i="24"/>
  <c r="F46" i="24"/>
  <c r="E46" i="24"/>
  <c r="G45" i="24"/>
  <c r="F45" i="24"/>
  <c r="E45" i="24"/>
  <c r="G44" i="24"/>
  <c r="F44" i="24"/>
  <c r="E44" i="24"/>
  <c r="G43" i="24"/>
  <c r="F43" i="24"/>
  <c r="E43" i="24"/>
  <c r="G42" i="24"/>
  <c r="F42" i="24"/>
  <c r="E42" i="24"/>
  <c r="G41" i="24"/>
  <c r="F41" i="24"/>
  <c r="E41" i="24"/>
  <c r="G40" i="24"/>
  <c r="F40" i="24"/>
  <c r="E40" i="24"/>
  <c r="G39" i="24"/>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3" i="23"/>
  <c r="F13" i="23"/>
  <c r="G12" i="23"/>
  <c r="F12" i="23"/>
  <c r="G11" i="23"/>
  <c r="F11" i="23"/>
  <c r="G10" i="23"/>
  <c r="F10"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3" i="23"/>
  <c r="E12" i="23"/>
  <c r="E11" i="23"/>
  <c r="E10" i="23"/>
  <c r="G8" i="23"/>
  <c r="F8" i="23"/>
  <c r="E8" i="23"/>
  <c r="D8" i="23"/>
  <c r="C8" i="23"/>
  <c r="B8" i="23"/>
  <c r="A8" i="23"/>
  <c r="AB18" i="25"/>
  <c r="Z19" i="25"/>
  <c r="V10" i="25"/>
  <c r="AA19" i="25"/>
  <c r="AB19" i="25"/>
  <c r="Z20" i="25"/>
  <c r="J64" i="24"/>
  <c r="I64" i="24"/>
  <c r="H64" i="24"/>
  <c r="J63" i="24"/>
  <c r="I63" i="24"/>
  <c r="H63" i="24"/>
  <c r="J62" i="24"/>
  <c r="I62" i="24"/>
  <c r="H62" i="24"/>
  <c r="J61" i="24"/>
  <c r="I61" i="24"/>
  <c r="H61" i="24"/>
  <c r="J60" i="24"/>
  <c r="I60" i="24"/>
  <c r="H60" i="24"/>
  <c r="J59" i="24"/>
  <c r="I59" i="24"/>
  <c r="H59" i="24"/>
  <c r="D59" i="24"/>
  <c r="C59" i="24"/>
  <c r="B59" i="24"/>
  <c r="A59" i="24"/>
  <c r="J58" i="24"/>
  <c r="I58" i="24"/>
  <c r="H58" i="24"/>
  <c r="J57" i="24"/>
  <c r="I57" i="24"/>
  <c r="H57" i="24"/>
  <c r="J56" i="24"/>
  <c r="I56" i="24"/>
  <c r="H56" i="24"/>
  <c r="J55" i="24"/>
  <c r="I55" i="24"/>
  <c r="H55" i="24"/>
  <c r="J54" i="24"/>
  <c r="I54" i="24"/>
  <c r="H54" i="24"/>
  <c r="J53" i="24"/>
  <c r="I53" i="24"/>
  <c r="H53" i="24"/>
  <c r="D53" i="24"/>
  <c r="C53" i="24"/>
  <c r="B53" i="24"/>
  <c r="A53" i="24"/>
  <c r="J52" i="24"/>
  <c r="I52" i="24"/>
  <c r="H52" i="24"/>
  <c r="J51" i="24"/>
  <c r="I51" i="24"/>
  <c r="H51" i="24"/>
  <c r="J50" i="24"/>
  <c r="I50" i="24"/>
  <c r="H50" i="24"/>
  <c r="J49" i="24"/>
  <c r="I49" i="24"/>
  <c r="H49" i="24"/>
  <c r="J48" i="24"/>
  <c r="I48" i="24"/>
  <c r="H48" i="24"/>
  <c r="J47" i="24"/>
  <c r="I47" i="24"/>
  <c r="H47" i="24"/>
  <c r="D47" i="24"/>
  <c r="C47" i="24"/>
  <c r="B47" i="24"/>
  <c r="A47" i="24"/>
  <c r="J46" i="24"/>
  <c r="I46" i="24"/>
  <c r="H46" i="24"/>
  <c r="J45" i="24"/>
  <c r="I45" i="24"/>
  <c r="H45" i="24"/>
  <c r="J44" i="24"/>
  <c r="I44" i="24"/>
  <c r="H44" i="24"/>
  <c r="J43" i="24"/>
  <c r="I43" i="24"/>
  <c r="H43" i="24"/>
  <c r="J42" i="24"/>
  <c r="I42" i="24"/>
  <c r="H42" i="24"/>
  <c r="J41" i="24"/>
  <c r="I41" i="24"/>
  <c r="H41" i="24"/>
  <c r="D41" i="24"/>
  <c r="C41" i="24"/>
  <c r="B41" i="24"/>
  <c r="A41" i="24"/>
  <c r="J40" i="24"/>
  <c r="I40" i="24"/>
  <c r="H40" i="24"/>
  <c r="J39" i="24"/>
  <c r="I39" i="24"/>
  <c r="H39" i="24"/>
  <c r="J38" i="24"/>
  <c r="I38" i="24"/>
  <c r="H38" i="24"/>
  <c r="J37" i="24"/>
  <c r="I37" i="24"/>
  <c r="H37" i="24"/>
  <c r="J36" i="24"/>
  <c r="I36" i="24"/>
  <c r="H36" i="24"/>
  <c r="J35" i="24"/>
  <c r="I35" i="24"/>
  <c r="H35" i="24"/>
  <c r="D35" i="24"/>
  <c r="C35" i="24"/>
  <c r="B35" i="24"/>
  <c r="A35" i="24"/>
  <c r="J34" i="24"/>
  <c r="I34" i="24"/>
  <c r="H34" i="24"/>
  <c r="J33" i="24"/>
  <c r="I33" i="24"/>
  <c r="H33" i="24"/>
  <c r="J32" i="24"/>
  <c r="I32" i="24"/>
  <c r="H32" i="24"/>
  <c r="J31" i="24"/>
  <c r="I31" i="24"/>
  <c r="H31" i="24"/>
  <c r="J30" i="24"/>
  <c r="I30" i="24"/>
  <c r="H30" i="24"/>
  <c r="J29" i="24"/>
  <c r="I29" i="24"/>
  <c r="H29" i="24"/>
  <c r="D29" i="24"/>
  <c r="C29" i="24"/>
  <c r="B29" i="24"/>
  <c r="A29" i="24"/>
  <c r="J28" i="24"/>
  <c r="I28" i="24"/>
  <c r="H28" i="24"/>
  <c r="J27" i="24"/>
  <c r="I27" i="24"/>
  <c r="H27" i="24"/>
  <c r="J26" i="24"/>
  <c r="I26" i="24"/>
  <c r="H26" i="24"/>
  <c r="J25" i="24"/>
  <c r="I25" i="24"/>
  <c r="H25" i="24"/>
  <c r="J24" i="24"/>
  <c r="I24" i="24"/>
  <c r="H24" i="24"/>
  <c r="J23" i="24"/>
  <c r="I23" i="24"/>
  <c r="H23" i="24"/>
  <c r="D23" i="24"/>
  <c r="C23" i="24"/>
  <c r="B23" i="24"/>
  <c r="A23" i="24"/>
  <c r="Q64" i="23"/>
  <c r="O64" i="23"/>
  <c r="N64" i="23"/>
  <c r="M64" i="23"/>
  <c r="L64" i="23"/>
  <c r="K64" i="23"/>
  <c r="J64" i="23"/>
  <c r="I64" i="23"/>
  <c r="Q63" i="23"/>
  <c r="O63" i="23"/>
  <c r="N63" i="23"/>
  <c r="M63" i="23"/>
  <c r="L63" i="23"/>
  <c r="K63" i="23"/>
  <c r="J63" i="23"/>
  <c r="I63" i="23"/>
  <c r="Q62" i="23"/>
  <c r="O62" i="23"/>
  <c r="N62" i="23"/>
  <c r="M62" i="23"/>
  <c r="L62" i="23"/>
  <c r="K62" i="23"/>
  <c r="J62" i="23"/>
  <c r="I62" i="23"/>
  <c r="Q61" i="23"/>
  <c r="O61" i="23"/>
  <c r="N61" i="23"/>
  <c r="M61" i="23"/>
  <c r="L61" i="23"/>
  <c r="K61" i="23"/>
  <c r="J61" i="23"/>
  <c r="I61" i="23"/>
  <c r="Q60" i="23"/>
  <c r="O60" i="23"/>
  <c r="N60" i="23"/>
  <c r="M60" i="23"/>
  <c r="L60" i="23"/>
  <c r="K60" i="23"/>
  <c r="J60" i="23"/>
  <c r="I60" i="23"/>
  <c r="Q59" i="23"/>
  <c r="O59" i="23"/>
  <c r="N59" i="23"/>
  <c r="M59" i="23"/>
  <c r="L59" i="23"/>
  <c r="K59" i="23"/>
  <c r="J59" i="23"/>
  <c r="I59" i="23"/>
  <c r="D59" i="23"/>
  <c r="C59" i="23"/>
  <c r="B59" i="23"/>
  <c r="A59" i="23"/>
  <c r="Q58" i="23"/>
  <c r="O58" i="23"/>
  <c r="N58" i="23"/>
  <c r="M58" i="23"/>
  <c r="L58" i="23"/>
  <c r="K58" i="23"/>
  <c r="J58" i="23"/>
  <c r="I58" i="23"/>
  <c r="Q57" i="23"/>
  <c r="O57" i="23"/>
  <c r="N57" i="23"/>
  <c r="M57" i="23"/>
  <c r="L57" i="23"/>
  <c r="K57" i="23"/>
  <c r="J57" i="23"/>
  <c r="I57" i="23"/>
  <c r="Q56" i="23"/>
  <c r="O56" i="23"/>
  <c r="N56" i="23"/>
  <c r="M56" i="23"/>
  <c r="L56" i="23"/>
  <c r="K56" i="23"/>
  <c r="J56" i="23"/>
  <c r="I56" i="23"/>
  <c r="Q55" i="23"/>
  <c r="O55" i="23"/>
  <c r="N55" i="23"/>
  <c r="M55" i="23"/>
  <c r="L55" i="23"/>
  <c r="K55" i="23"/>
  <c r="J55" i="23"/>
  <c r="I55" i="23"/>
  <c r="Q54" i="23"/>
  <c r="O54" i="23"/>
  <c r="N54" i="23"/>
  <c r="M54" i="23"/>
  <c r="L54" i="23"/>
  <c r="K54" i="23"/>
  <c r="J54" i="23"/>
  <c r="I54" i="23"/>
  <c r="Q53" i="23"/>
  <c r="O53" i="23"/>
  <c r="N53" i="23"/>
  <c r="M53" i="23"/>
  <c r="L53" i="23"/>
  <c r="K53" i="23"/>
  <c r="J53" i="23"/>
  <c r="I53" i="23"/>
  <c r="D53" i="23"/>
  <c r="C53" i="23"/>
  <c r="B53" i="23"/>
  <c r="A53" i="23"/>
  <c r="Q52" i="23"/>
  <c r="O52" i="23"/>
  <c r="N52" i="23"/>
  <c r="M52" i="23"/>
  <c r="L52" i="23"/>
  <c r="K52" i="23"/>
  <c r="J52" i="23"/>
  <c r="I52" i="23"/>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D47" i="23"/>
  <c r="C47" i="23"/>
  <c r="B47" i="23"/>
  <c r="A47" i="23"/>
  <c r="Q46" i="23"/>
  <c r="O46" i="23"/>
  <c r="N46" i="23"/>
  <c r="M46" i="23"/>
  <c r="L46" i="23"/>
  <c r="K46" i="23"/>
  <c r="J46" i="23"/>
  <c r="I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D41" i="23"/>
  <c r="C41" i="23"/>
  <c r="B41" i="23"/>
  <c r="A41" i="23"/>
  <c r="Q40" i="23"/>
  <c r="O40" i="23"/>
  <c r="N40" i="23"/>
  <c r="M40" i="23"/>
  <c r="L40" i="23"/>
  <c r="K40" i="23"/>
  <c r="J40" i="23"/>
  <c r="I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D35" i="23"/>
  <c r="C35" i="23"/>
  <c r="B35" i="23"/>
  <c r="A35" i="23"/>
  <c r="O34" i="23"/>
  <c r="N34" i="23"/>
  <c r="M34" i="23"/>
  <c r="L34" i="23"/>
  <c r="K34" i="23"/>
  <c r="J34" i="23"/>
  <c r="I34" i="23"/>
  <c r="O33" i="23"/>
  <c r="N33" i="23"/>
  <c r="M33" i="23"/>
  <c r="L33" i="23"/>
  <c r="K33" i="23"/>
  <c r="J33" i="23"/>
  <c r="I33" i="23"/>
  <c r="O32" i="23"/>
  <c r="N32" i="23"/>
  <c r="M32" i="23"/>
  <c r="L32" i="23"/>
  <c r="K32" i="23"/>
  <c r="J32" i="23"/>
  <c r="I32" i="23"/>
  <c r="O31" i="23"/>
  <c r="N31" i="23"/>
  <c r="M31" i="23"/>
  <c r="L31" i="23"/>
  <c r="K31" i="23"/>
  <c r="J31" i="23"/>
  <c r="I31" i="23"/>
  <c r="O30" i="23"/>
  <c r="N30" i="23"/>
  <c r="M30" i="23"/>
  <c r="L30" i="23"/>
  <c r="K30" i="23"/>
  <c r="J30" i="23"/>
  <c r="I30" i="23"/>
  <c r="Q29" i="23"/>
  <c r="O29" i="23"/>
  <c r="N29" i="23"/>
  <c r="M29" i="23"/>
  <c r="L29" i="23"/>
  <c r="K29" i="23"/>
  <c r="J29" i="23"/>
  <c r="I29" i="23"/>
  <c r="D29" i="23"/>
  <c r="C29" i="23"/>
  <c r="B29" i="23"/>
  <c r="A29" i="23"/>
  <c r="O28" i="23"/>
  <c r="N28" i="23"/>
  <c r="M28" i="23"/>
  <c r="L28" i="23"/>
  <c r="K28" i="23"/>
  <c r="J28" i="23"/>
  <c r="I28" i="23"/>
  <c r="O27" i="23"/>
  <c r="N27" i="23"/>
  <c r="M27" i="23"/>
  <c r="L27" i="23"/>
  <c r="K27" i="23"/>
  <c r="J27" i="23"/>
  <c r="I27" i="23"/>
  <c r="O26" i="23"/>
  <c r="N26" i="23"/>
  <c r="M26" i="23"/>
  <c r="L26" i="23"/>
  <c r="K26" i="23"/>
  <c r="J26" i="23"/>
  <c r="I26" i="23"/>
  <c r="O25" i="23"/>
  <c r="N25" i="23"/>
  <c r="M25" i="23"/>
  <c r="L25" i="23"/>
  <c r="K25" i="23"/>
  <c r="J25" i="23"/>
  <c r="I25" i="23"/>
  <c r="O24" i="23"/>
  <c r="N24" i="23"/>
  <c r="M24" i="23"/>
  <c r="L24" i="23"/>
  <c r="K24" i="23"/>
  <c r="J24" i="23"/>
  <c r="I24" i="23"/>
  <c r="Q23" i="23"/>
  <c r="O23" i="23"/>
  <c r="N23" i="23"/>
  <c r="M23" i="23"/>
  <c r="L23" i="23"/>
  <c r="K23" i="23"/>
  <c r="J23" i="23"/>
  <c r="I23" i="23"/>
  <c r="D23" i="23"/>
  <c r="C23" i="23"/>
  <c r="B23" i="23"/>
  <c r="A23" i="23"/>
  <c r="J22" i="24"/>
  <c r="I22" i="24"/>
  <c r="H22" i="24"/>
  <c r="J21" i="24"/>
  <c r="I21" i="24"/>
  <c r="H21" i="24"/>
  <c r="J20" i="24"/>
  <c r="I20" i="24"/>
  <c r="H20" i="24"/>
  <c r="J19" i="24"/>
  <c r="I19" i="24"/>
  <c r="H19" i="24"/>
  <c r="J18" i="24"/>
  <c r="I18" i="24"/>
  <c r="H18" i="24"/>
  <c r="J17" i="24"/>
  <c r="I17" i="24"/>
  <c r="J16" i="24"/>
  <c r="I16" i="24"/>
  <c r="H16" i="24"/>
  <c r="J15" i="24"/>
  <c r="I15" i="24"/>
  <c r="H15" i="24"/>
  <c r="J13" i="24"/>
  <c r="I13" i="24"/>
  <c r="H13" i="24"/>
  <c r="J12" i="24"/>
  <c r="I12" i="24"/>
  <c r="H12" i="24"/>
  <c r="J11" i="24"/>
  <c r="I11" i="24"/>
  <c r="H11" i="24"/>
  <c r="O22" i="23"/>
  <c r="N22" i="23"/>
  <c r="M22" i="23"/>
  <c r="L22" i="23"/>
  <c r="K22" i="23"/>
  <c r="J22" i="23"/>
  <c r="I22" i="23"/>
  <c r="O21" i="23"/>
  <c r="N21" i="23"/>
  <c r="M21" i="23"/>
  <c r="L21" i="23"/>
  <c r="K21" i="23"/>
  <c r="J21" i="23"/>
  <c r="I21" i="23"/>
  <c r="O20" i="23"/>
  <c r="N20" i="23"/>
  <c r="M20" i="23"/>
  <c r="L20" i="23"/>
  <c r="K20" i="23"/>
  <c r="J20" i="23"/>
  <c r="I20" i="23"/>
  <c r="O19" i="23"/>
  <c r="N19" i="23"/>
  <c r="M19" i="23"/>
  <c r="L19" i="23"/>
  <c r="K19" i="23"/>
  <c r="J19" i="23"/>
  <c r="I19" i="23"/>
  <c r="O18" i="23"/>
  <c r="N18" i="23"/>
  <c r="M18" i="23"/>
  <c r="L18" i="23"/>
  <c r="K18" i="23"/>
  <c r="J18" i="23"/>
  <c r="I18" i="23"/>
  <c r="Q17" i="23"/>
  <c r="O17" i="23"/>
  <c r="N17" i="23"/>
  <c r="M17" i="23"/>
  <c r="L17" i="23"/>
  <c r="K17" i="23"/>
  <c r="J17" i="23"/>
  <c r="I17" i="23"/>
  <c r="D17" i="23"/>
  <c r="C17" i="23"/>
  <c r="B17" i="23"/>
  <c r="A17" i="23"/>
  <c r="O16" i="23"/>
  <c r="N16" i="23"/>
  <c r="M16" i="23"/>
  <c r="L16" i="23"/>
  <c r="K16" i="23"/>
  <c r="O15" i="23"/>
  <c r="N15" i="23"/>
  <c r="M15" i="23"/>
  <c r="L15" i="23"/>
  <c r="K15" i="23"/>
  <c r="O13" i="23"/>
  <c r="N13" i="23"/>
  <c r="M13" i="23"/>
  <c r="L13" i="23"/>
  <c r="K13" i="23"/>
  <c r="O12" i="23"/>
  <c r="N12" i="23"/>
  <c r="M12" i="23"/>
  <c r="L12" i="23"/>
  <c r="K12" i="23"/>
  <c r="O11" i="23"/>
  <c r="N11" i="23"/>
  <c r="M11" i="23"/>
  <c r="L11" i="23"/>
  <c r="K11" i="23"/>
  <c r="O10" i="23"/>
  <c r="N10" i="23"/>
  <c r="M10" i="23"/>
  <c r="L10" i="23"/>
  <c r="K10" i="23"/>
  <c r="J16" i="23"/>
  <c r="J15" i="23"/>
  <c r="J13" i="23"/>
  <c r="J12" i="23"/>
  <c r="J11" i="23"/>
  <c r="J10" i="23"/>
  <c r="I16" i="23"/>
  <c r="I15" i="23"/>
  <c r="I13" i="23"/>
  <c r="I12" i="23"/>
  <c r="I11" i="23"/>
  <c r="I10" i="23"/>
  <c r="Q10" i="23"/>
  <c r="D17" i="24"/>
  <c r="C17" i="24"/>
  <c r="D10" i="24"/>
  <c r="C10" i="24"/>
  <c r="D10" i="23"/>
  <c r="C10" i="23"/>
  <c r="B10" i="23"/>
  <c r="H10" i="24"/>
  <c r="B17" i="24"/>
  <c r="B10" i="24"/>
  <c r="A17" i="24"/>
  <c r="A10" i="24"/>
  <c r="A10" i="23"/>
  <c r="V64" i="25"/>
  <c r="S64" i="25"/>
  <c r="V63" i="25"/>
  <c r="S63" i="25"/>
  <c r="V62" i="25"/>
  <c r="S62" i="25"/>
  <c r="V61" i="25"/>
  <c r="S61" i="25"/>
  <c r="V60" i="25"/>
  <c r="S60" i="25"/>
  <c r="V59" i="25"/>
  <c r="S59" i="25"/>
  <c r="I59" i="25"/>
  <c r="J59" i="25"/>
  <c r="V58" i="25"/>
  <c r="S58" i="25"/>
  <c r="V57" i="25"/>
  <c r="S57" i="25"/>
  <c r="V56" i="25"/>
  <c r="S56" i="25"/>
  <c r="V55" i="25"/>
  <c r="S55" i="25"/>
  <c r="V54" i="25"/>
  <c r="S54" i="25"/>
  <c r="V53" i="25"/>
  <c r="S53" i="25"/>
  <c r="AD53" i="25"/>
  <c r="AC53" i="25"/>
  <c r="I53" i="25"/>
  <c r="J53" i="25"/>
  <c r="V52" i="25"/>
  <c r="S52" i="25"/>
  <c r="V51" i="25"/>
  <c r="S51" i="25"/>
  <c r="V50" i="25"/>
  <c r="S50" i="25"/>
  <c r="V49" i="25"/>
  <c r="S49" i="25"/>
  <c r="V48" i="25"/>
  <c r="S48" i="25"/>
  <c r="V47" i="25"/>
  <c r="S47" i="25"/>
  <c r="AD47" i="25"/>
  <c r="AC47" i="25"/>
  <c r="V40" i="25"/>
  <c r="S40" i="25"/>
  <c r="V39" i="25"/>
  <c r="S39" i="25"/>
  <c r="V38" i="25"/>
  <c r="S38" i="25"/>
  <c r="V16" i="25"/>
  <c r="S16" i="25"/>
  <c r="V15" i="25"/>
  <c r="S15" i="25"/>
  <c r="V13" i="25"/>
  <c r="S13" i="25"/>
  <c r="V12" i="25"/>
  <c r="S12" i="25"/>
  <c r="V11" i="25"/>
  <c r="S11" i="25"/>
  <c r="S10" i="25"/>
  <c r="I10" i="25"/>
  <c r="J10" i="25"/>
  <c r="J10" i="24"/>
  <c r="I10" i="24"/>
  <c r="M54" i="25"/>
  <c r="M56" i="25"/>
  <c r="M58" i="25"/>
  <c r="AB20" i="25"/>
  <c r="Z21" i="25"/>
  <c r="AA20" i="25"/>
  <c r="AD51" i="25"/>
  <c r="AC51" i="25"/>
  <c r="M57" i="25"/>
  <c r="M62" i="25"/>
  <c r="M63" i="25"/>
  <c r="M12" i="25"/>
  <c r="M60" i="25"/>
  <c r="M11" i="25"/>
  <c r="M55" i="25"/>
  <c r="M64" i="25"/>
  <c r="M15" i="25"/>
  <c r="M61" i="25"/>
  <c r="M13" i="25"/>
  <c r="M16" i="25"/>
  <c r="AA21" i="25"/>
  <c r="AB21" i="25"/>
  <c r="AD52" i="25"/>
  <c r="AC52" i="25"/>
  <c r="AD64" i="25"/>
  <c r="AC64" i="25"/>
  <c r="AD56" i="25"/>
  <c r="AC56" i="25"/>
  <c r="Z47" i="25"/>
  <c r="AA47" i="25"/>
  <c r="AE47" i="25"/>
  <c r="P47" i="23"/>
  <c r="Z15" i="25"/>
  <c r="AA15" i="25"/>
  <c r="Z53" i="25"/>
  <c r="AB53" i="25"/>
  <c r="Z58" i="25"/>
  <c r="AA58" i="25"/>
  <c r="Z16" i="25"/>
  <c r="AA16" i="25"/>
  <c r="AD49" i="25"/>
  <c r="AC49" i="25"/>
  <c r="Z10" i="25"/>
  <c r="Z49" i="25"/>
  <c r="AB49" i="25"/>
  <c r="AD62" i="25"/>
  <c r="AC62" i="25"/>
  <c r="Z52" i="25"/>
  <c r="AB52" i="25"/>
  <c r="Z50" i="25"/>
  <c r="AB50" i="25"/>
  <c r="AD58" i="25"/>
  <c r="AC58" i="25"/>
  <c r="Z51" i="25"/>
  <c r="AB51" i="25"/>
  <c r="AD54" i="25"/>
  <c r="AC54" i="25"/>
  <c r="AD60" i="25"/>
  <c r="AC60" i="25"/>
  <c r="Z40" i="25"/>
  <c r="AD40" i="25"/>
  <c r="AC40" i="25"/>
  <c r="Z39" i="25"/>
  <c r="Z35" i="25"/>
  <c r="AD39" i="25"/>
  <c r="AC39" i="25"/>
  <c r="AD15" i="25"/>
  <c r="AC15" i="25"/>
  <c r="AD16" i="25"/>
  <c r="AC16" i="25"/>
  <c r="Z38" i="25"/>
  <c r="AD38" i="25"/>
  <c r="AC38" i="25"/>
  <c r="Z55" i="25"/>
  <c r="AD55" i="25"/>
  <c r="AC55" i="25"/>
  <c r="Z54" i="25"/>
  <c r="Z57" i="25"/>
  <c r="AD57" i="25"/>
  <c r="AC57" i="25"/>
  <c r="Z56" i="25"/>
  <c r="AD48" i="25"/>
  <c r="AC48" i="25"/>
  <c r="AD50" i="25"/>
  <c r="AC50" i="25"/>
  <c r="Z60" i="25"/>
  <c r="Z62" i="25"/>
  <c r="Z64" i="25"/>
  <c r="AD59" i="25"/>
  <c r="AC59" i="25"/>
  <c r="AD61" i="25"/>
  <c r="AC61" i="25"/>
  <c r="AD63" i="25"/>
  <c r="AC63" i="25"/>
  <c r="Z48" i="25"/>
  <c r="Z59" i="25"/>
  <c r="Z61" i="25"/>
  <c r="Z63" i="25"/>
  <c r="AB10" i="25"/>
  <c r="Z11" i="25"/>
  <c r="AA10" i="25"/>
  <c r="P41" i="23"/>
  <c r="AB16" i="25"/>
  <c r="AB58" i="25"/>
  <c r="AB15" i="25"/>
  <c r="P28" i="23"/>
  <c r="AA49" i="25"/>
  <c r="AE49" i="25"/>
  <c r="P49" i="23"/>
  <c r="AB47" i="25"/>
  <c r="P33" i="23"/>
  <c r="P46" i="23"/>
  <c r="AE16" i="25"/>
  <c r="P16" i="23"/>
  <c r="AA51" i="25"/>
  <c r="AE51" i="25"/>
  <c r="P51" i="23"/>
  <c r="AA53" i="25"/>
  <c r="AE53" i="25"/>
  <c r="P53" i="23"/>
  <c r="AA52" i="25"/>
  <c r="AE52" i="25"/>
  <c r="P52" i="23"/>
  <c r="AA50" i="25"/>
  <c r="AE50" i="25"/>
  <c r="P50" i="23"/>
  <c r="P22" i="23"/>
  <c r="AE58" i="25"/>
  <c r="P58" i="23"/>
  <c r="P34" i="23"/>
  <c r="P44" i="23"/>
  <c r="AB56" i="25"/>
  <c r="AA56" i="25"/>
  <c r="AE56" i="25"/>
  <c r="P56" i="23"/>
  <c r="AB40" i="25"/>
  <c r="AA40" i="25"/>
  <c r="AE40" i="25"/>
  <c r="P40" i="23"/>
  <c r="AA11" i="25"/>
  <c r="AB11" i="25"/>
  <c r="Z12" i="25"/>
  <c r="AB12" i="25"/>
  <c r="Z13" i="25"/>
  <c r="AB64" i="25"/>
  <c r="AA64" i="25"/>
  <c r="AE64" i="25"/>
  <c r="P64" i="23"/>
  <c r="P45" i="23"/>
  <c r="AB35" i="25"/>
  <c r="Z36" i="25"/>
  <c r="AB36" i="25"/>
  <c r="Z37" i="25"/>
  <c r="AA37" i="25"/>
  <c r="AA35" i="25"/>
  <c r="AA61" i="25"/>
  <c r="AE61" i="25"/>
  <c r="P61" i="23"/>
  <c r="AB61" i="25"/>
  <c r="AB60" i="25"/>
  <c r="AA60" i="25"/>
  <c r="AE60" i="25"/>
  <c r="P60" i="23"/>
  <c r="P32" i="23"/>
  <c r="AA63" i="25"/>
  <c r="AE63" i="25"/>
  <c r="P63" i="23"/>
  <c r="AB63" i="25"/>
  <c r="AB48" i="25"/>
  <c r="AA48" i="25"/>
  <c r="AE48" i="25"/>
  <c r="P48" i="23"/>
  <c r="AB62" i="25"/>
  <c r="AA62" i="25"/>
  <c r="AE62" i="25"/>
  <c r="P62" i="23"/>
  <c r="P43" i="23"/>
  <c r="AB57" i="25"/>
  <c r="AA57" i="25"/>
  <c r="AE57" i="25"/>
  <c r="P57" i="23"/>
  <c r="AB38" i="25"/>
  <c r="AA38" i="25"/>
  <c r="AE38" i="25"/>
  <c r="P38" i="23"/>
  <c r="AE15" i="25"/>
  <c r="P15" i="23"/>
  <c r="AB54" i="25"/>
  <c r="AA54" i="25"/>
  <c r="AE54" i="25"/>
  <c r="P54" i="23"/>
  <c r="AA59" i="25"/>
  <c r="AE59" i="25"/>
  <c r="P59" i="23"/>
  <c r="AB59" i="25"/>
  <c r="AB39" i="25"/>
  <c r="AA39" i="25"/>
  <c r="AE39" i="25"/>
  <c r="P39" i="23"/>
  <c r="AB55" i="25"/>
  <c r="AA55" i="25"/>
  <c r="AE55" i="25"/>
  <c r="P55" i="23"/>
  <c r="P27" i="23"/>
  <c r="P42" i="23"/>
  <c r="P26" i="23"/>
  <c r="AA36" i="25"/>
  <c r="AB37" i="25"/>
  <c r="AA12" i="25"/>
  <c r="AB13" i="25"/>
  <c r="AA13" i="25"/>
  <c r="F221" i="13"/>
  <c r="F211" i="13"/>
  <c r="F212" i="13"/>
  <c r="F213" i="13"/>
  <c r="F214" i="13"/>
  <c r="F215" i="13"/>
  <c r="F216" i="13"/>
  <c r="F217" i="13"/>
  <c r="F218" i="13"/>
  <c r="F219" i="13"/>
  <c r="F220" i="13"/>
  <c r="F210" i="13"/>
  <c r="B221" i="13" a="1"/>
  <c r="B221" i="13"/>
  <c r="AL44" i="18"/>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29" i="25"/>
  <c r="N29" i="25"/>
  <c r="O29" i="25"/>
  <c r="AD29" i="25"/>
  <c r="M23" i="25"/>
  <c r="N23" i="25"/>
  <c r="O23" i="25"/>
  <c r="AD23" i="25"/>
  <c r="M35" i="25"/>
  <c r="N35" i="25"/>
  <c r="M17" i="25"/>
  <c r="N17" i="25"/>
  <c r="M10" i="25"/>
  <c r="N10" i="25"/>
  <c r="M53" i="25"/>
  <c r="N53" i="25"/>
  <c r="M59" i="25"/>
  <c r="N59" i="25"/>
  <c r="P29" i="25"/>
  <c r="AC29" i="25"/>
  <c r="AE29" i="25"/>
  <c r="AD30" i="25"/>
  <c r="P23" i="25"/>
  <c r="AC23" i="25"/>
  <c r="AE23" i="25"/>
  <c r="P23" i="23"/>
  <c r="AD24" i="25"/>
  <c r="H41" i="23"/>
  <c r="H47" i="23"/>
  <c r="O35" i="25"/>
  <c r="AD35" i="25"/>
  <c r="P35" i="25"/>
  <c r="H35" i="23"/>
  <c r="O17" i="25"/>
  <c r="AD17" i="25"/>
  <c r="P17" i="25"/>
  <c r="H17" i="23"/>
  <c r="O59" i="25"/>
  <c r="P59" i="25"/>
  <c r="H59" i="23"/>
  <c r="O10" i="25"/>
  <c r="AD10" i="25"/>
  <c r="P10" i="25"/>
  <c r="H10" i="23"/>
  <c r="P53" i="25"/>
  <c r="H53" i="23"/>
  <c r="O53" i="25"/>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30" i="25"/>
  <c r="AE30" i="25"/>
  <c r="AD31" i="25"/>
  <c r="AC31" i="25"/>
  <c r="AE31" i="25"/>
  <c r="AC24" i="25"/>
  <c r="AE24" i="25"/>
  <c r="P24" i="23"/>
  <c r="AD25" i="25"/>
  <c r="AC25" i="25"/>
  <c r="AE25" i="25"/>
  <c r="P25" i="23"/>
  <c r="AC35" i="25"/>
  <c r="AE35" i="25"/>
  <c r="P35" i="23"/>
  <c r="AD36" i="25"/>
  <c r="P29" i="23"/>
  <c r="AC17" i="25"/>
  <c r="AE17" i="25"/>
  <c r="P17" i="23"/>
  <c r="AD18" i="25"/>
  <c r="AC10" i="25"/>
  <c r="AE10" i="25"/>
  <c r="P10" i="23"/>
  <c r="AD11" i="25"/>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P30" i="23"/>
  <c r="P31" i="23"/>
  <c r="AC36" i="25"/>
  <c r="AE36" i="25"/>
  <c r="P36" i="23"/>
  <c r="AD37" i="25"/>
  <c r="AC37" i="25"/>
  <c r="AE37" i="25"/>
  <c r="P37" i="23"/>
  <c r="AC18" i="25"/>
  <c r="AE18" i="25"/>
  <c r="P18" i="23"/>
  <c r="AD19" i="25"/>
  <c r="AC11" i="25"/>
  <c r="AE11" i="25"/>
  <c r="P11" i="23"/>
  <c r="AD12" i="25"/>
  <c r="AC19" i="25"/>
  <c r="AE19" i="25"/>
  <c r="P19" i="23"/>
  <c r="AD20" i="25"/>
  <c r="AC12" i="25"/>
  <c r="AE12" i="25"/>
  <c r="P12" i="23"/>
  <c r="AD13" i="25"/>
  <c r="AC13" i="25"/>
  <c r="AE13" i="25"/>
  <c r="P13" i="23"/>
  <c r="AC20" i="25"/>
  <c r="AE20" i="25"/>
  <c r="P20" i="23"/>
  <c r="AD21" i="25"/>
  <c r="AC21" i="25"/>
  <c r="AE21" i="25"/>
  <c r="P21" i="23"/>
  <c r="H29" i="23"/>
  <c r="H23" i="23"/>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<sst xmlns="http://schemas.openxmlformats.org/spreadsheetml/2006/main" count="781" uniqueCount="500">
  <si>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</si>
  <si>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</si>
  <si>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</si>
  <si>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</si>
  <si>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</si>
  <si>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</si>
  <si>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</si>
  <si>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</si>
  <si>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</si>
  <si>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</si>
  <si>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</si>
  <si>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</si>
  <si>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</si>
  <si>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</si>
  <si>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</si>
  <si>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</si>
  <si>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</si>
  <si>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</si>
  <si>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</si>
  <si>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</si>
  <si>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</si>
  <si>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</si>
  <si>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</si>
  <si>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</si>
  <si>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</si>
  <si>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</si>
  <si>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</si>
  <si>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</si>
  <si>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</si>
  <si>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</si>
  <si>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</si>
  <si>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</si>
  <si>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</si>
  <si>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</si>
  <si>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</si>
  <si>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</si>
  <si>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</si>
  <si>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</si>
  <si>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</si>
  <si>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</si>
  <si>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</si>
  <si>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</si>
  <si>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</si>
  <si>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</si>
  <si>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</si>
  <si>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</si>
  <si>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</si>
  <si>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</si>
  <si>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</si>
  <si>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</si>
  <si>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</si>
  <si>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</si>
  <si>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</si>
  <si>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</si>
  <si>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</si>
  <si>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</si>
  <si>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</si>
  <si>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</si>
  <si>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</si>
  <si>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</si>
  <si>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</si>
  <si>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</si>
  <si>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</si>
  <si>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</si>
  <si>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</si>
  <si>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</si>
  <si>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</si>
  <si>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</si>
  <si>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</si>
  <si>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</si>
  <si>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</si>
  <si>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</si>
  <si>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</si>
  <si>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</si>
  <si>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</si>
  <si>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</si>
  <si>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</si>
  <si>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</si>
  <si>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</si>
  <si>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</si>
  <si>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</si>
  <si>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</si>
  <si>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</si>
  <si>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</si>
  <si>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</si>
  <si>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</si>
  <si>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</si>
  <si>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</si>
  <si>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</si>
  <si>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</si>
  <si>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</si>
  <si>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</si>
  <si>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</si>
  <si>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</si>
  <si>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</si>
  <si>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</si>
  <si>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</si>
  <si>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</si>
  <si>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</si>
  <si>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</si>
  <si>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</si>
  <si>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</si>
  <si>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</si>
  <si>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</si>
  <si>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</si>
  <si>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</si>
  <si>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</si>
  <si>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</si>
  <si>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</si>
  <si>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</si>
  <si>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</si>
  <si>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</si>
  <si>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</si>
  <si>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</si>
  <si>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</si>
  <si>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</si>
  <si>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</si>
  <si>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</si>
  <si>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</si>
  <si>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</si>
  <si>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</si>
  <si>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</si>
  <si>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</si>
  <si>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</si>
  <si>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</si>
  <si>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</si>
  <si>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</si>
  <si>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</si>
  <si>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</si>
  <si>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</si>
  <si>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</si>
  <si>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</si>
  <si>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</si>
  <si>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</si>
  <si>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</si>
  <si>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</si>
  <si>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</si>
  <si>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</si>
  <si>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</si>
  <si>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</si>
  <si>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</si>
  <si>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</si>
  <si>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</si>
  <si>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</si>
  <si>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</si>
  <si>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</si>
  <si>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</si>
  <si>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</si>
  <si>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</si>
  <si>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</si>
  <si>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</si>
  <si>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</si>
  <si>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</si>
  <si>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</si>
  <si>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</si>
  <si>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</si>
  <si>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</si>
  <si>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</si>
  <si>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</si>
  <si>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</si>
  <si>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</si>
  <si>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</si>
  <si>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</si>
  <si>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</si>
  <si>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</si>
  <si>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</si>
  <si>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</si>
  <si>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</si>
  <si>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</si>
  <si>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</si>
  <si>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</si>
  <si>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</si>
  <si>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</si>
  <si>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</si>
  <si>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</si>
  <si>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</si>
  <si>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</si>
  <si>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</si>
  <si>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</si>
  <si>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</si>
  <si>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</si>
  <si>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</si>
  <si>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</si>
  <si>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</si>
  <si>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</si>
  <si>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PLANEACIÓN INSTITUCIONAL</t>
  </si>
  <si>
    <t>RESPONSABLE:</t>
  </si>
  <si>
    <t>ERIKA DELGADO GOMEZ</t>
  </si>
  <si>
    <t>FECHA DE ACTUALIZACIÓN:</t>
  </si>
  <si>
    <t>30 de junio de 2022</t>
  </si>
  <si>
    <t>INTERNAS</t>
  </si>
  <si>
    <t>FORTALEZAS</t>
  </si>
  <si>
    <t>DEBILIDADES</t>
  </si>
  <si>
    <t>1. Personal competente.</t>
  </si>
  <si>
    <t>1. Espacio físico insuficiente.</t>
  </si>
  <si>
    <t>2. Recursos e información necesaria para la planificación y ejecución de las actividades.</t>
  </si>
  <si>
    <t>2. Falta de parametrización y configuración del sistema de información para planificación y seguimiento.</t>
  </si>
  <si>
    <t>3. Compromiso de la Alta Dirección.</t>
  </si>
  <si>
    <t>3. Condiciones ambientales (iluminación) no adecuadas.</t>
  </si>
  <si>
    <t>4. Disponibilidad de los recursos financieros para la inversión institucional.</t>
  </si>
  <si>
    <t>4. Continuidad en los procesos de contratación de personal de apoyo.</t>
  </si>
  <si>
    <t>5. Visibilidad institucional.</t>
  </si>
  <si>
    <t>5. Falta de capacitación sobre planeación, proyectos de inversión y manejo de plataformas.</t>
  </si>
  <si>
    <t>6. Alta dependencia de la información remitida por los líderes de los procesos.</t>
  </si>
  <si>
    <t>OPORTUNIDADES</t>
  </si>
  <si>
    <t>AMENAZAS</t>
  </si>
  <si>
    <t>1. Software para administrar los proyectos de la Institución y el Sistema de Planificación.</t>
  </si>
  <si>
    <t>1. Falta de compromiso de los líderes de los procesos en la entrega de la información solicitada.</t>
  </si>
  <si>
    <t>2. Participación de seminarios y eventos organizados por las Entidades públicas y privadas.</t>
  </si>
  <si>
    <t>2. Actos vandálicos por la falta de control en la entrada de la Institución.</t>
  </si>
  <si>
    <t>3. Sistemas de información para el manejo de indicadores en el mercado.</t>
  </si>
  <si>
    <t>3. Cambios en las políticas públicas para la asignación de los recursos a través de los proyectos de inversión.</t>
  </si>
  <si>
    <t>4. Cambios en la normatividad legal vigente.</t>
  </si>
  <si>
    <t>5. Inseguridad del sector en donde se encuentra la Institución.</t>
  </si>
  <si>
    <t>6. Factores políticos que influyan en el cumplimiento de los objetivos institucionales, establecidos en los planes estratégicos de desarrollo.</t>
  </si>
  <si>
    <t>7. Cambios en las decisiones de los consejeros.</t>
  </si>
  <si>
    <t>8. Desastres naturales y/o riesgos públicos.</t>
  </si>
  <si>
    <t xml:space="preserve">ELABORADO POR: </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</si>
  <si>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</si>
  <si>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</si>
  <si>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</si>
  <si>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</si>
  <si>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</si>
  <si>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</si>
  <si>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</si>
  <si>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</si>
  <si>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</si>
  <si>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</si>
  <si>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</si>
  <si>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Planeación</t>
  </si>
  <si>
    <t>NOMBRE Y CARGO DEL LÍDER</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</si>
  <si>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</si>
  <si>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</si>
  <si>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</si>
  <si>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</si>
  <si>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</si>
  <si>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</si>
  <si>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</si>
  <si>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</si>
  <si>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</si>
  <si>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</si>
  <si>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</si>
  <si>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</si>
  <si>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</si>
  <si>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</si>
  <si>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</si>
  <si>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</si>
  <si>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</si>
  <si>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</si>
  <si>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</si>
  <si>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</si>
  <si>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</si>
  <si>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</si>
  <si>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</si>
  <si>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</si>
  <si>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</si>
  <si>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</si>
  <si>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</si>
  <si>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</si>
  <si>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Ejecución parcial de las metas establecidas en los indicadores de los Planes de Acción Anuales del Plan Estratégico de Desarrollo Institucional de la Oficina de Planeación.</t>
  </si>
  <si>
    <t>Factores Internos (Debilidades)</t>
  </si>
  <si>
    <t>1. Recursos insuficientes para la ejecución de los indicadores y actividades planeadas.</t>
  </si>
  <si>
    <t>1. Incumplimiento de la gestión  del proceso y de la institución.</t>
  </si>
  <si>
    <t>Económico y Reputacional</t>
  </si>
  <si>
    <t xml:space="preserve">     El riesgo afecta la imagen de alguna área de la organización</t>
  </si>
  <si>
    <t xml:space="preserve">Elaboración de cronogramas con las tareas a desarrollar de los indicadores a cargo de la Oficina de Planeación. </t>
  </si>
  <si>
    <t>Preventivo</t>
  </si>
  <si>
    <t>Manual</t>
  </si>
  <si>
    <t>Documentado</t>
  </si>
  <si>
    <t>Continua</t>
  </si>
  <si>
    <t>Con Registro</t>
  </si>
  <si>
    <t>Reducir (mitigar)</t>
  </si>
  <si>
    <r>
      <t>2. C</t>
    </r>
    <r>
      <rPr>
        <sz val="11"/>
        <color theme="1"/>
        <rFont val="Arial Narrow"/>
        <family val="2"/>
      </rPr>
      <t xml:space="preserve">ambio constante de </t>
    </r>
    <r>
      <rPr>
        <sz val="11"/>
        <color theme="1"/>
        <rFont val="Arial Narrow"/>
        <family val="2"/>
      </rPr>
      <t xml:space="preserve">políticas y directrices institucionales. </t>
    </r>
  </si>
  <si>
    <t>2. Inconformismo de las partes interesadas.</t>
  </si>
  <si>
    <t>Verificación periódica en el cumplimiento de los cronogramas</t>
  </si>
  <si>
    <t xml:space="preserve">3. Inadecuada planificación de las actividades que conlleven al cumplimiento de las metas. </t>
  </si>
  <si>
    <t>3. Insatisfacción de los usuarios.</t>
  </si>
  <si>
    <t>4. Resultados negativos en la evaluación de la gestión.</t>
  </si>
  <si>
    <t>Seguimiento inadecuado al cumplimiento de  metas propuestas en los planes de acción.</t>
  </si>
  <si>
    <t>1. Inadecuada planificación.</t>
  </si>
  <si>
    <t>1. Pérdida de recursos.</t>
  </si>
  <si>
    <t xml:space="preserve">     El riesgo afecta la imagen de la entidad con algunos usuarios de relevancia frente al logro de los objetivos</t>
  </si>
  <si>
    <t>Elaboración de los Planes de Acción derivados del Plan Estratégico de Desarrollo Institucional.</t>
  </si>
  <si>
    <t>2. Revisión inadecuada de la información reportada por los responsables de cada proceso.</t>
  </si>
  <si>
    <t>2. Inversión poco eficaz y eficiente de recursos.</t>
  </si>
  <si>
    <t>Ejecución de Cronogramas de Seguimiento.</t>
  </si>
  <si>
    <t>3. Falta de recursos.</t>
  </si>
  <si>
    <t>3. Pérdida de imagen institucional.</t>
  </si>
  <si>
    <t>Generación de reportes con Herramienta  Tecnológica disponible.</t>
  </si>
  <si>
    <t>Automático</t>
  </si>
  <si>
    <t>Sin Documentar</t>
  </si>
  <si>
    <t>4. Entrega de información incompleta e inoportuna por parte de los responsables de cada proceso.</t>
  </si>
  <si>
    <t>4. Imposibilidad de mejoras por parte de los procesos.</t>
  </si>
  <si>
    <t xml:space="preserve">Revisión detallada de las evidencias validando la información reportada por el proceso. </t>
  </si>
  <si>
    <t>5. Pérdida de visibilidad regional y nacional.</t>
  </si>
  <si>
    <t>Presentación de informes de gestión ante el Comité Institucional de Gestión y Desempeño y Consejo Directivo, y de la gestión institucional en audiencia pública de rendición de cuentas y ante la Asamblea Departamental.</t>
  </si>
  <si>
    <t xml:space="preserve">6. Investigaciones administrativas por entes de control. </t>
  </si>
  <si>
    <t>Revisión inadecuada de los requisitos documentales de formulación y viabilización de los proyectos, por parte del equipo de trabajo del Banco de Proyectos.</t>
  </si>
  <si>
    <t>1. Error humano.</t>
  </si>
  <si>
    <t>1. Sanciones Disciplinarias y/o penales.</t>
  </si>
  <si>
    <t xml:space="preserve">     El riesgo afecta la imagen de de la entidad con efecto publicitario sostenido a nivel de sector administrativo, nivel departamental o municipal</t>
  </si>
  <si>
    <t>Verificación lista de chequeo para  requisitos documentales de los proyectos</t>
  </si>
  <si>
    <t>2. Desconocimiento del proceso de revisión de los proyectos.</t>
  </si>
  <si>
    <t>2. Demoras en las etapas de elaboración del proyecto y contractual.</t>
  </si>
  <si>
    <t>3. Reprocesos.</t>
  </si>
  <si>
    <t>4. Hallazgos en auditorías.</t>
  </si>
  <si>
    <t>Usuarios, productos y practicas , organizacionales</t>
  </si>
  <si>
    <t>Daño en activos de información: comunicaciones, informes, estadísticas, registros, entre otros.</t>
  </si>
  <si>
    <t>1. Uso mal intencionado de la información contenida en los equipos de cómputo y en el correo institucional de la Oficina de Planeación, por parte de usuarios de la información o piratas informáticos.</t>
  </si>
  <si>
    <r>
      <t xml:space="preserve">1. Pérdida de información </t>
    </r>
    <r>
      <rPr>
        <sz val="11"/>
        <color theme="1"/>
        <rFont val="Arial Narrow"/>
        <family val="2"/>
      </rPr>
      <t>de la institución y del proceso de Planeación</t>
    </r>
  </si>
  <si>
    <t xml:space="preserve">     El riesgo afecta la imagen de la entidad internamente, de conocimiento general, nivel interno, de junta dircetiva y accionistas y/o de provedores</t>
  </si>
  <si>
    <t>Uso de ONE DRIVE para las copias de seguridad de información.</t>
  </si>
  <si>
    <t>2. Inadecuado manejo de contraseñas y datos de acceso al correo electrónico y medios de almacenamiento de información de la Oficina de Planeación.</t>
  </si>
  <si>
    <t>2. Reproceso en la recopilación de la información</t>
  </si>
  <si>
    <r>
      <t>3. A</t>
    </r>
    <r>
      <rPr>
        <sz val="11"/>
        <color theme="1"/>
        <rFont val="Arial Narrow"/>
        <family val="2"/>
      </rPr>
      <t>fectación de la imagen institucional</t>
    </r>
  </si>
  <si>
    <t>SISTEMA INTEGRADO DE GESTIÓN SIG</t>
  </si>
  <si>
    <t>FECHA APROBACIÓN</t>
  </si>
  <si>
    <t>PÁGINA 3
DE 5</t>
  </si>
  <si>
    <t>PLAN DE ACCIÓN</t>
  </si>
  <si>
    <t>Acciones</t>
  </si>
  <si>
    <t>Responsable</t>
  </si>
  <si>
    <t>Periodicidad</t>
  </si>
  <si>
    <t>Realizar seguimiento al cumplimiento de lo establecido en los cronogramas.</t>
  </si>
  <si>
    <t>Según corresponda</t>
  </si>
  <si>
    <t xml:space="preserve">Socializar el Plan de Acción anual al interior de las UTS con el fin de dar cumplimiento en las metas establecidas en los indicadores. </t>
  </si>
  <si>
    <t>Verificar los reportes realizados por los responsables de los indicadores del plan de acción con las evidencias reportadas.</t>
  </si>
  <si>
    <t>1. Uso permanente de las listas de verificación documental.</t>
  </si>
  <si>
    <t>1. Almacenar la información en el ONE DRIVE de la Oficina de Planeación según Tablas de Retención Documental.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</si>
  <si>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</si>
  <si>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</si>
  <si>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</si>
  <si>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</si>
  <si>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</si>
  <si>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</si>
  <si>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</si>
  <si>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</si>
  <si>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Finalizado</t>
  </si>
  <si>
    <t>En curso</t>
  </si>
  <si>
    <t>PÁGINA 5
DE 5</t>
  </si>
  <si>
    <t>HISTORIAL DE CAMBIOS</t>
  </si>
  <si>
    <t>FECHA</t>
  </si>
  <si>
    <r>
      <t>Actualización de los riesgos y cambio de la información al Formato "</t>
    </r>
    <r>
      <rPr>
        <b/>
        <sz val="11"/>
        <rFont val="Arial"/>
        <family val="2"/>
      </rPr>
      <t>F-PL-13 Mapa de Riesgos Institucional V7</t>
    </r>
    <r>
      <rPr>
        <sz val="11"/>
        <rFont val="Arial"/>
        <family val="2"/>
      </rPr>
      <t>".
Se elimina riesgo "Pérdida de evidencias de los seguimientos realizados a los procesos  como cumplimiento a la ejecución del plan de acción de la vigencia" dado que está inmerso en el riesgo "Daño en activos de información: comunicaciones, informes, estadísticas, registros, entre otros"</t>
    </r>
  </si>
  <si>
    <t>Se elimina el riesgo "Diferencia en el cruce de información estadística.", teniendo en cuenta que a partir del 31 de agosto de 2022 el grupo de estadística fue adscrito a la Vicerrectoría Académica. (Resolución No. 02-963 del 29 de agosto de 2022).</t>
  </si>
  <si>
    <t>01 de septiembre de 2022</t>
  </si>
  <si>
    <t>Modificación del Riesgo "Los planes de acción anuales y por consiguiente el plan estratégico de desarrollo institucional se ejecuten parcialmente" por "Ejecución parcial de los planes de acción anuales y en su defecto del Plan Estratégico de Desarrollo Institucional."</t>
  </si>
  <si>
    <t>Modificación del Riesgo "Falta de seguimiento en el cumplimiento de las metas propuestas en los planes de acción." por "Seguimiento inadecuado al cumplimiento de  metas propuestas en los planes de acción."</t>
  </si>
  <si>
    <t>Modificación del Riesgo "Omitir la revisión de los requisitos documentales de los proyectos por parte del Banco de Proyectos" por "Revisión inadecuada de los requisitos documentales de formulación y viabilización de los proyectos, por parte del Equipo del Banco de Proyectos"</t>
  </si>
  <si>
    <t>Modificación del Riesgo "Daño de activos de información: almacenamiento y comunicaciones, informes, estadísticas y registros" por "Daño en activos de información: comunicaciones, informes, estadísticas, registros, entre otros"</t>
  </si>
  <si>
    <t xml:space="preserve">Se realizó ajuste en la descripción de los tres primeros riesgos, se actualizaron las causas, consecuencias, frecuencias, afectaciones, controles y planes de acción. </t>
  </si>
  <si>
    <t>27 de abril de 2023</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</si>
  <si>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</si>
  <si>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</si>
  <si>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</si>
  <si>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</si>
  <si>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</si>
  <si>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</si>
  <si>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</si>
  <si>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</si>
  <si>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</si>
  <si>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</si>
  <si>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</si>
  <si>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</si>
  <si>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</si>
  <si>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</si>
  <si>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</si>
  <si>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</si>
  <si>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</si>
  <si>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</si>
  <si>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</si>
  <si>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</si>
  <si>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</si>
  <si>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</si>
  <si>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</si>
  <si>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</si>
  <si>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</si>
  <si>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</si>
  <si>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</si>
  <si>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</si>
  <si>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</si>
  <si>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</si>
  <si>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</si>
  <si>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</si>
  <si>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</si>
  <si>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</si>
  <si>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</si>
  <si>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</si>
  <si>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</si>
  <si>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</si>
  <si>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</si>
  <si>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</si>
  <si>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</si>
  <si>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</si>
  <si>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</si>
  <si>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</si>
  <si>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</si>
  <si>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</si>
  <si>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</si>
  <si>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</si>
  <si>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</si>
  <si>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</si>
  <si>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</si>
  <si>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</si>
  <si>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Entre 50 y 100 SMLMV </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</si>
  <si>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</si>
  <si>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</si>
  <si>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</si>
  <si>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</si>
  <si>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</si>
  <si>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</si>
  <si>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</si>
  <si>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</si>
  <si>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</si>
  <si>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</si>
  <si>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</si>
  <si>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</si>
  <si>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</si>
  <si>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</si>
  <si>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</si>
  <si>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</si>
  <si>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</si>
  <si>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</si>
  <si>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</si>
  <si>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</si>
  <si>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</si>
  <si>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</si>
  <si>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</si>
  <si>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</si>
  <si>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</si>
  <si>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</si>
  <si>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</si>
  <si>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</si>
  <si>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</si>
  <si>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</si>
  <si>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</si>
  <si>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</si>
  <si>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</si>
  <si>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</si>
  <si>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Reputacional</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</si>
  <si>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</si>
  <si>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</si>
  <si>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</si>
  <si>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</si>
  <si>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</si>
  <si>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</si>
  <si>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</si>
  <si>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</si>
  <si>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</si>
  <si>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</si>
  <si>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</si>
  <si>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</si>
  <si>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Semanal</t>
  </si>
  <si>
    <t>Mensual</t>
  </si>
  <si>
    <t xml:space="preserve">Semestral </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</si>
  <si>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</si>
  <si>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</si>
  <si>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</si>
  <si>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</si>
  <si>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</si>
  <si>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</si>
  <si>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</si>
  <si>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</si>
  <si>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</si>
  <si>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</si>
  <si>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</si>
  <si>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</si>
  <si>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</si>
  <si>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</si>
  <si>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</si>
  <si>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</si>
  <si>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</si>
  <si>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</si>
  <si>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</si>
  <si>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</si>
  <si>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</si>
  <si>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</si>
  <si>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</si>
  <si>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</si>
  <si>
    <t>ERIKA DELGADO GOMEZ -JEFE OFICINA DE PLANEACIÓN</t>
  </si>
  <si>
    <t>A través del formato F-PL-09 Cronograma, se realiza seguimiento  a las actividades programadas para el primer semestre de la vigencia</t>
  </si>
  <si>
    <t>Las evidencias de la implementación de las listas de chequeo, reposan en el ONE DRIVE del correo Institucional de la oficina de planeación, se anexa listas de chequeo aplicadas</t>
  </si>
  <si>
    <t>Instructivo I-PL-01 y lista de asistencia a inducción sobre el procedimiento establecido en el documento</t>
  </si>
  <si>
    <t>La información relevante producida por la Oficina de Planeación se almacena en el OneDrive del correo institucional, el cual se encuentra organizado teniendo en cuenta las Tablas de Retención Documental aprobadas en la entidad.</t>
  </si>
  <si>
    <t>Captura de Pantalla ONEDRIVE - Planeación</t>
  </si>
  <si>
    <t>Publicación en la página web institucional del Plan de Acción Anual vigencia 2025
https://www.uts.edu.co/sitio/wp-content/uploads/2025/01/PLAN-DE-ACCION-VIGENCIA-2025.pdf 
Copia Correo Socialización Plan de Acción 2025</t>
  </si>
  <si>
    <t>El 31 de enero de 2025 se publicó en pagina web el Plan de Acción Anual de la presente vigencia. 
Adicional se realizó socialización por medio de correo electrónico a los líderes de los procesos la publicación en página web y base documental el "Plan de Acción Anual" de la vigencia 2025, correo enviado el día 21 de febrero del presente año</t>
  </si>
  <si>
    <t>A partir de mes de abril se realizó el seguimiento cuatrimestral a cumplimiento de metas e indicadores establecidos en el plan de acción anual de la  vigencia 2025, donde se revisa y consolida los soportes presentados por los procesos como evidencias de cumplimiento de los mismos.</t>
  </si>
  <si>
    <t>Evidencias de cumplimiento de los planes de acción, que reposan en el ONE drive de la oficina de planeación.</t>
  </si>
  <si>
    <t xml:space="preserve">F-SIG-08 Acta No 01 de Enero 28 de 2025 - Comité MIPG
o 
F-PL-09 Cronograma de actividades </t>
  </si>
  <si>
    <t>En el primer cuatrimestre, se sigue implementado las listas de chequeo en el registro F-PL-25 "Lista de chequeo para proyectos de inversión", para los proyectos que se han viabilizado en la vigencia 2025 por la oficina de planeación</t>
  </si>
  <si>
    <t>En el primer cuatrimestre, no se hizo inducción del instructivo I-PL-01 Instructivo elaboración y trazabilidad proyectos de inversión, pero se está orientando de forma personal a los encargados de presentar los proeyctos de inversión de las oficinas gestoras.</t>
  </si>
  <si>
    <t>En el segundo cuatrimestre, se sigue implementado las listas de chequeo en el registro F-PL-25 "Lista de chequeo para proyectos de inversión", para los proyectos que se han viabilizado en la vigencia 2025 por la oficina de planeación</t>
  </si>
  <si>
    <t>En el segundo cuatrimestre, no se hizo inducción del instructivo I-PL-01 Instructivo elaboración y trazabilidad proyectos de inversión, pero se ha seguido orientando de forma personal  y por correo electrónico a los supervisores de los proyectos de inversión de las oficinas gestoras .</t>
  </si>
  <si>
    <t>Instructivo I-PL-01 y correos electrónicos con retroalimentación a los supervisores de los proyectos de inversión</t>
  </si>
  <si>
    <t>No aplica para el presente monitoreo</t>
  </si>
  <si>
    <t>Circular  - Agosto 01 de 2025</t>
  </si>
  <si>
    <t>Se elabora Circular con fecha Agosto 01 de 2025, en el cual se informa el inicio al segundo seguimiento y evaluación al Plan de Acción 2025.</t>
  </si>
  <si>
    <t xml:space="preserve">Se elaboró el cronograma con las tareas a desarrollar en los indicadores a cargo de la Oficina de Planeación. </t>
  </si>
  <si>
    <t xml:space="preserve">En el cuatrimestre anterior se reporto cumplimiento de la actividad planteada, por lo cual ya está finalizada. </t>
  </si>
  <si>
    <t>Por medio de Circular de fecha Agosto 01 de 2025 se comunica a los líderes de los procesos el inicio al segundo seguimiento y evaluación al Plan de Acción 2025, adicional se remite por correo electrónico a cada líder el Formato F-PL-28 "Seguimiento y evaluación al Plan de Acción Anual" para el reporte de las tareas desarrolladas durante el segundo cuatrimestre en cada uno de los indicadores.</t>
  </si>
  <si>
    <t>Circular  - Agosto 01 de 2025
Correo Electrónico - Solicitud Reporte de Seguimiento y Evaluación
Evidencias Cumplimiento Planes de Acción - ONEDrive Correo Oficina de Planeación.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</si>
</sst>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9"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trike/>
      <sz val="11"/>
      <color rgb="FFFF0000"/>
      <name val="Arial Narrow"/>
      <family val="2"/>
    </font>
    <font>
      <sz val="11"/>
      <color rgb="FF00B0F0"/>
      <name val="Arial Narrow"/>
      <family val="2"/>
    </font>
    <font>
      <sz val="11"/>
      <color rgb="FFFF0000"/>
      <name val="Arial Narrow"/>
      <family val="2"/>
    </font>
    <font>
      <u/>
      <sz val="11"/>
      <color theme="10"/>
      <name val="Calibri"/>
      <family val="2"/>
      <scheme val="minor"/>
    </font>
    <font>
      <sz val="11"/>
      <color rgb="FF000000"/>
      <name val="Arial Narrow"/>
      <family val="2"/>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FF"/>
        <bgColor indexed="64"/>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9">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87" fillId="0" borderId="0" applyNumberFormat="0" applyFill="0" applyBorder="0" applyAlignment="0" applyProtection="0"/>
  </cellStyleXfs>
  <cellXfs count="815">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9" fontId="1" fillId="29" borderId="112" xfId="0" applyNumberFormat="1"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19" xfId="0" applyFont="1" applyFill="1" applyBorder="1" applyAlignment="1" applyProtection="1">
      <alignment horizontal="center" vertical="center"/>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2" fillId="0" borderId="19" xfId="0" applyFont="1" applyBorder="1" applyAlignment="1">
      <alignment horizontal="left" vertical="center" wrapText="1"/>
    </xf>
    <xf numFmtId="0" fontId="1" fillId="0" borderId="19" xfId="0" applyFont="1" applyBorder="1" applyAlignment="1">
      <alignment horizontal="left" vertical="center" wrapText="1"/>
    </xf>
    <xf numFmtId="0" fontId="1" fillId="0" borderId="24" xfId="0" applyFont="1" applyBorder="1" applyAlignment="1">
      <alignment horizontal="left" vertical="center" wrapText="1"/>
    </xf>
    <xf numFmtId="0" fontId="2" fillId="0" borderId="26"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 fillId="29" borderId="19" xfId="0" applyFont="1" applyFill="1" applyBorder="1" applyAlignment="1" applyProtection="1">
      <alignment vertical="center" wrapText="1"/>
      <protection locked="0"/>
    </xf>
    <xf numFmtId="0" fontId="1" fillId="29" borderId="19" xfId="0" applyFont="1" applyFill="1" applyBorder="1" applyAlignment="1" applyProtection="1">
      <alignment vertical="center"/>
      <protection locked="0"/>
    </xf>
    <xf numFmtId="0" fontId="1" fillId="29" borderId="112" xfId="0" applyFont="1" applyFill="1" applyBorder="1" applyAlignment="1" applyProtection="1">
      <alignment vertical="center" wrapText="1"/>
      <protection locked="0"/>
    </xf>
    <xf numFmtId="0" fontId="1" fillId="29" borderId="26" xfId="0" applyFont="1" applyFill="1" applyBorder="1" applyAlignment="1" applyProtection="1">
      <alignment vertical="center" wrapText="1"/>
      <protection locked="0"/>
    </xf>
    <xf numFmtId="0" fontId="1" fillId="29" borderId="23" xfId="0" applyFont="1" applyFill="1" applyBorder="1" applyAlignment="1" applyProtection="1">
      <alignment horizontal="left" vertical="center" wrapText="1"/>
      <protection locked="0"/>
    </xf>
    <xf numFmtId="0" fontId="1" fillId="29" borderId="19" xfId="0" applyFont="1" applyFill="1" applyBorder="1" applyAlignment="1" applyProtection="1">
      <alignment horizontal="center" vertical="center" wrapText="1"/>
      <protection locked="0"/>
    </xf>
    <xf numFmtId="0" fontId="85" fillId="29" borderId="19" xfId="0" applyFont="1" applyFill="1" applyBorder="1" applyAlignment="1" applyProtection="1">
      <alignment horizontal="center" vertical="center"/>
      <protection locked="0"/>
    </xf>
    <xf numFmtId="0" fontId="85" fillId="0" borderId="0" xfId="0" applyFont="1"/>
    <xf numFmtId="0" fontId="86" fillId="29" borderId="19" xfId="0" applyFont="1" applyFill="1" applyBorder="1" applyAlignment="1" applyProtection="1">
      <alignment vertical="center" wrapText="1"/>
      <protection locked="0"/>
    </xf>
    <xf numFmtId="0" fontId="86" fillId="29" borderId="26" xfId="0" applyFont="1" applyFill="1" applyBorder="1" applyAlignment="1" applyProtection="1">
      <alignment vertical="center" wrapText="1"/>
      <protection locked="0"/>
    </xf>
    <xf numFmtId="0" fontId="84" fillId="29" borderId="112" xfId="0" applyFont="1" applyFill="1" applyBorder="1" applyAlignment="1" applyProtection="1">
      <alignment horizontal="center" vertical="center" wrapText="1"/>
      <protection locked="0"/>
    </xf>
    <xf numFmtId="0" fontId="84" fillId="29" borderId="112" xfId="0" applyFont="1" applyFill="1" applyBorder="1" applyAlignment="1" applyProtection="1">
      <alignment vertical="center" wrapText="1"/>
      <protection locked="0"/>
    </xf>
    <xf numFmtId="0" fontId="84" fillId="29" borderId="19" xfId="0" applyFont="1" applyFill="1" applyBorder="1" applyAlignment="1" applyProtection="1">
      <alignment horizontal="center" vertical="center" wrapText="1"/>
      <protection locked="0"/>
    </xf>
    <xf numFmtId="0" fontId="84" fillId="29" borderId="19" xfId="0" applyFont="1" applyFill="1" applyBorder="1" applyAlignment="1" applyProtection="1">
      <alignment vertical="center" wrapText="1"/>
      <protection locked="0"/>
    </xf>
    <xf numFmtId="0" fontId="84" fillId="29" borderId="26" xfId="0" applyFont="1" applyFill="1" applyBorder="1" applyAlignment="1" applyProtection="1">
      <alignment horizontal="center" vertical="center" wrapText="1"/>
      <protection locked="0"/>
    </xf>
    <xf numFmtId="0" fontId="84" fillId="29" borderId="26" xfId="0" applyFont="1" applyFill="1" applyBorder="1" applyAlignment="1" applyProtection="1">
      <alignment vertical="center" wrapText="1"/>
      <protection locked="0"/>
    </xf>
    <xf numFmtId="0" fontId="6" fillId="0" borderId="19" xfId="0" applyFont="1" applyBorder="1" applyAlignment="1">
      <alignment horizontal="justify" vertical="center" wrapText="1"/>
    </xf>
    <xf numFmtId="0" fontId="6" fillId="0" borderId="26" xfId="0" applyFont="1" applyBorder="1" applyAlignment="1">
      <alignment horizontal="justify" vertical="center" wrapText="1"/>
    </xf>
    <xf numFmtId="0" fontId="1" fillId="29" borderId="23" xfId="0" applyFont="1" applyFill="1" applyBorder="1" applyAlignment="1" applyProtection="1">
      <alignment horizontal="justify" vertical="center" wrapText="1"/>
      <protection locked="0"/>
    </xf>
    <xf numFmtId="0" fontId="85" fillId="29" borderId="23" xfId="0" applyFont="1" applyFill="1" applyBorder="1" applyAlignment="1" applyProtection="1">
      <alignment horizontal="justify" vertical="center" wrapText="1"/>
      <protection locked="0"/>
    </xf>
    <xf numFmtId="0" fontId="1" fillId="29" borderId="25" xfId="0" applyFont="1" applyFill="1" applyBorder="1" applyAlignment="1" applyProtection="1">
      <alignment horizontal="justify" vertical="center" wrapText="1"/>
      <protection locked="0"/>
    </xf>
    <xf numFmtId="0" fontId="1" fillId="0" borderId="19" xfId="0" applyFont="1" applyBorder="1" applyAlignment="1">
      <alignment horizontal="justify" vertical="center" wrapText="1"/>
    </xf>
    <xf numFmtId="0" fontId="1" fillId="0" borderId="124" xfId="0" applyFont="1" applyBorder="1" applyAlignment="1">
      <alignment horizontal="justify" vertical="center" wrapText="1"/>
    </xf>
    <xf numFmtId="0" fontId="1" fillId="0" borderId="23" xfId="0" applyFont="1" applyBorder="1" applyAlignment="1">
      <alignment horizontal="justify" vertical="center" wrapText="1"/>
    </xf>
    <xf numFmtId="0" fontId="1" fillId="0" borderId="26" xfId="0" applyFont="1" applyBorder="1" applyAlignment="1">
      <alignment horizontal="justify" vertical="center" wrapText="1"/>
    </xf>
    <xf numFmtId="0" fontId="1" fillId="0" borderId="27" xfId="0" applyFont="1" applyBorder="1" applyAlignment="1">
      <alignment horizontal="justify" vertical="center" wrapText="1"/>
    </xf>
    <xf numFmtId="0" fontId="1" fillId="0" borderId="25" xfId="0" applyFont="1" applyBorder="1" applyAlignment="1">
      <alignment horizontal="justify" vertical="center" wrapText="1"/>
    </xf>
    <xf numFmtId="14" fontId="1" fillId="29" borderId="117"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left" vertical="center" wrapText="1"/>
      <protection locked="0"/>
    </xf>
    <xf numFmtId="14" fontId="1" fillId="29" borderId="116" xfId="0" applyNumberFormat="1"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left" vertical="center" wrapText="1"/>
      <protection locked="0"/>
    </xf>
    <xf numFmtId="14" fontId="1" fillId="29" borderId="118" xfId="0" applyNumberFormat="1" applyFont="1" applyFill="1" applyBorder="1" applyAlignment="1" applyProtection="1">
      <alignment horizontal="left" vertical="center" wrapText="1"/>
      <protection locked="0"/>
    </xf>
    <xf numFmtId="14" fontId="1" fillId="29" borderId="26" xfId="0" applyNumberFormat="1"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center" vertical="center" wrapText="1"/>
      <protection locked="0"/>
    </xf>
    <xf numFmtId="14" fontId="87" fillId="29" borderId="19" xfId="8" applyNumberFormat="1" applyFill="1" applyBorder="1" applyAlignment="1" applyProtection="1">
      <alignment horizontal="center" vertical="center" wrapText="1"/>
      <protection locked="0"/>
    </xf>
    <xf numFmtId="14" fontId="2" fillId="29" borderId="110" xfId="0" applyNumberFormat="1" applyFont="1" applyFill="1" applyBorder="1" applyAlignment="1" applyProtection="1">
      <alignment horizontal="left" vertical="center" wrapText="1"/>
      <protection locked="0"/>
    </xf>
    <xf numFmtId="0" fontId="2" fillId="29" borderId="126" xfId="0" applyFont="1" applyFill="1" applyBorder="1" applyAlignment="1" applyProtection="1">
      <alignment horizontal="center" vertical="center"/>
      <protection locked="0"/>
    </xf>
    <xf numFmtId="0" fontId="57" fillId="15" borderId="0" xfId="5" applyFill="1"/>
    <xf numFmtId="0" fontId="1" fillId="33" borderId="23" xfId="0" applyFont="1" applyFill="1" applyBorder="1" applyAlignment="1">
      <alignment horizontal="justify" vertical="center" wrapText="1"/>
    </xf>
    <xf numFmtId="0" fontId="88" fillId="29" borderId="23" xfId="0" applyFont="1" applyFill="1" applyBorder="1" applyAlignment="1" applyProtection="1">
      <alignment horizontal="justify" vertical="center" wrapText="1"/>
      <protection locked="0"/>
    </xf>
    <xf numFmtId="0" fontId="2" fillId="29" borderId="112" xfId="0" applyFont="1" applyFill="1" applyBorder="1" applyAlignment="1" applyProtection="1">
      <alignment horizontal="justify" vertical="center" wrapText="1"/>
      <protection locked="0"/>
    </xf>
    <xf numFmtId="0" fontId="1" fillId="29" borderId="112" xfId="0" applyFont="1" applyFill="1" applyBorder="1" applyAlignment="1" applyProtection="1">
      <alignment horizontal="justify" vertical="center" wrapText="1"/>
      <protection locked="0"/>
    </xf>
    <xf numFmtId="0" fontId="2" fillId="29" borderId="19" xfId="0" applyFont="1" applyFill="1" applyBorder="1" applyAlignment="1" applyProtection="1">
      <alignment horizontal="justify" vertical="center" wrapText="1"/>
      <protection locked="0"/>
    </xf>
    <xf numFmtId="0" fontId="1" fillId="29" borderId="19" xfId="0" applyFont="1" applyFill="1" applyBorder="1" applyAlignment="1" applyProtection="1">
      <alignment horizontal="justify" vertical="center" wrapText="1"/>
      <protection locked="0"/>
    </xf>
    <xf numFmtId="0" fontId="86" fillId="29" borderId="19" xfId="0" applyFont="1" applyFill="1" applyBorder="1" applyAlignment="1" applyProtection="1">
      <alignment horizontal="justify" vertical="center" wrapText="1"/>
      <protection locked="0"/>
    </xf>
    <xf numFmtId="0" fontId="2" fillId="29" borderId="26" xfId="0" applyFont="1" applyFill="1" applyBorder="1" applyAlignment="1" applyProtection="1">
      <alignment horizontal="justify" vertical="center" wrapText="1"/>
      <protection locked="0"/>
    </xf>
    <xf numFmtId="0" fontId="1" fillId="29" borderId="26" xfId="0" applyFont="1" applyFill="1" applyBorder="1" applyAlignment="1" applyProtection="1">
      <alignment horizontal="justify" vertical="center" wrapText="1"/>
      <protection locked="0"/>
    </xf>
    <xf numFmtId="0" fontId="1" fillId="29" borderId="0" xfId="0" applyFont="1" applyFill="1" applyAlignment="1">
      <alignment horizontal="center" vertical="center" wrapText="1"/>
    </xf>
    <xf numFmtId="14" fontId="2" fillId="29" borderId="110"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justify" vertical="center" wrapText="1"/>
      <protection locked="0"/>
    </xf>
    <xf numFmtId="14" fontId="1" fillId="29" borderId="110" xfId="0" applyNumberFormat="1" applyFont="1" applyFill="1" applyBorder="1" applyAlignment="1" applyProtection="1">
      <alignment horizontal="justify" vertical="center" wrapText="1"/>
      <protection locked="0"/>
    </xf>
    <xf numFmtId="14" fontId="1" fillId="29" borderId="110" xfId="0" applyNumberFormat="1" applyFont="1" applyFill="1" applyBorder="1" applyAlignment="1" applyProtection="1">
      <alignment horizontal="justify" vertical="center"/>
      <protection locked="0"/>
    </xf>
    <xf numFmtId="0" fontId="88" fillId="29" borderId="19" xfId="0" applyFont="1" applyFill="1" applyBorder="1" applyAlignment="1" applyProtection="1">
      <alignment vertical="center" wrapText="1"/>
      <protection locked="0"/>
    </xf>
    <xf numFmtId="0" fontId="4" fillId="23" borderId="110" xfId="0" applyFont="1" applyFill="1" applyBorder="1" applyAlignment="1">
      <alignment horizontal="center" vertical="center" wrapText="1"/>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76" fillId="23" borderId="19"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57" fillId="15" borderId="73" xfId="5" applyFill="1" applyBorder="1" applyAlignment="1">
      <alignment horizontal="left" vertical="center" wrapText="1"/>
    </xf>
    <xf numFmtId="0" fontId="57" fillId="15" borderId="72" xfId="5" applyFill="1" applyBorder="1" applyAlignment="1">
      <alignment horizontal="left" vertical="center" wrapText="1"/>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1" fillId="29" borderId="115" xfId="0" applyFont="1" applyFill="1" applyBorder="1" applyAlignment="1" applyProtection="1">
      <alignment horizontal="center" vertical="center" wrapText="1"/>
      <protection locked="0"/>
    </xf>
    <xf numFmtId="0" fontId="1" fillId="29" borderId="141" xfId="0" applyFont="1" applyFill="1" applyBorder="1" applyAlignment="1" applyProtection="1">
      <alignment horizontal="center" vertical="center" wrapText="1"/>
      <protection locked="0"/>
    </xf>
    <xf numFmtId="0" fontId="1" fillId="29" borderId="142" xfId="0" applyFont="1" applyFill="1" applyBorder="1" applyAlignment="1" applyProtection="1">
      <alignment horizontal="center" vertical="center" wrapText="1"/>
      <protection locked="0"/>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4" fillId="0" borderId="19" xfId="0" applyFont="1" applyBorder="1" applyAlignment="1">
      <alignment horizontal="center" vertical="center" wrapText="1"/>
    </xf>
    <xf numFmtId="0" fontId="1" fillId="29" borderId="112" xfId="0" applyFont="1" applyFill="1" applyBorder="1" applyAlignment="1" applyProtection="1">
      <alignment horizontal="left" vertical="center" wrapText="1"/>
      <protection locked="0"/>
    </xf>
    <xf numFmtId="0" fontId="1" fillId="29" borderId="19" xfId="0" applyFont="1" applyFill="1" applyBorder="1" applyAlignment="1" applyProtection="1">
      <alignment horizontal="left" vertical="center" wrapText="1"/>
      <protection locked="0"/>
    </xf>
    <xf numFmtId="0" fontId="1" fillId="29" borderId="26" xfId="0" applyFont="1" applyFill="1" applyBorder="1" applyAlignment="1" applyProtection="1">
      <alignment horizontal="left" vertical="center" wrapText="1"/>
      <protection locked="0"/>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2" fillId="29" borderId="112" xfId="0" applyFont="1" applyFill="1" applyBorder="1" applyAlignment="1" applyProtection="1">
      <alignment horizontal="left" vertical="center" wrapText="1"/>
      <protection locked="0"/>
    </xf>
    <xf numFmtId="0" fontId="2" fillId="29" borderId="19" xfId="0" applyFont="1" applyFill="1" applyBorder="1" applyAlignment="1" applyProtection="1">
      <alignment horizontal="left" vertical="center" wrapText="1"/>
      <protection locked="0"/>
    </xf>
    <xf numFmtId="0" fontId="2" fillId="29" borderId="26" xfId="0" applyFont="1" applyFill="1" applyBorder="1" applyAlignment="1" applyProtection="1">
      <alignment horizontal="left" vertical="center" wrapText="1"/>
      <protection locked="0"/>
    </xf>
    <xf numFmtId="0" fontId="84" fillId="29" borderId="112" xfId="0" applyFont="1" applyFill="1" applyBorder="1" applyAlignment="1" applyProtection="1">
      <alignment horizontal="left" vertical="center" wrapText="1"/>
      <protection locked="0"/>
    </xf>
    <xf numFmtId="0" fontId="84" fillId="29" borderId="19" xfId="0" applyFont="1" applyFill="1" applyBorder="1" applyAlignment="1" applyProtection="1">
      <alignment horizontal="left" vertical="center" wrapText="1"/>
      <protection locked="0"/>
    </xf>
    <xf numFmtId="0" fontId="84" fillId="29" borderId="26" xfId="0" applyFont="1" applyFill="1" applyBorder="1" applyAlignment="1" applyProtection="1">
      <alignment horizontal="left" vertical="center" wrapText="1"/>
      <protection locked="0"/>
    </xf>
    <xf numFmtId="0" fontId="1" fillId="0" borderId="55" xfId="0" applyFont="1" applyBorder="1" applyAlignment="1">
      <alignment horizontal="center" vertical="center"/>
    </xf>
    <xf numFmtId="0" fontId="1" fillId="29" borderId="112" xfId="0" applyFont="1" applyFill="1" applyBorder="1" applyAlignment="1" applyProtection="1">
      <alignment horizontal="justify" vertical="center" wrapText="1"/>
      <protection locked="0"/>
    </xf>
    <xf numFmtId="0" fontId="1" fillId="29" borderId="19" xfId="0" applyFont="1" applyFill="1" applyBorder="1" applyAlignment="1" applyProtection="1">
      <alignment horizontal="justify" vertical="center" wrapText="1"/>
      <protection locked="0"/>
    </xf>
    <xf numFmtId="0" fontId="1" fillId="29" borderId="26" xfId="0" applyFont="1" applyFill="1" applyBorder="1" applyAlignment="1" applyProtection="1">
      <alignment horizontal="justify"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1" fillId="0" borderId="126" xfId="0" applyFont="1" applyBorder="1" applyAlignment="1">
      <alignment horizontal="center" vertical="center" wrapText="1"/>
    </xf>
    <xf numFmtId="0" fontId="1" fillId="0" borderId="141" xfId="0" applyFont="1" applyBorder="1" applyAlignment="1">
      <alignment horizontal="center" vertical="center" wrapText="1"/>
    </xf>
    <xf numFmtId="0" fontId="1" fillId="0" borderId="142" xfId="0" applyFont="1" applyBorder="1" applyAlignment="1">
      <alignment horizontal="center" vertical="center" wrapText="1"/>
    </xf>
    <xf numFmtId="0" fontId="1" fillId="0" borderId="115" xfId="0" applyFont="1" applyBorder="1" applyAlignment="1">
      <alignment horizontal="center" vertical="center" wrapText="1"/>
    </xf>
    <xf numFmtId="0" fontId="83" fillId="2" borderId="0" xfId="0" applyFont="1" applyFill="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76" fillId="0" borderId="19" xfId="0" applyFont="1" applyBorder="1" applyAlignment="1">
      <alignment horizontal="left" vertical="center" wrapText="1" indent="2"/>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6" fontId="61" fillId="2" borderId="110" xfId="6" applyNumberFormat="1" applyFont="1" applyFill="1" applyBorder="1" applyAlignment="1">
      <alignment horizontal="center" vertical="center"/>
    </xf>
    <xf numFmtId="166" fontId="61" fillId="2" borderId="120" xfId="6" applyNumberFormat="1" applyFont="1" applyFill="1" applyBorder="1" applyAlignment="1">
      <alignment horizontal="center" vertical="center"/>
    </xf>
    <xf numFmtId="166" fontId="61" fillId="2" borderId="20" xfId="6" applyNumberFormat="1" applyFont="1" applyFill="1" applyBorder="1" applyAlignment="1">
      <alignment horizontal="center" vertical="center"/>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9">
    <cellStyle name="Hipervínculo" xfId="8" builtinId="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157">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C000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00B050"/>
        </patternFill>
      </fill>
    </dxf>
    <dxf>
      <fill>
        <patternFill>
          <bgColor rgb="FFFFFF66"/>
        </patternFill>
      </fill>
    </dxf>
    <dxf>
      <fill>
        <patternFill>
          <bgColor rgb="FFFF0000"/>
        </patternFill>
      </fill>
    </dxf>
    <dxf>
      <fill>
        <patternFill>
          <bgColor rgb="FFFFC000"/>
        </patternFill>
      </fill>
    </dxf>
    <dxf>
      <font>
        <color auto="1"/>
      </font>
      <fill>
        <patternFill>
          <bgColor rgb="FF92D050"/>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FF66"/>
        </patternFill>
      </fill>
    </dxf>
    <dxf>
      <fill>
        <patternFill>
          <bgColor rgb="FFFFC000"/>
        </patternFill>
      </fill>
    </dxf>
    <dxf>
      <fill>
        <patternFill>
          <bgColor rgb="FFFF0000"/>
        </patternFill>
      </fill>
    </dxf>
    <dxf>
      <fill>
        <patternFill>
          <bgColor rgb="FF00B050"/>
        </patternFill>
      </fill>
    </dxf>
    <dxf>
      <font>
        <color auto="1"/>
      </font>
      <fill>
        <patternFill>
          <bgColor rgb="FF92D050"/>
        </patternFill>
      </fill>
    </dxf>
    <dxf>
      <font>
        <color rgb="FF9C0006"/>
      </font>
      <fill>
        <patternFill>
          <bgColor rgb="FFFFC7CE"/>
        </patternFill>
      </fill>
    </dxf>
    <dxf>
      <font>
        <color auto="1"/>
      </font>
      <fill>
        <patternFill>
          <bgColor rgb="FF92D050"/>
        </patternFill>
      </fill>
    </dxf>
    <dxf>
      <fill>
        <patternFill>
          <bgColor rgb="FFFF0000"/>
        </patternFill>
      </fill>
    </dxf>
    <dxf>
      <fill>
        <patternFill>
          <bgColor rgb="FF00B050"/>
        </patternFill>
      </fill>
    </dxf>
    <dxf>
      <fill>
        <patternFill>
          <bgColor rgb="FFFFC000"/>
        </patternFill>
      </fill>
    </dxf>
    <dxf>
      <fill>
        <patternFill>
          <bgColor rgb="FFFFFF66"/>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FF66"/>
        </patternFill>
      </fill>
    </dxf>
    <dxf>
      <font>
        <color auto="1"/>
      </font>
      <fill>
        <patternFill>
          <bgColor rgb="FF92D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66"/>
        </patternFill>
      </fill>
    </dxf>
    <dxf>
      <font>
        <color auto="1"/>
      </font>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66"/>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FF66"/>
        </patternFill>
      </fill>
    </dxf>
    <dxf>
      <font>
        <color auto="1"/>
      </font>
      <fill>
        <patternFill>
          <bgColor rgb="FF92D050"/>
        </patternFill>
      </fill>
    </dxf>
    <dxf>
      <fill>
        <patternFill>
          <bgColor rgb="FF00B050"/>
        </patternFill>
      </fill>
    </dxf>
    <dxf>
      <fill>
        <patternFill>
          <bgColor rgb="FFFF0000"/>
        </patternFill>
      </fill>
    </dxf>
    <dxf>
      <fill>
        <patternFill>
          <bgColor rgb="FFFFC000"/>
        </patternFill>
      </fill>
    </dxf>
  </dxfs>
  <tableStyles count="0" defaultTableStyle="TableStyleMedium2" defaultPivotStyle="PivotStyleLight16"/>
  <colors>
    <mruColors>
      <color rgb="FFFFFFEB"/>
      <color rgb="FF375623"/>
      <color rgb="FFFFCC00"/>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row r="1">
          <cell r="J1" t="str">
            <v>ALTA</v>
          </cell>
        </row>
        <row r="2">
          <cell r="J2" t="str">
            <v>BAJA</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row r="5">
          <cell r="B5">
            <v>1</v>
          </cell>
          <cell r="N5">
            <v>1</v>
          </cell>
        </row>
        <row r="6">
          <cell r="B6">
            <v>2</v>
          </cell>
          <cell r="N6">
            <v>2</v>
          </cell>
        </row>
        <row r="7">
          <cell r="B7">
            <v>3</v>
          </cell>
          <cell r="N7">
            <v>3</v>
          </cell>
        </row>
        <row r="8">
          <cell r="B8">
            <v>4</v>
          </cell>
          <cell r="N8">
            <v>4</v>
          </cell>
        </row>
        <row r="9">
          <cell r="B9">
            <v>5</v>
          </cell>
          <cell r="N9">
            <v>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2"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86" t="s">
        <v>0</v>
      </c>
      <c r="C3" s="362"/>
      <c r="D3" s="362"/>
      <c r="E3" s="362"/>
      <c r="F3" s="362"/>
      <c r="G3" s="362"/>
      <c r="H3" s="362"/>
      <c r="I3" s="362"/>
      <c r="J3" s="362"/>
      <c r="K3" s="363"/>
      <c r="L3" s="114"/>
      <c r="M3" s="121"/>
      <c r="N3" s="392" t="s">
        <v>1</v>
      </c>
      <c r="O3" s="362"/>
      <c r="P3" s="363"/>
      <c r="Q3" s="122"/>
      <c r="R3" s="123"/>
      <c r="S3" s="124"/>
      <c r="T3" s="393" t="s">
        <v>2</v>
      </c>
      <c r="U3" s="363"/>
      <c r="V3" s="122"/>
      <c r="W3" s="123"/>
    </row>
    <row r="4" spans="1:26" x14ac:dyDescent="0.25">
      <c r="A4" s="121"/>
      <c r="B4" s="125" t="s">
        <v>3</v>
      </c>
      <c r="C4" s="394" t="s">
        <v>4</v>
      </c>
      <c r="D4" s="354"/>
      <c r="E4" s="394" t="s">
        <v>5</v>
      </c>
      <c r="F4" s="356"/>
      <c r="G4" s="354"/>
      <c r="H4" s="394" t="s">
        <v>6</v>
      </c>
      <c r="I4" s="356"/>
      <c r="J4" s="356"/>
      <c r="K4" s="349"/>
      <c r="L4" s="114"/>
      <c r="M4" s="121"/>
      <c r="N4" s="126" t="s">
        <v>3</v>
      </c>
      <c r="O4" s="127" t="s">
        <v>4</v>
      </c>
      <c r="P4" s="128" t="s">
        <v>5</v>
      </c>
      <c r="Q4" s="122"/>
      <c r="R4" s="123"/>
      <c r="S4" s="124"/>
      <c r="T4" s="126" t="s">
        <v>7</v>
      </c>
      <c r="U4" s="128" t="s">
        <v>8</v>
      </c>
      <c r="V4" s="122"/>
      <c r="W4" s="123"/>
    </row>
    <row r="5" spans="1:26" ht="43.5" customHeight="1" x14ac:dyDescent="0.25">
      <c r="A5" s="121"/>
      <c r="B5" s="129">
        <v>1</v>
      </c>
      <c r="C5" s="387" t="s">
        <v>9</v>
      </c>
      <c r="D5" s="354"/>
      <c r="E5" s="388" t="s">
        <v>10</v>
      </c>
      <c r="F5" s="356"/>
      <c r="G5" s="354"/>
      <c r="H5" s="388" t="s">
        <v>11</v>
      </c>
      <c r="I5" s="356"/>
      <c r="J5" s="356"/>
      <c r="K5" s="349"/>
      <c r="L5" s="114"/>
      <c r="M5" s="121"/>
      <c r="N5" s="130">
        <v>1</v>
      </c>
      <c r="O5" s="131" t="s">
        <v>12</v>
      </c>
      <c r="P5" s="132" t="s">
        <v>13</v>
      </c>
      <c r="Q5" s="122"/>
      <c r="R5" s="123"/>
      <c r="S5" s="124"/>
      <c r="T5" s="133" t="s">
        <v>14</v>
      </c>
      <c r="U5" s="134" t="s">
        <v>15</v>
      </c>
      <c r="V5" s="122"/>
      <c r="W5" s="123"/>
    </row>
    <row r="6" spans="1:26" ht="30" customHeight="1" x14ac:dyDescent="0.25">
      <c r="A6" s="121"/>
      <c r="B6" s="129">
        <v>2</v>
      </c>
      <c r="C6" s="387" t="s">
        <v>16</v>
      </c>
      <c r="D6" s="354"/>
      <c r="E6" s="388" t="s">
        <v>17</v>
      </c>
      <c r="F6" s="356"/>
      <c r="G6" s="354"/>
      <c r="H6" s="388" t="s">
        <v>18</v>
      </c>
      <c r="I6" s="356"/>
      <c r="J6" s="356"/>
      <c r="K6" s="349"/>
      <c r="L6" s="114"/>
      <c r="M6" s="121"/>
      <c r="N6" s="130">
        <v>2</v>
      </c>
      <c r="O6" s="131" t="s">
        <v>19</v>
      </c>
      <c r="P6" s="132" t="s">
        <v>20</v>
      </c>
      <c r="Q6" s="122"/>
      <c r="R6" s="123"/>
      <c r="S6" s="124"/>
      <c r="T6" s="133" t="s">
        <v>21</v>
      </c>
      <c r="U6" s="134" t="s">
        <v>22</v>
      </c>
      <c r="V6" s="122"/>
      <c r="W6" s="123"/>
    </row>
    <row r="7" spans="1:26" ht="35.25" customHeight="1" x14ac:dyDescent="0.25">
      <c r="A7" s="121"/>
      <c r="B7" s="129">
        <v>3</v>
      </c>
      <c r="C7" s="387" t="s">
        <v>23</v>
      </c>
      <c r="D7" s="354"/>
      <c r="E7" s="388" t="s">
        <v>24</v>
      </c>
      <c r="F7" s="356"/>
      <c r="G7" s="354"/>
      <c r="H7" s="388" t="s">
        <v>25</v>
      </c>
      <c r="I7" s="356"/>
      <c r="J7" s="356"/>
      <c r="K7" s="349"/>
      <c r="L7" s="114"/>
      <c r="M7" s="121"/>
      <c r="N7" s="130">
        <v>3</v>
      </c>
      <c r="O7" s="131" t="s">
        <v>26</v>
      </c>
      <c r="P7" s="132" t="s">
        <v>27</v>
      </c>
      <c r="Q7" s="122"/>
      <c r="R7" s="123"/>
      <c r="S7" s="124"/>
      <c r="T7" s="133" t="s">
        <v>28</v>
      </c>
      <c r="U7" s="134" t="s">
        <v>29</v>
      </c>
      <c r="V7" s="122"/>
      <c r="W7" s="123"/>
    </row>
    <row r="8" spans="1:26" ht="35.25" customHeight="1" x14ac:dyDescent="0.25">
      <c r="A8" s="121"/>
      <c r="B8" s="129">
        <v>4</v>
      </c>
      <c r="C8" s="387" t="s">
        <v>30</v>
      </c>
      <c r="D8" s="354"/>
      <c r="E8" s="388" t="s">
        <v>31</v>
      </c>
      <c r="F8" s="356"/>
      <c r="G8" s="354"/>
      <c r="H8" s="388" t="s">
        <v>32</v>
      </c>
      <c r="I8" s="356"/>
      <c r="J8" s="356"/>
      <c r="K8" s="349"/>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89" t="s">
        <v>37</v>
      </c>
      <c r="D9" s="344"/>
      <c r="E9" s="390" t="s">
        <v>38</v>
      </c>
      <c r="F9" s="346"/>
      <c r="G9" s="344"/>
      <c r="H9" s="389" t="s">
        <v>39</v>
      </c>
      <c r="I9" s="346"/>
      <c r="J9" s="346"/>
      <c r="K9" s="347"/>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324"/>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91" t="s">
        <v>49</v>
      </c>
      <c r="C16" s="342"/>
      <c r="D16" s="342"/>
      <c r="E16" s="342"/>
      <c r="F16" s="342"/>
      <c r="G16" s="342"/>
      <c r="H16" s="342"/>
      <c r="I16" s="342"/>
      <c r="J16" s="342"/>
      <c r="K16" s="342"/>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86" t="s">
        <v>50</v>
      </c>
      <c r="O17" s="362"/>
      <c r="P17" s="362"/>
      <c r="Q17" s="363"/>
      <c r="R17" s="150"/>
      <c r="S17" s="124"/>
      <c r="T17" s="386" t="s">
        <v>51</v>
      </c>
      <c r="U17" s="363"/>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66" t="s">
        <v>55</v>
      </c>
      <c r="O18" s="369" t="s">
        <v>56</v>
      </c>
      <c r="P18" s="370"/>
      <c r="Q18" s="371"/>
      <c r="R18" s="156"/>
      <c r="S18" s="157"/>
      <c r="T18" s="377" t="s">
        <v>57</v>
      </c>
      <c r="U18" s="378"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67"/>
      <c r="O19" s="372"/>
      <c r="P19" s="351"/>
      <c r="Q19" s="373"/>
      <c r="R19" s="156"/>
      <c r="S19" s="161"/>
      <c r="T19" s="367"/>
      <c r="U19" s="379"/>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67"/>
      <c r="O20" s="372"/>
      <c r="P20" s="351"/>
      <c r="Q20" s="373"/>
      <c r="R20" s="156"/>
      <c r="S20" s="157"/>
      <c r="T20" s="368"/>
      <c r="U20" s="380"/>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68"/>
      <c r="O21" s="374"/>
      <c r="P21" s="375"/>
      <c r="Q21" s="376"/>
      <c r="R21" s="156"/>
      <c r="S21" s="121"/>
      <c r="T21" s="377" t="s">
        <v>57</v>
      </c>
      <c r="U21" s="378"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66" t="s">
        <v>64</v>
      </c>
      <c r="O22" s="369" t="s">
        <v>65</v>
      </c>
      <c r="P22" s="370"/>
      <c r="Q22" s="371"/>
      <c r="R22" s="156"/>
      <c r="S22" s="124"/>
      <c r="T22" s="367"/>
      <c r="U22" s="379"/>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67"/>
      <c r="O23" s="372"/>
      <c r="P23" s="351"/>
      <c r="Q23" s="373"/>
      <c r="R23" s="156"/>
      <c r="S23" s="121"/>
      <c r="T23" s="367"/>
      <c r="U23" s="379"/>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67"/>
      <c r="O24" s="372"/>
      <c r="P24" s="351"/>
      <c r="Q24" s="373"/>
      <c r="R24" s="156"/>
      <c r="S24" s="124"/>
      <c r="T24" s="367"/>
      <c r="U24" s="379"/>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68"/>
      <c r="O25" s="374"/>
      <c r="P25" s="375"/>
      <c r="Q25" s="376"/>
      <c r="R25" s="156"/>
      <c r="S25" s="121"/>
      <c r="T25" s="367"/>
      <c r="U25" s="379"/>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66" t="s">
        <v>68</v>
      </c>
      <c r="O26" s="369" t="s">
        <v>69</v>
      </c>
      <c r="P26" s="370"/>
      <c r="Q26" s="371"/>
      <c r="R26" s="156"/>
      <c r="S26" s="124"/>
      <c r="T26" s="367"/>
      <c r="U26" s="379"/>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68"/>
      <c r="O27" s="374"/>
      <c r="P27" s="375"/>
      <c r="Q27" s="376"/>
      <c r="R27" s="156"/>
      <c r="S27" s="124"/>
      <c r="T27" s="367"/>
      <c r="U27" s="379"/>
      <c r="V27" s="122"/>
      <c r="W27" s="123"/>
    </row>
    <row r="28" spans="1:26" ht="24.75" customHeight="1" x14ac:dyDescent="0.25">
      <c r="A28" s="121"/>
      <c r="B28" s="114"/>
      <c r="C28" s="114"/>
      <c r="D28" s="114"/>
      <c r="E28" s="114"/>
      <c r="F28" s="114"/>
      <c r="G28" s="114"/>
      <c r="H28" s="114"/>
      <c r="I28" s="114"/>
      <c r="J28" s="114"/>
      <c r="K28" s="114"/>
      <c r="L28" s="149"/>
      <c r="M28" s="122"/>
      <c r="N28" s="366" t="s">
        <v>75</v>
      </c>
      <c r="O28" s="369" t="s">
        <v>76</v>
      </c>
      <c r="P28" s="370"/>
      <c r="Q28" s="371"/>
      <c r="R28" s="156"/>
      <c r="S28" s="124"/>
      <c r="T28" s="368"/>
      <c r="U28" s="380"/>
      <c r="V28" s="122"/>
      <c r="W28" s="123"/>
    </row>
    <row r="29" spans="1:26" ht="15.75" customHeight="1" x14ac:dyDescent="0.25">
      <c r="A29" s="124"/>
      <c r="B29" s="122"/>
      <c r="C29" s="114"/>
      <c r="D29" s="114"/>
      <c r="E29" s="114"/>
      <c r="F29" s="114"/>
      <c r="G29" s="114"/>
      <c r="H29" s="114"/>
      <c r="I29" s="114"/>
      <c r="J29" s="114"/>
      <c r="K29" s="114"/>
      <c r="L29" s="149"/>
      <c r="M29" s="122"/>
      <c r="N29" s="367"/>
      <c r="O29" s="372"/>
      <c r="P29" s="351"/>
      <c r="Q29" s="373"/>
      <c r="R29" s="156"/>
      <c r="S29" s="124"/>
      <c r="T29" s="377" t="s">
        <v>77</v>
      </c>
      <c r="U29" s="378" t="s">
        <v>78</v>
      </c>
      <c r="V29" s="122"/>
      <c r="W29" s="123"/>
    </row>
    <row r="30" spans="1:26" ht="15.75" customHeight="1" x14ac:dyDescent="0.25">
      <c r="A30" s="124"/>
      <c r="B30" s="122"/>
      <c r="C30" s="122"/>
      <c r="D30" s="114"/>
      <c r="E30" s="122"/>
      <c r="F30" s="114"/>
      <c r="G30" s="122"/>
      <c r="H30" s="114"/>
      <c r="I30" s="122"/>
      <c r="J30" s="114"/>
      <c r="K30" s="122"/>
      <c r="L30" s="123"/>
      <c r="M30" s="122"/>
      <c r="N30" s="367"/>
      <c r="O30" s="372"/>
      <c r="P30" s="351"/>
      <c r="Q30" s="373"/>
      <c r="R30" s="156"/>
      <c r="S30" s="124"/>
      <c r="T30" s="367"/>
      <c r="U30" s="379"/>
      <c r="V30" s="122"/>
      <c r="W30" s="123"/>
    </row>
    <row r="31" spans="1:26" ht="15.75" customHeight="1" thickBot="1" x14ac:dyDescent="0.3">
      <c r="A31" s="124"/>
      <c r="B31" s="122"/>
      <c r="C31" s="122"/>
      <c r="D31" s="114"/>
      <c r="E31" s="122"/>
      <c r="F31" s="114"/>
      <c r="G31" s="122"/>
      <c r="H31" s="114"/>
      <c r="I31" s="122"/>
      <c r="J31" s="114"/>
      <c r="K31" s="122"/>
      <c r="L31" s="123"/>
      <c r="M31" s="122"/>
      <c r="N31" s="381"/>
      <c r="O31" s="382"/>
      <c r="P31" s="383"/>
      <c r="Q31" s="384"/>
      <c r="R31" s="156"/>
      <c r="S31" s="124"/>
      <c r="T31" s="381"/>
      <c r="U31" s="385"/>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59" t="s">
        <v>79</v>
      </c>
      <c r="C39" s="360"/>
      <c r="D39" s="361" t="s">
        <v>5</v>
      </c>
      <c r="E39" s="362"/>
      <c r="F39" s="362"/>
      <c r="G39" s="362"/>
      <c r="H39" s="362"/>
      <c r="I39" s="362"/>
      <c r="J39" s="362"/>
      <c r="K39" s="363"/>
      <c r="L39" s="123"/>
      <c r="M39" s="124"/>
      <c r="N39" s="364" t="s">
        <v>80</v>
      </c>
      <c r="O39" s="362"/>
      <c r="P39" s="363"/>
      <c r="Q39" s="174"/>
      <c r="R39" s="123"/>
    </row>
    <row r="40" spans="1:23" ht="110.25" customHeight="1" x14ac:dyDescent="0.25">
      <c r="A40" s="124"/>
      <c r="B40" s="353" t="s">
        <v>81</v>
      </c>
      <c r="C40" s="354"/>
      <c r="D40" s="355" t="s">
        <v>82</v>
      </c>
      <c r="E40" s="356"/>
      <c r="F40" s="356"/>
      <c r="G40" s="356"/>
      <c r="H40" s="356"/>
      <c r="I40" s="356"/>
      <c r="J40" s="356"/>
      <c r="K40" s="349"/>
      <c r="L40" s="123"/>
      <c r="M40" s="124"/>
      <c r="N40" s="175" t="s">
        <v>83</v>
      </c>
      <c r="O40" s="365" t="s">
        <v>84</v>
      </c>
      <c r="P40" s="349"/>
      <c r="Q40" s="122"/>
      <c r="R40" s="123"/>
    </row>
    <row r="41" spans="1:23" ht="62.25" customHeight="1" x14ac:dyDescent="0.25">
      <c r="A41" s="124"/>
      <c r="B41" s="353" t="s">
        <v>85</v>
      </c>
      <c r="C41" s="354"/>
      <c r="D41" s="355" t="s">
        <v>86</v>
      </c>
      <c r="E41" s="356"/>
      <c r="F41" s="356"/>
      <c r="G41" s="356"/>
      <c r="H41" s="356"/>
      <c r="I41" s="356"/>
      <c r="J41" s="356"/>
      <c r="K41" s="349"/>
      <c r="L41" s="123"/>
      <c r="M41" s="124"/>
      <c r="N41" s="176" t="s">
        <v>87</v>
      </c>
      <c r="O41" s="348" t="s">
        <v>88</v>
      </c>
      <c r="P41" s="349"/>
      <c r="Q41" s="122"/>
      <c r="R41" s="123"/>
    </row>
    <row r="42" spans="1:23" ht="78" customHeight="1" x14ac:dyDescent="0.25">
      <c r="A42" s="124"/>
      <c r="B42" s="353" t="s">
        <v>89</v>
      </c>
      <c r="C42" s="354"/>
      <c r="D42" s="355" t="s">
        <v>90</v>
      </c>
      <c r="E42" s="357"/>
      <c r="F42" s="357"/>
      <c r="G42" s="357"/>
      <c r="H42" s="357"/>
      <c r="I42" s="357"/>
      <c r="J42" s="357"/>
      <c r="K42" s="358"/>
      <c r="L42" s="123"/>
      <c r="M42" s="124"/>
      <c r="N42" s="176" t="s">
        <v>60</v>
      </c>
      <c r="O42" s="348" t="s">
        <v>91</v>
      </c>
      <c r="P42" s="349"/>
      <c r="Q42" s="122"/>
      <c r="R42" s="123"/>
    </row>
    <row r="43" spans="1:23" ht="75.75" customHeight="1" thickBot="1" x14ac:dyDescent="0.3">
      <c r="A43" s="124"/>
      <c r="B43" s="343" t="s">
        <v>92</v>
      </c>
      <c r="C43" s="344"/>
      <c r="D43" s="345" t="s">
        <v>93</v>
      </c>
      <c r="E43" s="346"/>
      <c r="F43" s="346"/>
      <c r="G43" s="346"/>
      <c r="H43" s="346"/>
      <c r="I43" s="346"/>
      <c r="J43" s="346"/>
      <c r="K43" s="347"/>
      <c r="L43" s="123"/>
      <c r="M43" s="124"/>
      <c r="N43" s="176" t="s">
        <v>94</v>
      </c>
      <c r="O43" s="348" t="s">
        <v>95</v>
      </c>
      <c r="P43" s="349"/>
      <c r="Q43" s="122"/>
      <c r="R43" s="123"/>
    </row>
    <row r="44" spans="1:23" ht="32.25" customHeight="1" thickBot="1" x14ac:dyDescent="0.3">
      <c r="A44" s="124"/>
      <c r="B44" s="350"/>
      <c r="C44" s="351"/>
      <c r="D44" s="341"/>
      <c r="E44" s="342"/>
      <c r="F44" s="342"/>
      <c r="G44" s="342"/>
      <c r="H44" s="342"/>
      <c r="I44" s="342"/>
      <c r="J44" s="342"/>
      <c r="K44" s="342"/>
      <c r="L44" s="123"/>
      <c r="M44" s="124"/>
      <c r="N44" s="177" t="s">
        <v>96</v>
      </c>
      <c r="O44" s="352" t="s">
        <v>97</v>
      </c>
      <c r="P44" s="347"/>
      <c r="Q44" s="122"/>
      <c r="R44" s="123"/>
    </row>
    <row r="45" spans="1:23" ht="15.75" customHeight="1" x14ac:dyDescent="0.25">
      <c r="A45" s="124"/>
      <c r="B45" s="122"/>
      <c r="C45" s="122"/>
      <c r="D45" s="341"/>
      <c r="E45" s="342"/>
      <c r="F45" s="342"/>
      <c r="G45" s="342"/>
      <c r="H45" s="342"/>
      <c r="I45" s="342"/>
      <c r="J45" s="342"/>
      <c r="K45" s="342"/>
      <c r="L45" s="123"/>
      <c r="M45" s="124"/>
      <c r="N45" s="122"/>
      <c r="O45" s="122"/>
      <c r="P45" s="122"/>
      <c r="Q45" s="122"/>
      <c r="R45" s="123"/>
    </row>
    <row r="46" spans="1:23" ht="15.75" customHeight="1" x14ac:dyDescent="0.25">
      <c r="A46" s="124"/>
      <c r="B46" s="122"/>
      <c r="C46" s="122"/>
      <c r="D46" s="341"/>
      <c r="E46" s="342"/>
      <c r="F46" s="342"/>
      <c r="G46" s="342"/>
      <c r="H46" s="342"/>
      <c r="I46" s="342"/>
      <c r="J46" s="342"/>
      <c r="K46" s="342"/>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95" t="s">
        <v>119</v>
      </c>
      <c r="C2" s="396"/>
      <c r="D2" s="396"/>
      <c r="E2" s="396"/>
      <c r="F2" s="396"/>
      <c r="G2" s="396"/>
      <c r="H2" s="397"/>
    </row>
    <row r="3" spans="2:8" x14ac:dyDescent="0.25">
      <c r="B3" s="74"/>
      <c r="C3" s="75"/>
      <c r="D3" s="75"/>
      <c r="E3" s="75"/>
      <c r="F3" s="75"/>
      <c r="G3" s="75"/>
      <c r="H3" s="76"/>
    </row>
    <row r="4" spans="2:8" ht="63" customHeight="1" x14ac:dyDescent="0.25">
      <c r="B4" s="398" t="s">
        <v>120</v>
      </c>
      <c r="C4" s="399"/>
      <c r="D4" s="399"/>
      <c r="E4" s="399"/>
      <c r="F4" s="399"/>
      <c r="G4" s="399"/>
      <c r="H4" s="400"/>
    </row>
    <row r="5" spans="2:8" ht="63" customHeight="1" x14ac:dyDescent="0.25">
      <c r="B5" s="401"/>
      <c r="C5" s="402"/>
      <c r="D5" s="402"/>
      <c r="E5" s="402"/>
      <c r="F5" s="402"/>
      <c r="G5" s="402"/>
      <c r="H5" s="403"/>
    </row>
    <row r="6" spans="2:8" ht="16.5" x14ac:dyDescent="0.25">
      <c r="B6" s="404" t="s">
        <v>121</v>
      </c>
      <c r="C6" s="405"/>
      <c r="D6" s="405"/>
      <c r="E6" s="405"/>
      <c r="F6" s="405"/>
      <c r="G6" s="405"/>
      <c r="H6" s="406"/>
    </row>
    <row r="7" spans="2:8" ht="95.25" customHeight="1" x14ac:dyDescent="0.25">
      <c r="B7" s="414" t="s">
        <v>122</v>
      </c>
      <c r="C7" s="415"/>
      <c r="D7" s="415"/>
      <c r="E7" s="415"/>
      <c r="F7" s="415"/>
      <c r="G7" s="415"/>
      <c r="H7" s="416"/>
    </row>
    <row r="8" spans="2:8" ht="16.5" x14ac:dyDescent="0.25">
      <c r="B8" s="110"/>
      <c r="C8" s="111"/>
      <c r="D8" s="111"/>
      <c r="E8" s="111"/>
      <c r="F8" s="111"/>
      <c r="G8" s="111"/>
      <c r="H8" s="112"/>
    </row>
    <row r="9" spans="2:8" ht="16.5" customHeight="1" x14ac:dyDescent="0.25">
      <c r="B9" s="407" t="s">
        <v>123</v>
      </c>
      <c r="C9" s="408"/>
      <c r="D9" s="408"/>
      <c r="E9" s="408"/>
      <c r="F9" s="408"/>
      <c r="G9" s="408"/>
      <c r="H9" s="409"/>
    </row>
    <row r="10" spans="2:8" ht="44.25" customHeight="1" x14ac:dyDescent="0.25">
      <c r="B10" s="407"/>
      <c r="C10" s="408"/>
      <c r="D10" s="408"/>
      <c r="E10" s="408"/>
      <c r="F10" s="408"/>
      <c r="G10" s="408"/>
      <c r="H10" s="409"/>
    </row>
    <row r="11" spans="2:8" ht="15.75" thickBot="1" x14ac:dyDescent="0.3">
      <c r="B11" s="99"/>
      <c r="C11" s="102"/>
      <c r="D11" s="107"/>
      <c r="E11" s="108"/>
      <c r="F11" s="108"/>
      <c r="G11" s="109"/>
      <c r="H11" s="103"/>
    </row>
    <row r="12" spans="2:8" ht="15.75" thickTop="1" x14ac:dyDescent="0.25">
      <c r="B12" s="99"/>
      <c r="C12" s="410" t="s">
        <v>124</v>
      </c>
      <c r="D12" s="411"/>
      <c r="E12" s="412" t="s">
        <v>125</v>
      </c>
      <c r="F12" s="413"/>
      <c r="G12" s="102"/>
      <c r="H12" s="103"/>
    </row>
    <row r="13" spans="2:8" ht="35.25" customHeight="1" x14ac:dyDescent="0.25">
      <c r="B13" s="99"/>
      <c r="C13" s="417" t="s">
        <v>126</v>
      </c>
      <c r="D13" s="418"/>
      <c r="E13" s="419" t="s">
        <v>127</v>
      </c>
      <c r="F13" s="420"/>
      <c r="G13" s="102"/>
      <c r="H13" s="103"/>
    </row>
    <row r="14" spans="2:8" ht="17.25" customHeight="1" x14ac:dyDescent="0.25">
      <c r="B14" s="99"/>
      <c r="C14" s="417" t="s">
        <v>128</v>
      </c>
      <c r="D14" s="418"/>
      <c r="E14" s="419" t="s">
        <v>129</v>
      </c>
      <c r="F14" s="420"/>
      <c r="G14" s="102"/>
      <c r="H14" s="103"/>
    </row>
    <row r="15" spans="2:8" ht="19.5" customHeight="1" x14ac:dyDescent="0.25">
      <c r="B15" s="99"/>
      <c r="C15" s="417" t="s">
        <v>130</v>
      </c>
      <c r="D15" s="418"/>
      <c r="E15" s="419" t="s">
        <v>131</v>
      </c>
      <c r="F15" s="420"/>
      <c r="G15" s="102"/>
      <c r="H15" s="103"/>
    </row>
    <row r="16" spans="2:8" ht="69.75" customHeight="1" x14ac:dyDescent="0.25">
      <c r="B16" s="99"/>
      <c r="C16" s="436" t="s">
        <v>132</v>
      </c>
      <c r="D16" s="437"/>
      <c r="E16" s="419" t="s">
        <v>133</v>
      </c>
      <c r="F16" s="420"/>
      <c r="G16" s="102"/>
      <c r="H16" s="103"/>
    </row>
    <row r="17" spans="2:8" ht="34.5" customHeight="1" x14ac:dyDescent="0.25">
      <c r="B17" s="99"/>
      <c r="C17" s="421" t="s">
        <v>134</v>
      </c>
      <c r="D17" s="422"/>
      <c r="E17" s="423" t="s">
        <v>135</v>
      </c>
      <c r="F17" s="424"/>
      <c r="G17" s="102"/>
      <c r="H17" s="103"/>
    </row>
    <row r="18" spans="2:8" ht="27.75" customHeight="1" x14ac:dyDescent="0.25">
      <c r="B18" s="99"/>
      <c r="C18" s="421" t="s">
        <v>136</v>
      </c>
      <c r="D18" s="422"/>
      <c r="E18" s="423" t="s">
        <v>137</v>
      </c>
      <c r="F18" s="424"/>
      <c r="G18" s="102"/>
      <c r="H18" s="103"/>
    </row>
    <row r="19" spans="2:8" ht="28.5" customHeight="1" x14ac:dyDescent="0.25">
      <c r="B19" s="99"/>
      <c r="C19" s="421" t="s">
        <v>138</v>
      </c>
      <c r="D19" s="422"/>
      <c r="E19" s="423" t="s">
        <v>139</v>
      </c>
      <c r="F19" s="424"/>
      <c r="G19" s="102"/>
      <c r="H19" s="103"/>
    </row>
    <row r="20" spans="2:8" ht="72.75" customHeight="1" x14ac:dyDescent="0.25">
      <c r="B20" s="99"/>
      <c r="C20" s="421" t="s">
        <v>140</v>
      </c>
      <c r="D20" s="422"/>
      <c r="E20" s="423" t="s">
        <v>141</v>
      </c>
      <c r="F20" s="424"/>
      <c r="G20" s="102"/>
      <c r="H20" s="103"/>
    </row>
    <row r="21" spans="2:8" ht="64.5" customHeight="1" x14ac:dyDescent="0.25">
      <c r="B21" s="99"/>
      <c r="C21" s="421" t="s">
        <v>142</v>
      </c>
      <c r="D21" s="422"/>
      <c r="E21" s="423" t="s">
        <v>143</v>
      </c>
      <c r="F21" s="424"/>
      <c r="G21" s="102"/>
      <c r="H21" s="103"/>
    </row>
    <row r="22" spans="2:8" ht="71.25" customHeight="1" x14ac:dyDescent="0.25">
      <c r="B22" s="99"/>
      <c r="C22" s="421" t="s">
        <v>144</v>
      </c>
      <c r="D22" s="422"/>
      <c r="E22" s="423" t="s">
        <v>145</v>
      </c>
      <c r="F22" s="424"/>
      <c r="G22" s="102"/>
      <c r="H22" s="103"/>
    </row>
    <row r="23" spans="2:8" ht="55.5" customHeight="1" x14ac:dyDescent="0.25">
      <c r="B23" s="99"/>
      <c r="C23" s="428" t="s">
        <v>146</v>
      </c>
      <c r="D23" s="429"/>
      <c r="E23" s="423" t="s">
        <v>147</v>
      </c>
      <c r="F23" s="424"/>
      <c r="G23" s="102"/>
      <c r="H23" s="103"/>
    </row>
    <row r="24" spans="2:8" ht="42" customHeight="1" x14ac:dyDescent="0.25">
      <c r="B24" s="99"/>
      <c r="C24" s="428" t="s">
        <v>148</v>
      </c>
      <c r="D24" s="429"/>
      <c r="E24" s="423" t="s">
        <v>149</v>
      </c>
      <c r="F24" s="424"/>
      <c r="G24" s="102"/>
      <c r="H24" s="103"/>
    </row>
    <row r="25" spans="2:8" ht="59.25" customHeight="1" x14ac:dyDescent="0.25">
      <c r="B25" s="99"/>
      <c r="C25" s="428" t="s">
        <v>150</v>
      </c>
      <c r="D25" s="429"/>
      <c r="E25" s="423" t="s">
        <v>151</v>
      </c>
      <c r="F25" s="424"/>
      <c r="G25" s="102"/>
      <c r="H25" s="103"/>
    </row>
    <row r="26" spans="2:8" ht="23.25" customHeight="1" x14ac:dyDescent="0.25">
      <c r="B26" s="99"/>
      <c r="C26" s="428" t="s">
        <v>152</v>
      </c>
      <c r="D26" s="429"/>
      <c r="E26" s="423" t="s">
        <v>153</v>
      </c>
      <c r="F26" s="424"/>
      <c r="G26" s="102"/>
      <c r="H26" s="103"/>
    </row>
    <row r="27" spans="2:8" ht="30.75" customHeight="1" x14ac:dyDescent="0.25">
      <c r="B27" s="99"/>
      <c r="C27" s="428" t="s">
        <v>154</v>
      </c>
      <c r="D27" s="429"/>
      <c r="E27" s="423" t="s">
        <v>155</v>
      </c>
      <c r="F27" s="424"/>
      <c r="G27" s="102"/>
      <c r="H27" s="103"/>
    </row>
    <row r="28" spans="2:8" ht="35.25" customHeight="1" x14ac:dyDescent="0.25">
      <c r="B28" s="99"/>
      <c r="C28" s="428" t="s">
        <v>156</v>
      </c>
      <c r="D28" s="429"/>
      <c r="E28" s="423" t="s">
        <v>157</v>
      </c>
      <c r="F28" s="424"/>
      <c r="G28" s="102"/>
      <c r="H28" s="103"/>
    </row>
    <row r="29" spans="2:8" ht="33" customHeight="1" x14ac:dyDescent="0.25">
      <c r="B29" s="99"/>
      <c r="C29" s="428" t="s">
        <v>156</v>
      </c>
      <c r="D29" s="429"/>
      <c r="E29" s="423" t="s">
        <v>157</v>
      </c>
      <c r="F29" s="424"/>
      <c r="G29" s="102"/>
      <c r="H29" s="103"/>
    </row>
    <row r="30" spans="2:8" ht="30" customHeight="1" x14ac:dyDescent="0.25">
      <c r="B30" s="99"/>
      <c r="C30" s="428" t="s">
        <v>158</v>
      </c>
      <c r="D30" s="429"/>
      <c r="E30" s="423" t="s">
        <v>159</v>
      </c>
      <c r="F30" s="424"/>
      <c r="G30" s="102"/>
      <c r="H30" s="103"/>
    </row>
    <row r="31" spans="2:8" ht="35.25" customHeight="1" x14ac:dyDescent="0.25">
      <c r="B31" s="99"/>
      <c r="C31" s="428" t="s">
        <v>160</v>
      </c>
      <c r="D31" s="429"/>
      <c r="E31" s="423" t="s">
        <v>161</v>
      </c>
      <c r="F31" s="424"/>
      <c r="G31" s="102"/>
      <c r="H31" s="103"/>
    </row>
    <row r="32" spans="2:8" ht="31.5" customHeight="1" x14ac:dyDescent="0.25">
      <c r="B32" s="99"/>
      <c r="C32" s="428" t="s">
        <v>162</v>
      </c>
      <c r="D32" s="429"/>
      <c r="E32" s="423" t="s">
        <v>163</v>
      </c>
      <c r="F32" s="424"/>
      <c r="G32" s="102"/>
      <c r="H32" s="103"/>
    </row>
    <row r="33" spans="2:8" ht="35.25" customHeight="1" x14ac:dyDescent="0.25">
      <c r="B33" s="99"/>
      <c r="C33" s="428" t="s">
        <v>164</v>
      </c>
      <c r="D33" s="429"/>
      <c r="E33" s="423" t="s">
        <v>165</v>
      </c>
      <c r="F33" s="424"/>
      <c r="G33" s="102"/>
      <c r="H33" s="103"/>
    </row>
    <row r="34" spans="2:8" ht="59.25" customHeight="1" x14ac:dyDescent="0.25">
      <c r="B34" s="99"/>
      <c r="C34" s="428" t="s">
        <v>166</v>
      </c>
      <c r="D34" s="429"/>
      <c r="E34" s="423" t="s">
        <v>167</v>
      </c>
      <c r="F34" s="424"/>
      <c r="G34" s="102"/>
      <c r="H34" s="103"/>
    </row>
    <row r="35" spans="2:8" ht="29.25" customHeight="1" x14ac:dyDescent="0.25">
      <c r="B35" s="99"/>
      <c r="C35" s="428" t="s">
        <v>168</v>
      </c>
      <c r="D35" s="429"/>
      <c r="E35" s="430" t="s">
        <v>169</v>
      </c>
      <c r="F35" s="431"/>
      <c r="G35" s="102"/>
      <c r="H35" s="103"/>
    </row>
    <row r="36" spans="2:8" ht="82.5" customHeight="1" x14ac:dyDescent="0.25">
      <c r="B36" s="99"/>
      <c r="C36" s="428" t="s">
        <v>170</v>
      </c>
      <c r="D36" s="429"/>
      <c r="E36" s="423" t="s">
        <v>171</v>
      </c>
      <c r="F36" s="424"/>
      <c r="G36" s="102"/>
      <c r="H36" s="103"/>
    </row>
    <row r="37" spans="2:8" ht="46.5" customHeight="1" x14ac:dyDescent="0.25">
      <c r="B37" s="99"/>
      <c r="C37" s="428" t="s">
        <v>172</v>
      </c>
      <c r="D37" s="429"/>
      <c r="E37" s="423" t="s">
        <v>173</v>
      </c>
      <c r="F37" s="424"/>
      <c r="G37" s="102"/>
      <c r="H37" s="103"/>
    </row>
    <row r="38" spans="2:8" ht="6.75" customHeight="1" thickBot="1" x14ac:dyDescent="0.3">
      <c r="B38" s="99"/>
      <c r="C38" s="432"/>
      <c r="D38" s="433"/>
      <c r="E38" s="434"/>
      <c r="F38" s="435"/>
      <c r="G38" s="102"/>
      <c r="H38" s="103"/>
    </row>
    <row r="39" spans="2:8" ht="15.75" thickTop="1" x14ac:dyDescent="0.25">
      <c r="B39" s="99"/>
      <c r="C39" s="100"/>
      <c r="D39" s="100"/>
      <c r="E39" s="101"/>
      <c r="F39" s="101"/>
      <c r="G39" s="102"/>
      <c r="H39" s="103"/>
    </row>
    <row r="40" spans="2:8" ht="21" customHeight="1" x14ac:dyDescent="0.25">
      <c r="B40" s="425" t="s">
        <v>174</v>
      </c>
      <c r="C40" s="426"/>
      <c r="D40" s="426"/>
      <c r="E40" s="426"/>
      <c r="F40" s="426"/>
      <c r="G40" s="426"/>
      <c r="H40" s="427"/>
    </row>
    <row r="41" spans="2:8" ht="20.25" customHeight="1" x14ac:dyDescent="0.25">
      <c r="B41" s="425" t="s">
        <v>175</v>
      </c>
      <c r="C41" s="426"/>
      <c r="D41" s="426"/>
      <c r="E41" s="426"/>
      <c r="F41" s="426"/>
      <c r="G41" s="426"/>
      <c r="H41" s="427"/>
    </row>
    <row r="42" spans="2:8" ht="20.25" customHeight="1" x14ac:dyDescent="0.25">
      <c r="B42" s="425" t="s">
        <v>176</v>
      </c>
      <c r="C42" s="426"/>
      <c r="D42" s="426"/>
      <c r="E42" s="426"/>
      <c r="F42" s="426"/>
      <c r="G42" s="426"/>
      <c r="H42" s="427"/>
    </row>
    <row r="43" spans="2:8" ht="20.25" customHeight="1" x14ac:dyDescent="0.25">
      <c r="B43" s="425" t="s">
        <v>177</v>
      </c>
      <c r="C43" s="426"/>
      <c r="D43" s="426"/>
      <c r="E43" s="426"/>
      <c r="F43" s="426"/>
      <c r="G43" s="426"/>
      <c r="H43" s="427"/>
    </row>
    <row r="44" spans="2:8" x14ac:dyDescent="0.25">
      <c r="B44" s="425" t="s">
        <v>178</v>
      </c>
      <c r="C44" s="426"/>
      <c r="D44" s="426"/>
      <c r="E44" s="426"/>
      <c r="F44" s="426"/>
      <c r="G44" s="426"/>
      <c r="H44" s="427"/>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Z1001"/>
  <sheetViews>
    <sheetView zoomScaleNormal="100" workbookViewId="0"/>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72"/>
      <c r="B1" s="272"/>
      <c r="C1" s="272"/>
      <c r="D1" s="445" t="s">
        <v>179</v>
      </c>
      <c r="E1" s="342"/>
      <c r="F1" s="342"/>
      <c r="G1" s="342"/>
      <c r="H1" s="342"/>
      <c r="I1" s="342"/>
      <c r="J1" s="342"/>
      <c r="K1" s="342"/>
      <c r="L1" s="446" t="s">
        <v>180</v>
      </c>
      <c r="M1" s="342"/>
      <c r="N1" s="272"/>
      <c r="O1" s="272"/>
      <c r="P1" s="272"/>
      <c r="Q1" s="272"/>
      <c r="R1" s="272"/>
      <c r="S1" s="272"/>
      <c r="T1" s="272"/>
      <c r="U1" s="272"/>
      <c r="V1" s="272"/>
      <c r="W1" s="272"/>
      <c r="X1" s="272"/>
      <c r="Y1" s="272"/>
      <c r="Z1" s="272"/>
    </row>
    <row r="2" spans="1:26" ht="14.25" x14ac:dyDescent="0.2">
      <c r="A2" s="272"/>
      <c r="B2" s="272"/>
      <c r="C2" s="272"/>
      <c r="D2" s="342"/>
      <c r="E2" s="351"/>
      <c r="F2" s="351"/>
      <c r="G2" s="351"/>
      <c r="H2" s="351"/>
      <c r="I2" s="351"/>
      <c r="J2" s="351"/>
      <c r="K2" s="342"/>
      <c r="L2" s="446" t="s">
        <v>181</v>
      </c>
      <c r="M2" s="342"/>
      <c r="N2" s="272"/>
      <c r="O2" s="272"/>
      <c r="P2" s="272"/>
      <c r="Q2" s="272"/>
      <c r="R2" s="272"/>
      <c r="S2" s="272"/>
      <c r="T2" s="272"/>
      <c r="U2" s="272"/>
      <c r="V2" s="272"/>
      <c r="W2" s="272"/>
      <c r="X2" s="272"/>
      <c r="Y2" s="272"/>
      <c r="Z2" s="272"/>
    </row>
    <row r="3" spans="1:26" ht="14.25" x14ac:dyDescent="0.2">
      <c r="A3" s="272"/>
      <c r="B3" s="272"/>
      <c r="C3" s="272"/>
      <c r="D3" s="342"/>
      <c r="E3" s="351"/>
      <c r="F3" s="351"/>
      <c r="G3" s="351"/>
      <c r="H3" s="351"/>
      <c r="I3" s="351"/>
      <c r="J3" s="351"/>
      <c r="K3" s="342"/>
      <c r="L3" s="445" t="s">
        <v>182</v>
      </c>
      <c r="M3" s="342"/>
      <c r="N3" s="272"/>
      <c r="O3" s="272"/>
      <c r="P3" s="272"/>
      <c r="Q3" s="272"/>
      <c r="R3" s="272"/>
      <c r="S3" s="272"/>
      <c r="T3" s="272"/>
      <c r="U3" s="272"/>
      <c r="V3" s="272"/>
      <c r="W3" s="272"/>
      <c r="X3" s="272"/>
      <c r="Y3" s="272"/>
      <c r="Z3" s="272"/>
    </row>
    <row r="4" spans="1:26" ht="35.1" customHeight="1" x14ac:dyDescent="0.2">
      <c r="A4" s="272"/>
      <c r="B4" s="446" t="s">
        <v>183</v>
      </c>
      <c r="C4" s="342"/>
      <c r="D4" s="342"/>
      <c r="E4" s="342"/>
      <c r="F4" s="342"/>
      <c r="G4" s="342"/>
      <c r="H4" s="342"/>
      <c r="I4" s="342"/>
      <c r="J4" s="342"/>
      <c r="K4" s="342"/>
      <c r="L4" s="342"/>
      <c r="M4" s="342"/>
      <c r="N4" s="272"/>
      <c r="O4" s="272"/>
      <c r="P4" s="272"/>
      <c r="Q4" s="272"/>
      <c r="R4" s="272"/>
      <c r="S4" s="272"/>
      <c r="T4" s="272"/>
      <c r="U4" s="272"/>
      <c r="V4" s="272"/>
      <c r="W4" s="272"/>
      <c r="X4" s="272"/>
      <c r="Y4" s="272"/>
      <c r="Z4" s="272"/>
    </row>
    <row r="5" spans="1:26" ht="14.25" x14ac:dyDescent="0.2">
      <c r="A5" s="272"/>
      <c r="B5" s="272"/>
      <c r="C5" s="272"/>
      <c r="D5" s="272"/>
      <c r="E5" s="272"/>
      <c r="F5" s="272"/>
      <c r="G5" s="272"/>
      <c r="H5" s="272"/>
      <c r="I5" s="272"/>
      <c r="J5" s="272"/>
      <c r="K5" s="272"/>
      <c r="L5" s="272"/>
      <c r="M5" s="272"/>
      <c r="N5" s="272"/>
      <c r="O5" s="272"/>
      <c r="P5" s="272"/>
      <c r="Q5" s="272"/>
      <c r="R5" s="272"/>
      <c r="S5" s="272"/>
      <c r="T5" s="272"/>
      <c r="U5" s="272"/>
      <c r="V5" s="272"/>
      <c r="W5" s="272"/>
      <c r="X5" s="272"/>
      <c r="Y5" s="272"/>
      <c r="Z5" s="272"/>
    </row>
    <row r="6" spans="1:26" s="275" customFormat="1" ht="27" customHeight="1" x14ac:dyDescent="0.25">
      <c r="A6" s="438" t="s">
        <v>184</v>
      </c>
      <c r="B6" s="438"/>
      <c r="C6" s="438"/>
      <c r="D6" s="439" t="s">
        <v>185</v>
      </c>
      <c r="E6" s="440"/>
      <c r="F6" s="441"/>
      <c r="G6" s="438" t="s">
        <v>186</v>
      </c>
      <c r="H6" s="438"/>
      <c r="I6" s="442" t="s">
        <v>187</v>
      </c>
      <c r="J6" s="443"/>
      <c r="K6" s="443"/>
      <c r="L6" s="443"/>
      <c r="M6" s="444"/>
      <c r="N6" s="274"/>
      <c r="O6" s="274"/>
      <c r="P6" s="274"/>
      <c r="Q6" s="274"/>
      <c r="R6" s="274"/>
      <c r="S6" s="274"/>
      <c r="T6" s="274"/>
      <c r="U6" s="274"/>
      <c r="V6" s="274"/>
      <c r="W6" s="274"/>
      <c r="X6" s="274"/>
      <c r="Y6" s="274"/>
      <c r="Z6" s="274"/>
    </row>
    <row r="7" spans="1:26" s="275" customFormat="1" ht="26.25" customHeight="1" x14ac:dyDescent="0.25">
      <c r="A7" s="438" t="s">
        <v>188</v>
      </c>
      <c r="B7" s="438"/>
      <c r="C7" s="438"/>
      <c r="D7" s="447" t="s">
        <v>189</v>
      </c>
      <c r="E7" s="448"/>
      <c r="F7" s="449"/>
      <c r="G7" s="274"/>
      <c r="H7" s="274"/>
      <c r="I7" s="274"/>
      <c r="J7" s="274"/>
      <c r="K7" s="274"/>
      <c r="L7" s="274"/>
      <c r="M7" s="274"/>
      <c r="N7" s="274"/>
      <c r="O7" s="274"/>
      <c r="P7" s="274"/>
      <c r="Q7" s="274"/>
      <c r="R7" s="274"/>
      <c r="S7" s="274"/>
      <c r="T7" s="274"/>
      <c r="U7" s="274"/>
      <c r="V7" s="274"/>
      <c r="W7" s="274"/>
      <c r="X7" s="274"/>
      <c r="Y7" s="274"/>
      <c r="Z7" s="274"/>
    </row>
    <row r="8" spans="1:26" ht="26.25" customHeight="1" x14ac:dyDescent="0.2">
      <c r="A8" s="272"/>
      <c r="B8" s="272"/>
      <c r="C8" s="272"/>
      <c r="D8" s="272"/>
      <c r="E8" s="272"/>
      <c r="F8" s="272"/>
      <c r="G8" s="272"/>
      <c r="H8" s="272"/>
      <c r="I8" s="272"/>
      <c r="J8" s="272"/>
      <c r="K8" s="272"/>
      <c r="L8" s="272"/>
      <c r="M8" s="272"/>
      <c r="N8" s="272"/>
      <c r="O8" s="272"/>
      <c r="P8" s="272"/>
      <c r="Q8" s="272"/>
      <c r="R8" s="272"/>
      <c r="S8" s="272"/>
      <c r="T8" s="272"/>
      <c r="U8" s="272"/>
      <c r="V8" s="272"/>
      <c r="W8" s="272"/>
      <c r="X8" s="272"/>
      <c r="Y8" s="272"/>
      <c r="Z8" s="272"/>
    </row>
    <row r="9" spans="1:26" s="276" customFormat="1" ht="25.5" customHeight="1" x14ac:dyDescent="0.25">
      <c r="A9" s="450" t="s">
        <v>190</v>
      </c>
      <c r="B9" s="453" t="s">
        <v>191</v>
      </c>
      <c r="C9" s="454"/>
      <c r="D9" s="454"/>
      <c r="E9" s="454"/>
      <c r="F9" s="454"/>
      <c r="G9" s="455"/>
      <c r="H9" s="453" t="s">
        <v>192</v>
      </c>
      <c r="I9" s="454"/>
      <c r="J9" s="454"/>
      <c r="K9" s="454"/>
      <c r="L9" s="454"/>
      <c r="M9" s="455"/>
      <c r="N9" s="273"/>
      <c r="O9" s="273"/>
      <c r="P9" s="273"/>
      <c r="Q9" s="273"/>
      <c r="R9" s="273"/>
      <c r="S9" s="273"/>
      <c r="T9" s="273"/>
      <c r="U9" s="273"/>
      <c r="V9" s="273"/>
      <c r="W9" s="273"/>
      <c r="X9" s="273"/>
      <c r="Y9" s="273"/>
      <c r="Z9" s="273"/>
    </row>
    <row r="10" spans="1:26" s="276" customFormat="1" ht="25.5" customHeight="1" x14ac:dyDescent="0.25">
      <c r="A10" s="451"/>
      <c r="B10" s="456" t="s">
        <v>193</v>
      </c>
      <c r="C10" s="456"/>
      <c r="D10" s="456"/>
      <c r="E10" s="456"/>
      <c r="F10" s="456"/>
      <c r="G10" s="456"/>
      <c r="H10" s="456" t="s">
        <v>194</v>
      </c>
      <c r="I10" s="456"/>
      <c r="J10" s="456"/>
      <c r="K10" s="456"/>
      <c r="L10" s="456"/>
      <c r="M10" s="456"/>
      <c r="N10" s="273"/>
      <c r="O10" s="273"/>
      <c r="P10" s="273"/>
      <c r="Q10" s="273"/>
      <c r="R10" s="273"/>
      <c r="S10" s="273"/>
      <c r="T10" s="273"/>
      <c r="U10" s="273"/>
      <c r="V10" s="273"/>
      <c r="W10" s="273"/>
      <c r="X10" s="273"/>
      <c r="Y10" s="273"/>
      <c r="Z10" s="273"/>
    </row>
    <row r="11" spans="1:26" s="276" customFormat="1" ht="35.25" customHeight="1" x14ac:dyDescent="0.25">
      <c r="A11" s="451"/>
      <c r="B11" s="456" t="s">
        <v>195</v>
      </c>
      <c r="C11" s="456"/>
      <c r="D11" s="456"/>
      <c r="E11" s="456"/>
      <c r="F11" s="456"/>
      <c r="G11" s="456"/>
      <c r="H11" s="456" t="s">
        <v>196</v>
      </c>
      <c r="I11" s="456"/>
      <c r="J11" s="456"/>
      <c r="K11" s="456"/>
      <c r="L11" s="456"/>
      <c r="M11" s="456"/>
      <c r="N11" s="273"/>
      <c r="O11" s="273"/>
      <c r="P11" s="273"/>
      <c r="Q11" s="273"/>
      <c r="R11" s="273"/>
      <c r="S11" s="273"/>
      <c r="T11" s="273"/>
      <c r="U11" s="273"/>
      <c r="V11" s="273"/>
      <c r="W11" s="273"/>
      <c r="X11" s="273"/>
      <c r="Y11" s="273"/>
      <c r="Z11" s="273"/>
    </row>
    <row r="12" spans="1:26" s="276" customFormat="1" ht="25.5" customHeight="1" x14ac:dyDescent="0.25">
      <c r="A12" s="451"/>
      <c r="B12" s="456" t="s">
        <v>197</v>
      </c>
      <c r="C12" s="456"/>
      <c r="D12" s="456"/>
      <c r="E12" s="456"/>
      <c r="F12" s="456"/>
      <c r="G12" s="456"/>
      <c r="H12" s="456" t="s">
        <v>198</v>
      </c>
      <c r="I12" s="456"/>
      <c r="J12" s="456"/>
      <c r="K12" s="456"/>
      <c r="L12" s="456"/>
      <c r="M12" s="456"/>
      <c r="N12" s="273"/>
      <c r="O12" s="273"/>
      <c r="P12" s="273"/>
      <c r="Q12" s="273"/>
      <c r="R12" s="273"/>
      <c r="S12" s="273"/>
      <c r="T12" s="273"/>
      <c r="U12" s="273"/>
      <c r="V12" s="273"/>
      <c r="W12" s="273"/>
      <c r="X12" s="273"/>
      <c r="Y12" s="273"/>
      <c r="Z12" s="273"/>
    </row>
    <row r="13" spans="1:26" s="276" customFormat="1" ht="25.5" customHeight="1" x14ac:dyDescent="0.25">
      <c r="A13" s="451"/>
      <c r="B13" s="456" t="s">
        <v>199</v>
      </c>
      <c r="C13" s="456"/>
      <c r="D13" s="456"/>
      <c r="E13" s="456"/>
      <c r="F13" s="456"/>
      <c r="G13" s="456"/>
      <c r="H13" s="457" t="s">
        <v>200</v>
      </c>
      <c r="I13" s="458"/>
      <c r="J13" s="458"/>
      <c r="K13" s="458"/>
      <c r="L13" s="458"/>
      <c r="M13" s="459"/>
      <c r="N13" s="273"/>
      <c r="O13" s="273"/>
      <c r="P13" s="273"/>
      <c r="Q13" s="273"/>
      <c r="R13" s="273"/>
      <c r="S13" s="273"/>
      <c r="T13" s="273"/>
      <c r="U13" s="273"/>
      <c r="V13" s="273"/>
      <c r="W13" s="273"/>
      <c r="X13" s="273"/>
      <c r="Y13" s="273"/>
      <c r="Z13" s="273"/>
    </row>
    <row r="14" spans="1:26" s="276" customFormat="1" ht="25.5" customHeight="1" x14ac:dyDescent="0.25">
      <c r="A14" s="451"/>
      <c r="B14" s="457" t="s">
        <v>201</v>
      </c>
      <c r="C14" s="458"/>
      <c r="D14" s="458"/>
      <c r="E14" s="458"/>
      <c r="F14" s="458"/>
      <c r="G14" s="459"/>
      <c r="H14" s="457" t="s">
        <v>202</v>
      </c>
      <c r="I14" s="458"/>
      <c r="J14" s="458"/>
      <c r="K14" s="458"/>
      <c r="L14" s="458"/>
      <c r="M14" s="459"/>
      <c r="N14" s="273"/>
      <c r="O14" s="273"/>
      <c r="P14" s="273"/>
      <c r="Q14" s="273"/>
      <c r="R14" s="273"/>
      <c r="S14" s="273"/>
      <c r="T14" s="273"/>
      <c r="U14" s="273"/>
      <c r="V14" s="273"/>
      <c r="W14" s="273"/>
      <c r="X14" s="273"/>
      <c r="Y14" s="273"/>
      <c r="Z14" s="273"/>
    </row>
    <row r="15" spans="1:26" s="276" customFormat="1" ht="25.5" customHeight="1" x14ac:dyDescent="0.25">
      <c r="A15" s="451"/>
      <c r="B15" s="457"/>
      <c r="C15" s="458"/>
      <c r="D15" s="458"/>
      <c r="E15" s="458"/>
      <c r="F15" s="458"/>
      <c r="G15" s="459"/>
      <c r="H15" s="457" t="s">
        <v>203</v>
      </c>
      <c r="I15" s="460"/>
      <c r="J15" s="460"/>
      <c r="K15" s="460"/>
      <c r="L15" s="460"/>
      <c r="M15" s="461"/>
      <c r="N15" s="273"/>
      <c r="O15" s="273"/>
      <c r="P15" s="273"/>
      <c r="Q15" s="273"/>
      <c r="R15" s="273"/>
      <c r="S15" s="273"/>
      <c r="T15" s="273"/>
      <c r="U15" s="273"/>
      <c r="V15" s="273"/>
      <c r="W15" s="273"/>
      <c r="X15" s="273"/>
      <c r="Y15" s="273"/>
      <c r="Z15" s="273"/>
    </row>
    <row r="16" spans="1:26" s="276" customFormat="1" ht="25.5" customHeight="1" x14ac:dyDescent="0.25">
      <c r="A16" s="451"/>
      <c r="B16" s="457"/>
      <c r="C16" s="458"/>
      <c r="D16" s="458"/>
      <c r="E16" s="458"/>
      <c r="F16" s="458"/>
      <c r="G16" s="459"/>
      <c r="H16" s="457"/>
      <c r="I16" s="458"/>
      <c r="J16" s="458"/>
      <c r="K16" s="458"/>
      <c r="L16" s="458"/>
      <c r="M16" s="459"/>
      <c r="N16" s="273"/>
      <c r="O16" s="273"/>
      <c r="P16" s="273"/>
      <c r="Q16" s="273"/>
      <c r="R16" s="273"/>
      <c r="S16" s="273"/>
      <c r="T16" s="273"/>
      <c r="U16" s="273"/>
      <c r="V16" s="273"/>
      <c r="W16" s="273"/>
      <c r="X16" s="273"/>
      <c r="Y16" s="273"/>
      <c r="Z16" s="273"/>
    </row>
    <row r="17" spans="1:26" s="276" customFormat="1" ht="25.5" customHeight="1" x14ac:dyDescent="0.25">
      <c r="A17" s="451"/>
      <c r="B17" s="457"/>
      <c r="C17" s="458"/>
      <c r="D17" s="458"/>
      <c r="E17" s="458"/>
      <c r="F17" s="458"/>
      <c r="G17" s="459"/>
      <c r="H17" s="457"/>
      <c r="I17" s="458"/>
      <c r="J17" s="458"/>
      <c r="K17" s="458"/>
      <c r="L17" s="458"/>
      <c r="M17" s="459"/>
      <c r="N17" s="273"/>
      <c r="O17" s="273"/>
      <c r="P17" s="273"/>
      <c r="Q17" s="273"/>
      <c r="R17" s="273"/>
      <c r="S17" s="273"/>
      <c r="T17" s="273"/>
      <c r="U17" s="273"/>
      <c r="V17" s="273"/>
      <c r="W17" s="273"/>
      <c r="X17" s="273"/>
      <c r="Y17" s="273"/>
      <c r="Z17" s="273"/>
    </row>
    <row r="18" spans="1:26" s="276" customFormat="1" ht="25.5" customHeight="1" x14ac:dyDescent="0.25">
      <c r="A18" s="452"/>
      <c r="B18" s="457"/>
      <c r="C18" s="458"/>
      <c r="D18" s="458"/>
      <c r="E18" s="458"/>
      <c r="F18" s="458"/>
      <c r="G18" s="459"/>
      <c r="H18" s="457"/>
      <c r="I18" s="458"/>
      <c r="J18" s="458"/>
      <c r="K18" s="458"/>
      <c r="L18" s="458"/>
      <c r="M18" s="459"/>
      <c r="N18" s="273"/>
      <c r="O18" s="273"/>
      <c r="P18" s="273"/>
      <c r="Q18" s="273"/>
      <c r="R18" s="273"/>
      <c r="S18" s="273"/>
      <c r="T18" s="273"/>
      <c r="U18" s="273"/>
      <c r="V18" s="273"/>
      <c r="W18" s="273"/>
      <c r="X18" s="273"/>
      <c r="Y18" s="273"/>
      <c r="Z18" s="273"/>
    </row>
    <row r="19" spans="1:26" s="276" customFormat="1" ht="25.5" customHeight="1" x14ac:dyDescent="0.25">
      <c r="A19" s="462">
        <v>8</v>
      </c>
      <c r="B19" s="465" t="s">
        <v>204</v>
      </c>
      <c r="C19" s="466"/>
      <c r="D19" s="466"/>
      <c r="E19" s="466"/>
      <c r="F19" s="466"/>
      <c r="G19" s="467"/>
      <c r="H19" s="468" t="s">
        <v>205</v>
      </c>
      <c r="I19" s="466"/>
      <c r="J19" s="466"/>
      <c r="K19" s="466"/>
      <c r="L19" s="466"/>
      <c r="M19" s="467"/>
      <c r="N19" s="273"/>
      <c r="O19" s="273"/>
      <c r="P19" s="273"/>
      <c r="Q19" s="273"/>
      <c r="R19" s="273"/>
      <c r="S19" s="273"/>
      <c r="T19" s="273"/>
      <c r="U19" s="273"/>
      <c r="V19" s="273"/>
      <c r="W19" s="273"/>
      <c r="X19" s="273"/>
      <c r="Y19" s="273"/>
      <c r="Z19" s="273"/>
    </row>
    <row r="20" spans="1:26" s="276" customFormat="1" ht="34.5" customHeight="1" x14ac:dyDescent="0.25">
      <c r="A20" s="463"/>
      <c r="B20" s="456" t="s">
        <v>206</v>
      </c>
      <c r="C20" s="456"/>
      <c r="D20" s="456"/>
      <c r="E20" s="456"/>
      <c r="F20" s="456"/>
      <c r="G20" s="456"/>
      <c r="H20" s="456" t="s">
        <v>207</v>
      </c>
      <c r="I20" s="456"/>
      <c r="J20" s="456"/>
      <c r="K20" s="456"/>
      <c r="L20" s="456"/>
      <c r="M20" s="456"/>
      <c r="N20" s="273"/>
      <c r="O20" s="273"/>
      <c r="P20" s="273"/>
      <c r="Q20" s="273"/>
      <c r="R20" s="273"/>
      <c r="S20" s="273"/>
      <c r="T20" s="273"/>
      <c r="U20" s="273"/>
      <c r="V20" s="273"/>
      <c r="W20" s="273"/>
      <c r="X20" s="273"/>
      <c r="Y20" s="273"/>
      <c r="Z20" s="273"/>
    </row>
    <row r="21" spans="1:26" s="276" customFormat="1" ht="25.5" customHeight="1" x14ac:dyDescent="0.25">
      <c r="A21" s="463"/>
      <c r="B21" s="456" t="s">
        <v>208</v>
      </c>
      <c r="C21" s="456"/>
      <c r="D21" s="456"/>
      <c r="E21" s="456"/>
      <c r="F21" s="456"/>
      <c r="G21" s="456"/>
      <c r="H21" s="456" t="s">
        <v>209</v>
      </c>
      <c r="I21" s="456"/>
      <c r="J21" s="456"/>
      <c r="K21" s="456"/>
      <c r="L21" s="456"/>
      <c r="M21" s="456"/>
      <c r="N21" s="273"/>
      <c r="O21" s="273"/>
      <c r="P21" s="273"/>
      <c r="Q21" s="273"/>
      <c r="R21" s="273"/>
      <c r="S21" s="273"/>
      <c r="T21" s="273"/>
      <c r="U21" s="273"/>
      <c r="V21" s="273"/>
      <c r="W21" s="273"/>
      <c r="X21" s="273"/>
      <c r="Y21" s="273"/>
      <c r="Z21" s="273"/>
    </row>
    <row r="22" spans="1:26" s="276" customFormat="1" ht="32.25" customHeight="1" x14ac:dyDescent="0.25">
      <c r="A22" s="463"/>
      <c r="B22" s="456" t="s">
        <v>210</v>
      </c>
      <c r="C22" s="456"/>
      <c r="D22" s="456"/>
      <c r="E22" s="456"/>
      <c r="F22" s="456"/>
      <c r="G22" s="456"/>
      <c r="H22" s="456" t="s">
        <v>211</v>
      </c>
      <c r="I22" s="456"/>
      <c r="J22" s="456"/>
      <c r="K22" s="456"/>
      <c r="L22" s="456"/>
      <c r="M22" s="456"/>
      <c r="N22" s="273"/>
      <c r="O22" s="273"/>
      <c r="P22" s="273"/>
      <c r="Q22" s="273"/>
      <c r="R22" s="273"/>
      <c r="S22" s="273"/>
      <c r="T22" s="273"/>
      <c r="U22" s="273"/>
      <c r="V22" s="273"/>
      <c r="W22" s="273"/>
      <c r="X22" s="273"/>
      <c r="Y22" s="273"/>
      <c r="Z22" s="273"/>
    </row>
    <row r="23" spans="1:26" s="276" customFormat="1" ht="25.5" customHeight="1" x14ac:dyDescent="0.25">
      <c r="A23" s="463"/>
      <c r="B23" s="457"/>
      <c r="C23" s="458"/>
      <c r="D23" s="458"/>
      <c r="E23" s="458"/>
      <c r="F23" s="458"/>
      <c r="G23" s="459"/>
      <c r="H23" s="457" t="s">
        <v>212</v>
      </c>
      <c r="I23" s="458"/>
      <c r="J23" s="458"/>
      <c r="K23" s="458"/>
      <c r="L23" s="458"/>
      <c r="M23" s="459"/>
      <c r="N23" s="273"/>
      <c r="O23" s="273"/>
      <c r="P23" s="273"/>
      <c r="Q23" s="273"/>
      <c r="R23" s="273"/>
      <c r="S23" s="273"/>
      <c r="T23" s="273"/>
      <c r="U23" s="273"/>
      <c r="V23" s="273"/>
      <c r="W23" s="273"/>
      <c r="X23" s="273"/>
      <c r="Y23" s="273"/>
      <c r="Z23" s="273"/>
    </row>
    <row r="24" spans="1:26" s="276" customFormat="1" ht="25.5" customHeight="1" x14ac:dyDescent="0.25">
      <c r="A24" s="463"/>
      <c r="B24" s="457"/>
      <c r="C24" s="458"/>
      <c r="D24" s="458"/>
      <c r="E24" s="458"/>
      <c r="F24" s="458"/>
      <c r="G24" s="459"/>
      <c r="H24" s="457" t="s">
        <v>213</v>
      </c>
      <c r="I24" s="458"/>
      <c r="J24" s="458"/>
      <c r="K24" s="458"/>
      <c r="L24" s="458"/>
      <c r="M24" s="459"/>
      <c r="N24" s="273"/>
      <c r="O24" s="273"/>
      <c r="P24" s="273"/>
      <c r="Q24" s="273"/>
      <c r="R24" s="273"/>
      <c r="S24" s="273"/>
      <c r="T24" s="273"/>
      <c r="U24" s="273"/>
      <c r="V24" s="273"/>
      <c r="W24" s="273"/>
      <c r="X24" s="273"/>
      <c r="Y24" s="273"/>
      <c r="Z24" s="273"/>
    </row>
    <row r="25" spans="1:26" s="276" customFormat="1" ht="32.25" customHeight="1" x14ac:dyDescent="0.25">
      <c r="A25" s="463"/>
      <c r="B25" s="457"/>
      <c r="C25" s="458"/>
      <c r="D25" s="458"/>
      <c r="E25" s="458"/>
      <c r="F25" s="458"/>
      <c r="G25" s="459"/>
      <c r="H25" s="457" t="s">
        <v>214</v>
      </c>
      <c r="I25" s="458"/>
      <c r="J25" s="458"/>
      <c r="K25" s="458"/>
      <c r="L25" s="458"/>
      <c r="M25" s="459"/>
      <c r="N25" s="273"/>
      <c r="O25" s="273"/>
      <c r="P25" s="273"/>
      <c r="Q25" s="273"/>
      <c r="R25" s="273"/>
      <c r="S25" s="273"/>
      <c r="T25" s="273"/>
      <c r="U25" s="273"/>
      <c r="V25" s="273"/>
      <c r="W25" s="273"/>
      <c r="X25" s="273"/>
      <c r="Y25" s="273"/>
      <c r="Z25" s="273"/>
    </row>
    <row r="26" spans="1:26" s="276" customFormat="1" ht="32.25" customHeight="1" x14ac:dyDescent="0.25">
      <c r="A26" s="463"/>
      <c r="B26" s="457"/>
      <c r="C26" s="460"/>
      <c r="D26" s="460"/>
      <c r="E26" s="460"/>
      <c r="F26" s="460"/>
      <c r="G26" s="461"/>
      <c r="H26" s="457" t="s">
        <v>215</v>
      </c>
      <c r="I26" s="458"/>
      <c r="J26" s="458"/>
      <c r="K26" s="458"/>
      <c r="L26" s="458"/>
      <c r="M26" s="459"/>
      <c r="N26" s="273"/>
      <c r="O26" s="273"/>
      <c r="P26" s="273"/>
      <c r="Q26" s="273"/>
      <c r="R26" s="273"/>
      <c r="S26" s="273"/>
      <c r="T26" s="273"/>
      <c r="U26" s="273"/>
      <c r="V26" s="273"/>
      <c r="W26" s="273"/>
      <c r="X26" s="273"/>
      <c r="Y26" s="273"/>
      <c r="Z26" s="273"/>
    </row>
    <row r="27" spans="1:26" s="276" customFormat="1" ht="25.5" customHeight="1" x14ac:dyDescent="0.25">
      <c r="A27" s="463"/>
      <c r="B27" s="457"/>
      <c r="C27" s="458"/>
      <c r="D27" s="458"/>
      <c r="E27" s="458"/>
      <c r="F27" s="458"/>
      <c r="G27" s="459"/>
      <c r="H27" s="457" t="s">
        <v>216</v>
      </c>
      <c r="I27" s="458"/>
      <c r="J27" s="458"/>
      <c r="K27" s="458"/>
      <c r="L27" s="458"/>
      <c r="M27" s="459"/>
      <c r="N27" s="273"/>
      <c r="O27" s="273"/>
      <c r="P27" s="273"/>
      <c r="Q27" s="273"/>
      <c r="R27" s="273"/>
      <c r="S27" s="273"/>
      <c r="T27" s="273"/>
      <c r="U27" s="273"/>
      <c r="V27" s="273"/>
      <c r="W27" s="273"/>
      <c r="X27" s="273"/>
      <c r="Y27" s="273"/>
      <c r="Z27" s="273"/>
    </row>
    <row r="28" spans="1:26" s="276" customFormat="1" ht="25.5" customHeight="1" x14ac:dyDescent="0.25">
      <c r="A28" s="464"/>
      <c r="B28" s="457"/>
      <c r="C28" s="458"/>
      <c r="D28" s="458"/>
      <c r="E28" s="458"/>
      <c r="F28" s="458"/>
      <c r="G28" s="459"/>
      <c r="H28" s="457"/>
      <c r="I28" s="458"/>
      <c r="J28" s="458"/>
      <c r="K28" s="458"/>
      <c r="L28" s="458"/>
      <c r="M28" s="459"/>
      <c r="N28" s="273"/>
      <c r="O28" s="273"/>
      <c r="P28" s="273"/>
      <c r="Q28" s="273"/>
      <c r="R28" s="273"/>
      <c r="S28" s="273"/>
      <c r="T28" s="273"/>
      <c r="U28" s="273"/>
      <c r="V28" s="273"/>
      <c r="W28" s="273"/>
      <c r="X28" s="273"/>
      <c r="Y28" s="273"/>
      <c r="Z28" s="273"/>
    </row>
    <row r="29" spans="1:26" ht="18" customHeight="1" x14ac:dyDescent="0.2">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spans="1:26" s="278" customFormat="1" ht="16.5" customHeight="1" x14ac:dyDescent="0.2">
      <c r="A30" s="472" t="s">
        <v>217</v>
      </c>
      <c r="B30" s="472"/>
      <c r="C30" s="473" t="s">
        <v>185</v>
      </c>
      <c r="D30" s="474"/>
      <c r="E30" s="472" t="s">
        <v>218</v>
      </c>
      <c r="F30" s="473" t="s">
        <v>219</v>
      </c>
      <c r="G30" s="477"/>
      <c r="H30" s="477"/>
      <c r="I30" s="479" t="s">
        <v>220</v>
      </c>
      <c r="J30" s="480"/>
      <c r="K30" s="469" t="s">
        <v>221</v>
      </c>
      <c r="L30" s="470"/>
      <c r="M30" s="471"/>
      <c r="N30" s="277"/>
      <c r="O30" s="277"/>
      <c r="P30" s="277"/>
      <c r="Q30" s="277"/>
      <c r="R30" s="277"/>
      <c r="S30" s="277"/>
      <c r="T30" s="277"/>
      <c r="U30" s="277"/>
      <c r="V30" s="277"/>
      <c r="W30" s="277"/>
      <c r="X30" s="277"/>
      <c r="Y30" s="277"/>
      <c r="Z30" s="277"/>
    </row>
    <row r="31" spans="1:26" s="278" customFormat="1" ht="15.75" customHeight="1" x14ac:dyDescent="0.2">
      <c r="A31" s="472"/>
      <c r="B31" s="472"/>
      <c r="C31" s="475"/>
      <c r="D31" s="476"/>
      <c r="E31" s="472"/>
      <c r="F31" s="475"/>
      <c r="G31" s="478"/>
      <c r="H31" s="478"/>
      <c r="I31" s="479" t="s">
        <v>222</v>
      </c>
      <c r="J31" s="480"/>
      <c r="K31" s="469" t="s">
        <v>223</v>
      </c>
      <c r="L31" s="470"/>
      <c r="M31" s="471"/>
      <c r="N31" s="279"/>
      <c r="O31" s="279"/>
      <c r="P31" s="279"/>
      <c r="Q31" s="279"/>
      <c r="R31" s="279"/>
      <c r="S31" s="279"/>
      <c r="T31" s="279"/>
      <c r="U31" s="279"/>
      <c r="V31" s="279"/>
      <c r="W31" s="279"/>
      <c r="X31" s="279"/>
      <c r="Y31" s="279"/>
      <c r="Z31" s="279"/>
    </row>
    <row r="32" spans="1:26" ht="18" customHeight="1" x14ac:dyDescent="0.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c r="Z32" s="272"/>
    </row>
    <row r="33" spans="1:26" ht="18" customHeight="1" x14ac:dyDescent="0.2">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c r="Z33" s="272"/>
    </row>
    <row r="34" spans="1:26" ht="18" customHeight="1" x14ac:dyDescent="0.2">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row>
    <row r="35" spans="1:26" ht="18" customHeight="1" x14ac:dyDescent="0.2">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c r="Z35" s="272"/>
    </row>
    <row r="36" spans="1:26" ht="18" customHeight="1" x14ac:dyDescent="0.2">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c r="Z36" s="272"/>
    </row>
    <row r="37" spans="1:26" ht="18" customHeight="1" x14ac:dyDescent="0.2">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c r="Z37" s="272"/>
    </row>
    <row r="38" spans="1:26" ht="18" customHeight="1" x14ac:dyDescent="0.2">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row>
    <row r="39" spans="1:26" ht="18" customHeight="1" x14ac:dyDescent="0.2">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c r="Z39" s="272"/>
    </row>
    <row r="40" spans="1:26" ht="18" customHeight="1" x14ac:dyDescent="0.2">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row>
    <row r="41" spans="1:26" ht="18" customHeight="1" x14ac:dyDescent="0.2">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c r="Z41" s="272"/>
    </row>
    <row r="42" spans="1:26" ht="18" customHeight="1" x14ac:dyDescent="0.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c r="Z42" s="272"/>
    </row>
    <row r="43" spans="1:26" ht="15.75" customHeight="1" x14ac:dyDescent="0.2">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c r="Z43" s="272"/>
    </row>
    <row r="44" spans="1:26" ht="15.75" customHeight="1" x14ac:dyDescent="0.2">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c r="Z44" s="272"/>
    </row>
    <row r="45" spans="1:26" ht="15.75" customHeight="1" x14ac:dyDescent="0.2">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c r="Z45" s="272"/>
    </row>
    <row r="46" spans="1:26" ht="15.75" customHeight="1" x14ac:dyDescent="0.2">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row>
    <row r="47" spans="1:26" ht="15.75" customHeight="1" x14ac:dyDescent="0.2">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c r="Z47" s="272"/>
    </row>
    <row r="48" spans="1:26" ht="15.75" customHeight="1" x14ac:dyDescent="0.2">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c r="Z48" s="272"/>
    </row>
    <row r="49" spans="1:26" ht="15.75" customHeight="1" x14ac:dyDescent="0.2">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c r="Z49" s="272"/>
    </row>
    <row r="50" spans="1:26" ht="15.75" customHeight="1" x14ac:dyDescent="0.2">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c r="Z50" s="272"/>
    </row>
    <row r="51" spans="1:26" ht="15.75" customHeight="1" x14ac:dyDescent="0.2">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c r="Z51" s="272"/>
    </row>
    <row r="52" spans="1:26" ht="15.75" customHeight="1" x14ac:dyDescent="0.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c r="Z52" s="272"/>
    </row>
    <row r="53" spans="1:26" ht="15.75" customHeight="1" x14ac:dyDescent="0.2">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c r="Z53" s="272"/>
    </row>
    <row r="54" spans="1:26" ht="15.75" customHeight="1" x14ac:dyDescent="0.2">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c r="Z54" s="272"/>
    </row>
    <row r="55" spans="1:26" ht="15.75" customHeight="1" x14ac:dyDescent="0.2">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c r="Z55" s="272"/>
    </row>
    <row r="56" spans="1:26" ht="15.75" customHeight="1" x14ac:dyDescent="0.2">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c r="Z56" s="272"/>
    </row>
    <row r="57" spans="1:26" ht="15.75" customHeight="1" x14ac:dyDescent="0.2">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c r="Z57" s="272"/>
    </row>
    <row r="58" spans="1:26" ht="15.75" customHeight="1" x14ac:dyDescent="0.2">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c r="Z58" s="272"/>
    </row>
    <row r="59" spans="1:26" ht="15.75" customHeight="1" x14ac:dyDescent="0.2">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c r="Z59" s="272"/>
    </row>
    <row r="60" spans="1:26" ht="15.75" customHeight="1" x14ac:dyDescent="0.2">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c r="Z60" s="272"/>
    </row>
    <row r="61" spans="1:26" ht="15.75" customHeight="1" x14ac:dyDescent="0.2">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c r="Z61" s="272"/>
    </row>
    <row r="62" spans="1:26" ht="15.75" customHeight="1" x14ac:dyDescent="0.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c r="Z62" s="272"/>
    </row>
    <row r="63" spans="1:26" ht="15.75" customHeight="1" x14ac:dyDescent="0.2">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c r="Z63" s="272"/>
    </row>
    <row r="64" spans="1:26" ht="15.75" customHeight="1" x14ac:dyDescent="0.2">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c r="Z64" s="272"/>
    </row>
    <row r="65" spans="1:26" ht="15.75" customHeight="1" x14ac:dyDescent="0.2">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row>
    <row r="66" spans="1:26" ht="15.75" customHeight="1" x14ac:dyDescent="0.2">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c r="Z66" s="272"/>
    </row>
    <row r="67" spans="1:26" ht="15.75" customHeight="1" x14ac:dyDescent="0.2">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c r="Z67" s="272"/>
    </row>
    <row r="68" spans="1:26" ht="15.75" customHeight="1" x14ac:dyDescent="0.2">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c r="Z68" s="272"/>
    </row>
    <row r="69" spans="1:26" ht="15.75" customHeight="1" x14ac:dyDescent="0.2">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c r="Z69" s="272"/>
    </row>
    <row r="70" spans="1:26" ht="15.75" customHeight="1" x14ac:dyDescent="0.2">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c r="Z70" s="272"/>
    </row>
    <row r="71" spans="1:26" ht="15.75" customHeight="1" x14ac:dyDescent="0.2">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c r="Z71" s="272"/>
    </row>
    <row r="72" spans="1:26" ht="15.75" customHeight="1" x14ac:dyDescent="0.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c r="Z72" s="272"/>
    </row>
    <row r="73" spans="1:26" ht="15.75" customHeight="1" x14ac:dyDescent="0.2">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c r="Z73" s="272"/>
    </row>
    <row r="74" spans="1:26" ht="15.75" customHeight="1" x14ac:dyDescent="0.2">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c r="Z74" s="272"/>
    </row>
    <row r="75" spans="1:26" ht="15.75" customHeight="1" x14ac:dyDescent="0.2">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row>
    <row r="76" spans="1:26" ht="15.75" customHeight="1" x14ac:dyDescent="0.2">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row>
    <row r="77" spans="1:26" ht="15.75" customHeight="1" x14ac:dyDescent="0.2">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row>
    <row r="78" spans="1:26" ht="15.75" customHeight="1" x14ac:dyDescent="0.2">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c r="Z78" s="272"/>
    </row>
    <row r="79" spans="1:26" ht="15.75" customHeight="1" x14ac:dyDescent="0.2">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row>
    <row r="80" spans="1:26" ht="15.75" customHeight="1" x14ac:dyDescent="0.2">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row>
    <row r="81" spans="1:26" ht="15.75" customHeight="1" x14ac:dyDescent="0.2">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row>
    <row r="82" spans="1:26" ht="15.75" customHeight="1" x14ac:dyDescent="0.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row>
    <row r="83" spans="1:26" ht="15.75" customHeight="1" x14ac:dyDescent="0.2">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row>
    <row r="84" spans="1:26" ht="15.75" customHeight="1" x14ac:dyDescent="0.2">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row>
    <row r="85" spans="1:26" ht="15.75" customHeight="1" x14ac:dyDescent="0.2">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row>
    <row r="86" spans="1:26" ht="15.75" customHeight="1" x14ac:dyDescent="0.2">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row>
    <row r="87" spans="1:26" ht="15.75" customHeight="1" x14ac:dyDescent="0.2">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row>
    <row r="88" spans="1:26" ht="15.75" customHeight="1" x14ac:dyDescent="0.2">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row>
    <row r="89" spans="1:26" ht="15.75" customHeight="1" x14ac:dyDescent="0.2">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row>
    <row r="90" spans="1:26" ht="15.75" customHeight="1" x14ac:dyDescent="0.2">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c r="Z90" s="272"/>
    </row>
    <row r="91" spans="1:26" ht="15.75" customHeight="1" x14ac:dyDescent="0.2">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row>
    <row r="92" spans="1:26" ht="15.75" customHeight="1" x14ac:dyDescent="0.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row>
    <row r="93" spans="1:26" ht="15.75" customHeight="1" x14ac:dyDescent="0.2">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row>
    <row r="94" spans="1:26" ht="15.75" customHeight="1" x14ac:dyDescent="0.2">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c r="Z94" s="272"/>
    </row>
    <row r="95" spans="1:26" ht="15.75" customHeight="1" x14ac:dyDescent="0.2">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row>
    <row r="96" spans="1:26" ht="15.75" customHeight="1" x14ac:dyDescent="0.2">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c r="Z96" s="272"/>
    </row>
    <row r="97" spans="1:26" ht="15.75" customHeight="1" x14ac:dyDescent="0.2">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row>
    <row r="98" spans="1:26" ht="15.75" customHeight="1" x14ac:dyDescent="0.2">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c r="Z98" s="272"/>
    </row>
    <row r="99" spans="1:26" ht="15.75" customHeight="1" x14ac:dyDescent="0.2">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row>
    <row r="100" spans="1:26" ht="15.75" customHeight="1" x14ac:dyDescent="0.2">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c r="Z100" s="272"/>
    </row>
    <row r="101" spans="1:26" ht="15.75" customHeight="1" x14ac:dyDescent="0.2">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c r="Z101" s="272"/>
    </row>
    <row r="102" spans="1:26" ht="15.75" customHeight="1" x14ac:dyDescent="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c r="Z102" s="272"/>
    </row>
    <row r="103" spans="1:26" ht="15.75" customHeight="1" x14ac:dyDescent="0.2">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c r="Z103" s="272"/>
    </row>
    <row r="104" spans="1:26" ht="15.75" customHeight="1" x14ac:dyDescent="0.2">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c r="Z104" s="272"/>
    </row>
    <row r="105" spans="1:26" ht="15.75" customHeight="1" x14ac:dyDescent="0.2">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c r="Z105" s="272"/>
    </row>
    <row r="106" spans="1:26" ht="15.75" customHeight="1" x14ac:dyDescent="0.2">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c r="Z106" s="272"/>
    </row>
    <row r="107" spans="1:26" ht="15.75" customHeight="1" x14ac:dyDescent="0.2">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row>
    <row r="108" spans="1:26" ht="15.75" customHeight="1" x14ac:dyDescent="0.2">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72"/>
    </row>
    <row r="109" spans="1:26" ht="15.75" customHeight="1" x14ac:dyDescent="0.2">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row>
    <row r="110" spans="1:26" ht="15.75" customHeight="1" x14ac:dyDescent="0.2">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row>
    <row r="111" spans="1:26" ht="15.75" customHeight="1" x14ac:dyDescent="0.2">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c r="Z111" s="272"/>
    </row>
    <row r="112" spans="1:26" ht="15.75" customHeight="1" x14ac:dyDescent="0.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c r="Z112" s="272"/>
    </row>
    <row r="113" spans="1:26" ht="15.75" customHeight="1" x14ac:dyDescent="0.2">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c r="Z113" s="272"/>
    </row>
    <row r="114" spans="1:26" ht="15.75" customHeight="1" x14ac:dyDescent="0.2">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c r="Z114" s="272"/>
    </row>
    <row r="115" spans="1:26" ht="15.75" customHeight="1" x14ac:dyDescent="0.2">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c r="Z115" s="272"/>
    </row>
    <row r="116" spans="1:26" ht="15.75" customHeight="1" x14ac:dyDescent="0.2">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row>
    <row r="117" spans="1:26" ht="15.75" customHeight="1" x14ac:dyDescent="0.2">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c r="Z117" s="272"/>
    </row>
    <row r="118" spans="1:26" ht="15.75" customHeight="1" x14ac:dyDescent="0.2">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c r="Z118" s="272"/>
    </row>
    <row r="119" spans="1:26" ht="15.75" customHeight="1" x14ac:dyDescent="0.2">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c r="Z119" s="272"/>
    </row>
    <row r="120" spans="1:26" ht="15.75" customHeight="1" x14ac:dyDescent="0.2">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c r="Z120" s="272"/>
    </row>
    <row r="121" spans="1:26" ht="15.75" customHeight="1" x14ac:dyDescent="0.2">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c r="Z121" s="272"/>
    </row>
    <row r="122" spans="1:26" ht="15.75" customHeight="1" x14ac:dyDescent="0.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c r="Z122" s="272"/>
    </row>
    <row r="123" spans="1:26" ht="15.75" customHeight="1" x14ac:dyDescent="0.2">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c r="Z123" s="272"/>
    </row>
    <row r="124" spans="1:26" ht="15.75" customHeight="1" x14ac:dyDescent="0.2">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row>
    <row r="125" spans="1:26" ht="15.75" customHeight="1" x14ac:dyDescent="0.2">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c r="Z125" s="272"/>
    </row>
    <row r="126" spans="1:26" ht="15.75" customHeight="1" x14ac:dyDescent="0.2">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c r="Z126" s="272"/>
    </row>
    <row r="127" spans="1:26" ht="15.75" customHeight="1" x14ac:dyDescent="0.2">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c r="Z127" s="272"/>
    </row>
    <row r="128" spans="1:26" ht="15.75" customHeight="1" x14ac:dyDescent="0.2">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c r="Z128" s="272"/>
    </row>
    <row r="129" spans="1:26" ht="15.75" customHeight="1" x14ac:dyDescent="0.2">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c r="Z129" s="272"/>
    </row>
    <row r="130" spans="1:26" ht="15.75" customHeight="1" x14ac:dyDescent="0.2">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c r="Z130" s="272"/>
    </row>
    <row r="131" spans="1:26" ht="15.75" customHeight="1" x14ac:dyDescent="0.2">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c r="Z131" s="272"/>
    </row>
    <row r="132" spans="1:26" ht="15.75" customHeight="1" x14ac:dyDescent="0.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row>
    <row r="133" spans="1:26" ht="15.75" customHeight="1" x14ac:dyDescent="0.2">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c r="Z133" s="272"/>
    </row>
    <row r="134" spans="1:26" ht="15.75" customHeight="1" x14ac:dyDescent="0.2">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row>
    <row r="135" spans="1:26" ht="15.75" customHeight="1" x14ac:dyDescent="0.2">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c r="Z135" s="272"/>
    </row>
    <row r="136" spans="1:26" ht="15.75" customHeight="1" x14ac:dyDescent="0.2">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c r="Z136" s="272"/>
    </row>
    <row r="137" spans="1:26" ht="15.75" customHeight="1" x14ac:dyDescent="0.2">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c r="Z137" s="272"/>
    </row>
    <row r="138" spans="1:26" ht="15.75" customHeight="1" x14ac:dyDescent="0.2">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row>
    <row r="139" spans="1:26" ht="15.75" customHeight="1" x14ac:dyDescent="0.2">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c r="Z139" s="272"/>
    </row>
    <row r="140" spans="1:26" ht="15.75" customHeight="1" x14ac:dyDescent="0.2">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row>
    <row r="141" spans="1:26" ht="15.75" customHeight="1" x14ac:dyDescent="0.2">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c r="Z141" s="272"/>
    </row>
    <row r="142" spans="1:26" ht="15.75" customHeight="1" x14ac:dyDescent="0.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c r="Z142" s="272"/>
    </row>
    <row r="143" spans="1:26" ht="15.75" customHeight="1" x14ac:dyDescent="0.2">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c r="Z143" s="272"/>
    </row>
    <row r="144" spans="1:26" ht="15.75" customHeight="1" x14ac:dyDescent="0.2">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c r="Z144" s="272"/>
    </row>
    <row r="145" spans="1:26" ht="15.75" customHeight="1" x14ac:dyDescent="0.2">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c r="Z145" s="272"/>
    </row>
    <row r="146" spans="1:26" ht="15.75" customHeight="1" x14ac:dyDescent="0.2">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c r="Z146" s="272"/>
    </row>
    <row r="147" spans="1:26" ht="15.75" customHeight="1" x14ac:dyDescent="0.2">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c r="Z147" s="272"/>
    </row>
    <row r="148" spans="1:26" ht="15.75" customHeight="1" x14ac:dyDescent="0.2">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c r="Z148" s="272"/>
    </row>
    <row r="149" spans="1:26" ht="15.75" customHeight="1" x14ac:dyDescent="0.2">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c r="Z149" s="272"/>
    </row>
    <row r="150" spans="1:26" ht="15.75" customHeight="1" x14ac:dyDescent="0.2">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c r="Z150" s="272"/>
    </row>
    <row r="151" spans="1:26" ht="15.75" customHeight="1" x14ac:dyDescent="0.2">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c r="Z151" s="272"/>
    </row>
    <row r="152" spans="1:26" ht="15.75" customHeight="1" x14ac:dyDescent="0.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c r="Z152" s="272"/>
    </row>
    <row r="153" spans="1:26" ht="15.75" customHeight="1" x14ac:dyDescent="0.2">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c r="Z153" s="272"/>
    </row>
    <row r="154" spans="1:26" ht="15.75" customHeight="1" x14ac:dyDescent="0.2">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c r="Z154" s="272"/>
    </row>
    <row r="155" spans="1:26" ht="15.75" customHeight="1" x14ac:dyDescent="0.2">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c r="Z155" s="272"/>
    </row>
    <row r="156" spans="1:26" ht="15.75" customHeight="1" x14ac:dyDescent="0.2">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c r="Z156" s="272"/>
    </row>
    <row r="157" spans="1:26" ht="15.75" customHeight="1" x14ac:dyDescent="0.2">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c r="Z157" s="272"/>
    </row>
    <row r="158" spans="1:26" ht="15.75" customHeight="1" x14ac:dyDescent="0.2">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row>
    <row r="159" spans="1:26" ht="15.75" customHeight="1" x14ac:dyDescent="0.2">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c r="Z159" s="272"/>
    </row>
    <row r="160" spans="1:26" ht="15.75" customHeight="1" x14ac:dyDescent="0.2">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c r="Z160" s="272"/>
    </row>
    <row r="161" spans="1:26" ht="15.75" customHeight="1" x14ac:dyDescent="0.2">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c r="Z161" s="272"/>
    </row>
    <row r="162" spans="1:26" ht="15.75" customHeight="1" x14ac:dyDescent="0.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c r="Z162" s="272"/>
    </row>
    <row r="163" spans="1:26" ht="15.75" customHeight="1" x14ac:dyDescent="0.2">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c r="Z163" s="272"/>
    </row>
    <row r="164" spans="1:26" ht="15.75" customHeight="1" x14ac:dyDescent="0.2">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c r="Z164" s="272"/>
    </row>
    <row r="165" spans="1:26" ht="15.75" customHeight="1" x14ac:dyDescent="0.2">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c r="Z165" s="272"/>
    </row>
    <row r="166" spans="1:26" ht="15.75" customHeight="1" x14ac:dyDescent="0.2">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c r="Z166" s="272"/>
    </row>
    <row r="167" spans="1:26" ht="15.75" customHeight="1" x14ac:dyDescent="0.2">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c r="Z167" s="272"/>
    </row>
    <row r="168" spans="1:26" ht="15.75" customHeight="1" x14ac:dyDescent="0.2">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c r="Z168" s="272"/>
    </row>
    <row r="169" spans="1:26" ht="15.75" customHeight="1" x14ac:dyDescent="0.2">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c r="Z169" s="272"/>
    </row>
    <row r="170" spans="1:26" ht="15.75" customHeight="1" x14ac:dyDescent="0.2">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c r="Z170" s="272"/>
    </row>
    <row r="171" spans="1:26" ht="15.75" customHeight="1" x14ac:dyDescent="0.2">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c r="Z171" s="272"/>
    </row>
    <row r="172" spans="1:26" ht="15.75" customHeight="1" x14ac:dyDescent="0.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c r="Z172" s="272"/>
    </row>
    <row r="173" spans="1:26" ht="15.75" customHeight="1" x14ac:dyDescent="0.2">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c r="Z173" s="272"/>
    </row>
    <row r="174" spans="1:26" ht="15.75" customHeight="1" x14ac:dyDescent="0.2">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c r="Z174" s="272"/>
    </row>
    <row r="175" spans="1:26" ht="15.75" customHeight="1" x14ac:dyDescent="0.2">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c r="Z175" s="272"/>
    </row>
    <row r="176" spans="1:26" ht="15.75" customHeight="1" x14ac:dyDescent="0.2">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c r="Z176" s="272"/>
    </row>
    <row r="177" spans="1:26" ht="15.75" customHeight="1" x14ac:dyDescent="0.2">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c r="Z177" s="272"/>
    </row>
    <row r="178" spans="1:26" ht="15.75" customHeight="1" x14ac:dyDescent="0.2">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c r="Z178" s="272"/>
    </row>
    <row r="179" spans="1:26" ht="15.75" customHeight="1" x14ac:dyDescent="0.2">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c r="Z179" s="272"/>
    </row>
    <row r="180" spans="1:26" ht="15.75" customHeight="1" x14ac:dyDescent="0.2">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c r="Z180" s="272"/>
    </row>
    <row r="181" spans="1:26" ht="15.75" customHeight="1" x14ac:dyDescent="0.2">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c r="Z181" s="272"/>
    </row>
    <row r="182" spans="1:26" ht="15.75" customHeight="1" x14ac:dyDescent="0.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c r="Z182" s="272"/>
    </row>
    <row r="183" spans="1:26" ht="15.75" customHeight="1" x14ac:dyDescent="0.2">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c r="Z183" s="272"/>
    </row>
    <row r="184" spans="1:26" ht="15.75" customHeight="1" x14ac:dyDescent="0.2">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c r="Z184" s="272"/>
    </row>
    <row r="185" spans="1:26" ht="15.75" customHeight="1" x14ac:dyDescent="0.2">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c r="Z185" s="272"/>
    </row>
    <row r="186" spans="1:26" ht="15.75" customHeight="1" x14ac:dyDescent="0.2">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c r="Z186" s="272"/>
    </row>
    <row r="187" spans="1:26" ht="15.75" customHeight="1" x14ac:dyDescent="0.2">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c r="Z187" s="272"/>
    </row>
    <row r="188" spans="1:26" ht="15.75" customHeight="1" x14ac:dyDescent="0.2">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c r="Z188" s="272"/>
    </row>
    <row r="189" spans="1:26" ht="15.75" customHeight="1" x14ac:dyDescent="0.2">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c r="Z189" s="272"/>
    </row>
    <row r="190" spans="1:26" ht="15.75" customHeight="1" x14ac:dyDescent="0.2">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c r="Z190" s="272"/>
    </row>
    <row r="191" spans="1:26" ht="15.75" customHeight="1" x14ac:dyDescent="0.2">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c r="Z191" s="272"/>
    </row>
    <row r="192" spans="1:26" ht="15.75" customHeight="1" x14ac:dyDescent="0.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c r="Z192" s="272"/>
    </row>
    <row r="193" spans="1:26" ht="15.75" customHeight="1" x14ac:dyDescent="0.2">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c r="Z193" s="272"/>
    </row>
    <row r="194" spans="1:26" ht="15.75" customHeight="1" x14ac:dyDescent="0.2">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c r="Z194" s="272"/>
    </row>
    <row r="195" spans="1:26" ht="15.75" customHeight="1" x14ac:dyDescent="0.2">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c r="Z195" s="272"/>
    </row>
    <row r="196" spans="1:26" ht="15.75" customHeight="1" x14ac:dyDescent="0.2">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c r="Z196" s="272"/>
    </row>
    <row r="197" spans="1:26" ht="15.75" customHeight="1" x14ac:dyDescent="0.2">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c r="Z197" s="272"/>
    </row>
    <row r="198" spans="1:26" ht="15.75" customHeight="1" x14ac:dyDescent="0.2">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c r="Z198" s="272"/>
    </row>
    <row r="199" spans="1:26" ht="15.75" customHeight="1" x14ac:dyDescent="0.2">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c r="Z199" s="272"/>
    </row>
    <row r="200" spans="1:26" ht="15.75" customHeight="1" x14ac:dyDescent="0.2">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c r="Z200" s="272"/>
    </row>
    <row r="201" spans="1:26" ht="15.75" customHeight="1" x14ac:dyDescent="0.2">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c r="Z201" s="272"/>
    </row>
    <row r="202" spans="1:26" ht="15.75" customHeight="1" x14ac:dyDescent="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c r="Z202" s="272"/>
    </row>
    <row r="203" spans="1:26" ht="15.75" customHeight="1" x14ac:dyDescent="0.2">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c r="Z203" s="272"/>
    </row>
    <row r="204" spans="1:26" ht="15.75" customHeight="1" x14ac:dyDescent="0.2">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c r="Z204" s="272"/>
    </row>
    <row r="205" spans="1:26" ht="15.75" customHeight="1" x14ac:dyDescent="0.2">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c r="Z205" s="272"/>
    </row>
    <row r="206" spans="1:26" ht="15.75" customHeight="1" x14ac:dyDescent="0.2">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c r="Z206" s="272"/>
    </row>
    <row r="207" spans="1:26" ht="15.75" customHeight="1" x14ac:dyDescent="0.2">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72"/>
    </row>
    <row r="208" spans="1:26" ht="15.75" customHeight="1" x14ac:dyDescent="0.2">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c r="Z208" s="272"/>
    </row>
    <row r="209" spans="1:26" ht="15.75" customHeight="1" x14ac:dyDescent="0.2">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c r="Z209" s="272"/>
    </row>
    <row r="210" spans="1:26" ht="15.75" customHeight="1" x14ac:dyDescent="0.2">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c r="Z210" s="272"/>
    </row>
    <row r="211" spans="1:26" ht="15.75" customHeight="1" x14ac:dyDescent="0.2">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c r="Z211" s="272"/>
    </row>
    <row r="212" spans="1:26" ht="15.75" customHeight="1" x14ac:dyDescent="0.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72"/>
    </row>
    <row r="213" spans="1:26" ht="15.75" customHeight="1" x14ac:dyDescent="0.2">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72"/>
    </row>
    <row r="214" spans="1:26" ht="15.75" customHeight="1" x14ac:dyDescent="0.2">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72"/>
    </row>
    <row r="215" spans="1:26" ht="15.75" customHeight="1" x14ac:dyDescent="0.2">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row>
    <row r="216" spans="1:26" ht="15.75" customHeight="1" x14ac:dyDescent="0.2">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72"/>
    </row>
    <row r="217" spans="1:26" ht="15.75" customHeight="1" x14ac:dyDescent="0.2">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72"/>
    </row>
    <row r="218" spans="1:26" ht="15.75" customHeight="1" x14ac:dyDescent="0.2">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c r="Z218" s="272"/>
    </row>
    <row r="219" spans="1:26" ht="15.75" customHeight="1" x14ac:dyDescent="0.2">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c r="Z219" s="272"/>
    </row>
    <row r="220" spans="1:26" ht="15.75" customHeight="1" x14ac:dyDescent="0.2">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c r="Z220" s="272"/>
    </row>
    <row r="221" spans="1:26" ht="15.75" customHeight="1" x14ac:dyDescent="0.2">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c r="Z221" s="272"/>
    </row>
    <row r="222" spans="1:26" ht="15.75" customHeight="1" x14ac:dyDescent="0.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c r="Z222" s="272"/>
    </row>
    <row r="223" spans="1:26" ht="15.75" customHeight="1" x14ac:dyDescent="0.2">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row>
    <row r="224" spans="1:26" ht="15.75" customHeight="1" x14ac:dyDescent="0.2">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row>
    <row r="225" spans="1:26" ht="15.75" customHeight="1" x14ac:dyDescent="0.2">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c r="Z225" s="272"/>
    </row>
    <row r="226" spans="1:26" ht="15.75" customHeight="1" x14ac:dyDescent="0.2">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row>
    <row r="227" spans="1:26" ht="15.75" customHeight="1" x14ac:dyDescent="0.2">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row>
    <row r="228" spans="1:26" ht="15.75" customHeight="1" x14ac:dyDescent="0.2">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c r="Z228" s="272"/>
    </row>
    <row r="229" spans="1:26" ht="15.75" customHeight="1" x14ac:dyDescent="0.2">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row>
    <row r="230" spans="1:26" ht="15.75" customHeight="1" x14ac:dyDescent="0.2">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c r="Z230" s="272"/>
    </row>
    <row r="231" spans="1:26" ht="15.75" customHeight="1" x14ac:dyDescent="0.2">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row>
    <row r="232" spans="1:26" ht="15.75" customHeight="1" x14ac:dyDescent="0.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row>
    <row r="233" spans="1:26" ht="15.75" customHeight="1" x14ac:dyDescent="0.2">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row>
    <row r="234" spans="1:26" ht="15.75" customHeight="1" x14ac:dyDescent="0.2">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row>
    <row r="235" spans="1:26" ht="15.75" customHeight="1" x14ac:dyDescent="0.2">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row>
    <row r="236" spans="1:26" ht="15.75" customHeight="1" x14ac:dyDescent="0.2">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row>
    <row r="237" spans="1:26" ht="15.75" customHeight="1" x14ac:dyDescent="0.2">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row>
    <row r="238" spans="1:26" ht="15.75" customHeight="1" x14ac:dyDescent="0.2">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row>
    <row r="239" spans="1:26" ht="15.75" customHeight="1" x14ac:dyDescent="0.2">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row>
    <row r="240" spans="1:26" ht="15.75" customHeight="1" x14ac:dyDescent="0.2">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row>
    <row r="241" spans="1:26" ht="15.75" customHeight="1" x14ac:dyDescent="0.2">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row>
    <row r="242" spans="1:26" ht="15.75" customHeight="1" x14ac:dyDescent="0.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row>
    <row r="243" spans="1:26" ht="15.75" customHeight="1" x14ac:dyDescent="0.2">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row>
    <row r="244" spans="1:26" ht="15.75" customHeight="1" x14ac:dyDescent="0.2">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row>
    <row r="245" spans="1:26" ht="15.75" customHeight="1" x14ac:dyDescent="0.2">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row>
    <row r="246" spans="1:26" ht="15.75" customHeight="1" x14ac:dyDescent="0.2">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row>
    <row r="247" spans="1:26" ht="15.75" customHeight="1" x14ac:dyDescent="0.2">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row>
    <row r="248" spans="1:26" ht="15.75" customHeight="1" x14ac:dyDescent="0.2">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row>
    <row r="249" spans="1:26" ht="15.75" customHeight="1" x14ac:dyDescent="0.2">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row>
    <row r="250" spans="1:26" ht="15.75" customHeight="1" x14ac:dyDescent="0.2">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row>
    <row r="251" spans="1:26" ht="15.75" customHeight="1" x14ac:dyDescent="0.2">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row>
    <row r="252" spans="1:26" ht="15.75" customHeight="1" x14ac:dyDescent="0.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row>
    <row r="253" spans="1:26" ht="15.75" customHeight="1" x14ac:dyDescent="0.2">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row>
    <row r="254" spans="1:26" ht="15.75" customHeight="1" x14ac:dyDescent="0.2">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row>
    <row r="255" spans="1:26" ht="15.75" customHeight="1" x14ac:dyDescent="0.2">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row>
    <row r="256" spans="1:26" ht="15.75" customHeight="1" x14ac:dyDescent="0.2">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row>
    <row r="257" spans="1:26" ht="15.75" customHeight="1" x14ac:dyDescent="0.2">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row>
    <row r="258" spans="1:26" ht="15.75" customHeight="1" x14ac:dyDescent="0.2">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row>
    <row r="259" spans="1:26" ht="15.75" customHeight="1" x14ac:dyDescent="0.2">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row>
    <row r="260" spans="1:26" ht="15.75" customHeight="1" x14ac:dyDescent="0.2">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row>
    <row r="261" spans="1:26" ht="15.75" customHeight="1" x14ac:dyDescent="0.2">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row>
    <row r="262" spans="1:26" ht="15.75" customHeight="1" x14ac:dyDescent="0.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row>
    <row r="263" spans="1:26" ht="15.75" customHeight="1" x14ac:dyDescent="0.2">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row>
    <row r="264" spans="1:26" ht="15.75" customHeight="1" x14ac:dyDescent="0.2">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row>
    <row r="265" spans="1:26" ht="15.75" customHeight="1" x14ac:dyDescent="0.2">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row>
    <row r="266" spans="1:26" ht="15.75" customHeight="1" x14ac:dyDescent="0.2">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row>
    <row r="267" spans="1:26" ht="15.75" customHeight="1" x14ac:dyDescent="0.2">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row>
    <row r="268" spans="1:26" ht="15.75" customHeight="1" x14ac:dyDescent="0.2">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row>
    <row r="269" spans="1:26" ht="15.75" customHeight="1" x14ac:dyDescent="0.2">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row>
    <row r="270" spans="1:26" ht="15.75" customHeight="1" x14ac:dyDescent="0.2">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row>
    <row r="271" spans="1:26" ht="15.75" customHeight="1" x14ac:dyDescent="0.2">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row>
    <row r="272" spans="1:26" ht="15.75" customHeight="1" x14ac:dyDescent="0.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row>
    <row r="273" spans="1:26" ht="15.75" customHeight="1" x14ac:dyDescent="0.2">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row>
    <row r="274" spans="1:26" ht="15.75" customHeight="1" x14ac:dyDescent="0.2">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row>
    <row r="275" spans="1:26" ht="15.75" customHeight="1" x14ac:dyDescent="0.2">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row>
    <row r="276" spans="1:26" ht="15.75" customHeight="1" x14ac:dyDescent="0.2">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row>
    <row r="277" spans="1:26" ht="15.75" customHeight="1" x14ac:dyDescent="0.2">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row>
    <row r="278" spans="1:26" ht="15.75" customHeight="1" x14ac:dyDescent="0.2">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row>
    <row r="279" spans="1:26" ht="15.75" customHeight="1" x14ac:dyDescent="0.2">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row>
    <row r="280" spans="1:26" ht="15.75" customHeight="1" x14ac:dyDescent="0.2">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row>
    <row r="281" spans="1:26" ht="15.75" customHeight="1" x14ac:dyDescent="0.2">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row>
    <row r="282" spans="1:26" ht="15.75" customHeight="1" x14ac:dyDescent="0.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row>
    <row r="283" spans="1:26" ht="15.75" customHeight="1" x14ac:dyDescent="0.2">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row>
    <row r="284" spans="1:26" ht="15.75" customHeight="1" x14ac:dyDescent="0.2">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row>
    <row r="285" spans="1:26" ht="15.75" customHeight="1" x14ac:dyDescent="0.2">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row>
    <row r="286" spans="1:26" ht="15.75" customHeight="1" x14ac:dyDescent="0.2">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row>
    <row r="287" spans="1:26" ht="15.75" customHeight="1" x14ac:dyDescent="0.2">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row>
    <row r="288" spans="1:26" ht="15.75" customHeight="1" x14ac:dyDescent="0.2">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row>
    <row r="289" spans="1:26" ht="15.75" customHeight="1" x14ac:dyDescent="0.2">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row>
    <row r="290" spans="1:26" ht="15.75" customHeight="1" x14ac:dyDescent="0.2">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row>
    <row r="291" spans="1:26" ht="15.75" customHeight="1" x14ac:dyDescent="0.2">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row>
    <row r="292" spans="1:26" ht="15.75" customHeight="1" x14ac:dyDescent="0.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row>
    <row r="293" spans="1:26" ht="15.75" customHeight="1" x14ac:dyDescent="0.2">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row>
    <row r="294" spans="1:26" ht="15.75" customHeight="1" x14ac:dyDescent="0.2">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row>
    <row r="295" spans="1:26" ht="15.75" customHeight="1" x14ac:dyDescent="0.2">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row>
    <row r="296" spans="1:26" ht="15.75" customHeight="1" x14ac:dyDescent="0.2">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row>
    <row r="297" spans="1:26" ht="15.75" customHeight="1" x14ac:dyDescent="0.2">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row>
    <row r="298" spans="1:26" ht="15.75" customHeight="1" x14ac:dyDescent="0.2">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row>
    <row r="299" spans="1:26" ht="15.75" customHeight="1" x14ac:dyDescent="0.2">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row>
    <row r="300" spans="1:26" ht="15.75" customHeight="1" x14ac:dyDescent="0.2">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row>
    <row r="301" spans="1:26" ht="15.75" customHeight="1" x14ac:dyDescent="0.2">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row>
    <row r="302" spans="1:26" ht="15.75" customHeight="1" x14ac:dyDescent="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row>
    <row r="303" spans="1:26" ht="15.75" customHeight="1" x14ac:dyDescent="0.2">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row>
    <row r="304" spans="1:26" ht="15.75" customHeight="1" x14ac:dyDescent="0.2">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row>
    <row r="305" spans="1:26" ht="15.75" customHeight="1" x14ac:dyDescent="0.2">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row>
    <row r="306" spans="1:26" ht="15.75" customHeight="1" x14ac:dyDescent="0.2">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row>
    <row r="307" spans="1:26" ht="15.75" customHeight="1" x14ac:dyDescent="0.2">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row>
    <row r="308" spans="1:26" ht="15.75" customHeight="1" x14ac:dyDescent="0.2">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row>
    <row r="309" spans="1:26" ht="15.75" customHeight="1" x14ac:dyDescent="0.2">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row>
    <row r="310" spans="1:26" ht="15.75" customHeight="1" x14ac:dyDescent="0.2">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row>
    <row r="311" spans="1:26" ht="15.75" customHeight="1" x14ac:dyDescent="0.2">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row>
    <row r="312" spans="1:26" ht="15.75" customHeight="1" x14ac:dyDescent="0.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row>
    <row r="313" spans="1:26" ht="15.75" customHeight="1" x14ac:dyDescent="0.2">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row>
    <row r="314" spans="1:26" ht="15.75" customHeight="1" x14ac:dyDescent="0.2">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row>
    <row r="315" spans="1:26" ht="15.75" customHeight="1" x14ac:dyDescent="0.2">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row>
    <row r="316" spans="1:26" ht="15.75" customHeight="1" x14ac:dyDescent="0.2">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row>
    <row r="317" spans="1:26" ht="15.75" customHeight="1" x14ac:dyDescent="0.2">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row>
    <row r="318" spans="1:26" ht="15.75" customHeight="1" x14ac:dyDescent="0.2">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row>
    <row r="319" spans="1:26" ht="15.75" customHeight="1" x14ac:dyDescent="0.2">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row>
    <row r="320" spans="1:26" ht="15.75" customHeight="1" x14ac:dyDescent="0.2">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row>
    <row r="321" spans="1:26" ht="15.75" customHeight="1" x14ac:dyDescent="0.2">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row>
    <row r="322" spans="1:26" ht="15.75" customHeight="1" x14ac:dyDescent="0.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row>
    <row r="323" spans="1:26" ht="15.75" customHeight="1" x14ac:dyDescent="0.2">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row>
    <row r="324" spans="1:26" ht="15.75" customHeight="1" x14ac:dyDescent="0.2">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row>
    <row r="325" spans="1:26" ht="15.75" customHeight="1" x14ac:dyDescent="0.2">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row>
    <row r="326" spans="1:26" ht="15.75" customHeight="1" x14ac:dyDescent="0.2">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row>
    <row r="327" spans="1:26" ht="15.75" customHeight="1" x14ac:dyDescent="0.2">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row>
    <row r="328" spans="1:26" ht="15.75" customHeight="1" x14ac:dyDescent="0.2">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row>
    <row r="329" spans="1:26" ht="15.75" customHeight="1" x14ac:dyDescent="0.2">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row>
    <row r="330" spans="1:26" ht="15.75" customHeight="1" x14ac:dyDescent="0.2">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row>
    <row r="331" spans="1:26" ht="15.75" customHeight="1" x14ac:dyDescent="0.2">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row>
    <row r="332" spans="1:26" ht="15.75" customHeight="1" x14ac:dyDescent="0.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row>
    <row r="333" spans="1:26" ht="15.75" customHeight="1" x14ac:dyDescent="0.2">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row>
    <row r="334" spans="1:26" ht="15.75" customHeight="1" x14ac:dyDescent="0.2">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row>
    <row r="335" spans="1:26" ht="15.75" customHeight="1" x14ac:dyDescent="0.2">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row>
    <row r="336" spans="1:26" ht="15.75" customHeight="1" x14ac:dyDescent="0.2">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row>
    <row r="337" spans="1:26" ht="15.75" customHeight="1" x14ac:dyDescent="0.2">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row>
    <row r="338" spans="1:26" ht="15.75" customHeight="1" x14ac:dyDescent="0.2">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row>
    <row r="339" spans="1:26" ht="15.75" customHeight="1" x14ac:dyDescent="0.2">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row>
    <row r="340" spans="1:26" ht="15.75" customHeight="1" x14ac:dyDescent="0.2">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row>
    <row r="341" spans="1:26" ht="15.75" customHeight="1" x14ac:dyDescent="0.2">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row>
    <row r="342" spans="1:26" ht="15.75" customHeight="1" x14ac:dyDescent="0.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row>
    <row r="343" spans="1:26" ht="15.75" customHeight="1" x14ac:dyDescent="0.2">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row>
    <row r="344" spans="1:26" ht="15.75" customHeight="1" x14ac:dyDescent="0.2">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row>
    <row r="345" spans="1:26" ht="15.75" customHeight="1" x14ac:dyDescent="0.2">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row>
    <row r="346" spans="1:26" ht="15.75" customHeight="1" x14ac:dyDescent="0.2">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row>
    <row r="347" spans="1:26" ht="15.75" customHeight="1" x14ac:dyDescent="0.2">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row>
    <row r="348" spans="1:26" ht="15.75" customHeight="1" x14ac:dyDescent="0.2">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row>
    <row r="349" spans="1:26" ht="15.75" customHeight="1" x14ac:dyDescent="0.2">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row>
    <row r="350" spans="1:26" ht="15.75" customHeight="1" x14ac:dyDescent="0.2">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row>
    <row r="351" spans="1:26" ht="15.75" customHeight="1" x14ac:dyDescent="0.2">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row>
    <row r="352" spans="1:26" ht="15.75" customHeight="1" x14ac:dyDescent="0.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row>
    <row r="353" spans="1:26" ht="15.75" customHeight="1" x14ac:dyDescent="0.2">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row>
    <row r="354" spans="1:26" ht="15.75" customHeight="1" x14ac:dyDescent="0.2">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row>
    <row r="355" spans="1:26" ht="15.75" customHeight="1" x14ac:dyDescent="0.2">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row>
    <row r="356" spans="1:26" ht="15.75" customHeight="1" x14ac:dyDescent="0.2">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row>
    <row r="357" spans="1:26" ht="15.75" customHeight="1" x14ac:dyDescent="0.2">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row>
    <row r="358" spans="1:26" ht="15.75" customHeight="1" x14ac:dyDescent="0.2">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row>
    <row r="359" spans="1:26" ht="15.75" customHeight="1" x14ac:dyDescent="0.2">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row>
    <row r="360" spans="1:26" ht="15.75" customHeight="1" x14ac:dyDescent="0.2">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row>
    <row r="361" spans="1:26" ht="15.75" customHeight="1" x14ac:dyDescent="0.2">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row>
    <row r="362" spans="1:26" ht="15.75" customHeight="1" x14ac:dyDescent="0.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row>
    <row r="363" spans="1:26" ht="15.75" customHeight="1" x14ac:dyDescent="0.2">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row>
    <row r="364" spans="1:26" ht="15.75" customHeight="1" x14ac:dyDescent="0.2">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row>
    <row r="365" spans="1:26" ht="15.75" customHeight="1" x14ac:dyDescent="0.2">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row>
    <row r="366" spans="1:26" ht="15.75" customHeight="1" x14ac:dyDescent="0.2">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row>
    <row r="367" spans="1:26" ht="15.75" customHeight="1" x14ac:dyDescent="0.2">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row>
    <row r="368" spans="1:26" ht="15.75" customHeight="1" x14ac:dyDescent="0.2">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row>
    <row r="369" spans="1:26" ht="15.75" customHeight="1" x14ac:dyDescent="0.2">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row>
    <row r="370" spans="1:26" ht="15.75" customHeight="1" x14ac:dyDescent="0.2">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row>
    <row r="371" spans="1:26" ht="15.75" customHeight="1" x14ac:dyDescent="0.2">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row>
    <row r="372" spans="1:26" ht="15.75" customHeight="1" x14ac:dyDescent="0.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row>
    <row r="373" spans="1:26" ht="15.75" customHeight="1" x14ac:dyDescent="0.2">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row>
    <row r="374" spans="1:26" ht="15.75" customHeight="1" x14ac:dyDescent="0.2">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row>
    <row r="375" spans="1:26" ht="15.75" customHeight="1" x14ac:dyDescent="0.2">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row>
    <row r="376" spans="1:26" ht="15.75" customHeight="1" x14ac:dyDescent="0.2">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row>
    <row r="377" spans="1:26" ht="15.75" customHeight="1" x14ac:dyDescent="0.2">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row>
    <row r="378" spans="1:26" ht="15.75" customHeight="1" x14ac:dyDescent="0.2">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row>
    <row r="379" spans="1:26" ht="15.75" customHeight="1" x14ac:dyDescent="0.2">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row>
    <row r="380" spans="1:26" ht="15.75" customHeight="1" x14ac:dyDescent="0.2">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row>
    <row r="381" spans="1:26" ht="15.75" customHeight="1" x14ac:dyDescent="0.2">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row>
    <row r="382" spans="1:26" ht="15.75" customHeight="1" x14ac:dyDescent="0.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row>
    <row r="383" spans="1:26" ht="15.75" customHeight="1" x14ac:dyDescent="0.2">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row>
    <row r="384" spans="1:26" ht="15.75" customHeight="1" x14ac:dyDescent="0.2">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row>
    <row r="385" spans="1:26" ht="15.75" customHeight="1" x14ac:dyDescent="0.2">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row>
    <row r="386" spans="1:26" ht="15.75" customHeight="1" x14ac:dyDescent="0.2">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row>
    <row r="387" spans="1:26" ht="15.75" customHeight="1" x14ac:dyDescent="0.2">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row>
    <row r="388" spans="1:26" ht="15.75" customHeight="1" x14ac:dyDescent="0.2">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row>
    <row r="389" spans="1:26" ht="15.75" customHeight="1" x14ac:dyDescent="0.2">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row>
    <row r="390" spans="1:26" ht="15.75" customHeight="1" x14ac:dyDescent="0.2">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row>
    <row r="391" spans="1:26" ht="15.75" customHeight="1" x14ac:dyDescent="0.2">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row>
    <row r="392" spans="1:26" ht="15.75" customHeight="1" x14ac:dyDescent="0.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row>
    <row r="393" spans="1:26" ht="15.75" customHeight="1" x14ac:dyDescent="0.2">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row>
    <row r="394" spans="1:26" ht="15.75" customHeight="1" x14ac:dyDescent="0.2">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row>
    <row r="395" spans="1:26" ht="15.75" customHeight="1" x14ac:dyDescent="0.2">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row>
    <row r="396" spans="1:26" ht="15.75" customHeight="1" x14ac:dyDescent="0.2">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row>
    <row r="397" spans="1:26" ht="15.75" customHeight="1" x14ac:dyDescent="0.2">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row>
    <row r="398" spans="1:26" ht="15.75" customHeight="1" x14ac:dyDescent="0.2">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row>
    <row r="399" spans="1:26" ht="15.75" customHeight="1" x14ac:dyDescent="0.2">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row>
    <row r="400" spans="1:26" ht="15.75" customHeight="1" x14ac:dyDescent="0.2">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row>
    <row r="401" spans="1:26" ht="15.75" customHeight="1" x14ac:dyDescent="0.2">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row>
    <row r="402" spans="1:26" ht="15.75" customHeight="1" x14ac:dyDescent="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row>
    <row r="403" spans="1:26" ht="15.75" customHeight="1" x14ac:dyDescent="0.2">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row>
    <row r="404" spans="1:26" ht="15.75" customHeight="1" x14ac:dyDescent="0.2">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row>
    <row r="405" spans="1:26" ht="15.75" customHeight="1" x14ac:dyDescent="0.2">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row>
    <row r="406" spans="1:26" ht="15.75" customHeight="1" x14ac:dyDescent="0.2">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row>
    <row r="407" spans="1:26" ht="15.75" customHeight="1" x14ac:dyDescent="0.2">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row>
    <row r="408" spans="1:26" ht="15.75" customHeight="1" x14ac:dyDescent="0.2">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row>
    <row r="409" spans="1:26" ht="15.75" customHeight="1" x14ac:dyDescent="0.2">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row>
    <row r="410" spans="1:26" ht="15.75" customHeight="1" x14ac:dyDescent="0.2">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row>
    <row r="411" spans="1:26" ht="15.75" customHeight="1" x14ac:dyDescent="0.2">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row>
    <row r="412" spans="1:26" ht="15.75" customHeight="1" x14ac:dyDescent="0.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row>
    <row r="413" spans="1:26" ht="15.75" customHeight="1" x14ac:dyDescent="0.2">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row>
    <row r="414" spans="1:26" ht="15.75" customHeight="1" x14ac:dyDescent="0.2">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row>
    <row r="415" spans="1:26" ht="15.75" customHeight="1" x14ac:dyDescent="0.2">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row>
    <row r="416" spans="1:26" ht="15.75" customHeight="1" x14ac:dyDescent="0.2">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row>
    <row r="417" spans="1:26" ht="15.75" customHeight="1" x14ac:dyDescent="0.2">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row>
    <row r="418" spans="1:26" ht="15.75" customHeight="1" x14ac:dyDescent="0.2">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row>
    <row r="419" spans="1:26" ht="15.75" customHeight="1" x14ac:dyDescent="0.2">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row>
    <row r="420" spans="1:26" ht="15.75" customHeight="1" x14ac:dyDescent="0.2">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row>
    <row r="421" spans="1:26" ht="15.75" customHeight="1" x14ac:dyDescent="0.2">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row>
    <row r="422" spans="1:26" ht="15.75" customHeight="1" x14ac:dyDescent="0.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row>
    <row r="423" spans="1:26" ht="15.75" customHeight="1" x14ac:dyDescent="0.2">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row>
    <row r="424" spans="1:26" ht="15.75" customHeight="1" x14ac:dyDescent="0.2">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row>
    <row r="425" spans="1:26" ht="15.75" customHeight="1" x14ac:dyDescent="0.2">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row>
    <row r="426" spans="1:26" ht="15.75" customHeight="1" x14ac:dyDescent="0.2">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row>
    <row r="427" spans="1:26" ht="15.75" customHeight="1" x14ac:dyDescent="0.2">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row>
    <row r="428" spans="1:26" ht="15.75" customHeight="1" x14ac:dyDescent="0.2">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row>
    <row r="429" spans="1:26" ht="15.75" customHeight="1" x14ac:dyDescent="0.2">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row>
    <row r="430" spans="1:26" ht="15.75" customHeight="1" x14ac:dyDescent="0.2">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row>
    <row r="431" spans="1:26" ht="15.75" customHeight="1" x14ac:dyDescent="0.2">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row>
    <row r="432" spans="1:26" ht="15.75" customHeight="1" x14ac:dyDescent="0.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row>
    <row r="433" spans="1:26" ht="15.75" customHeight="1" x14ac:dyDescent="0.2">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row>
    <row r="434" spans="1:26" ht="15.75" customHeight="1" x14ac:dyDescent="0.2">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row>
    <row r="435" spans="1:26" ht="15.75" customHeight="1" x14ac:dyDescent="0.2">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row>
    <row r="436" spans="1:26" ht="15.75" customHeight="1" x14ac:dyDescent="0.2">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row>
    <row r="437" spans="1:26" ht="15.75" customHeight="1" x14ac:dyDescent="0.2">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row>
    <row r="438" spans="1:26" ht="15.75" customHeight="1" x14ac:dyDescent="0.2">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row>
    <row r="439" spans="1:26" ht="15.75" customHeight="1" x14ac:dyDescent="0.2">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row>
    <row r="440" spans="1:26" ht="15.75" customHeight="1" x14ac:dyDescent="0.2">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row>
    <row r="441" spans="1:26" ht="15.75" customHeight="1" x14ac:dyDescent="0.2">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row>
    <row r="442" spans="1:26" ht="15.75" customHeight="1" x14ac:dyDescent="0.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row>
    <row r="443" spans="1:26" ht="15.75" customHeight="1" x14ac:dyDescent="0.2">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row>
    <row r="444" spans="1:26" ht="15.75" customHeight="1" x14ac:dyDescent="0.2">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row>
    <row r="445" spans="1:26" ht="15.75" customHeight="1" x14ac:dyDescent="0.2">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row>
    <row r="446" spans="1:26" ht="15.75" customHeight="1" x14ac:dyDescent="0.2">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row>
    <row r="447" spans="1:26" ht="15.75" customHeight="1" x14ac:dyDescent="0.2">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row>
    <row r="448" spans="1:26" ht="15.75" customHeight="1" x14ac:dyDescent="0.2">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row>
    <row r="449" spans="1:26" ht="15.75" customHeight="1" x14ac:dyDescent="0.2">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row>
    <row r="450" spans="1:26" ht="15.75" customHeight="1" x14ac:dyDescent="0.2">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row>
    <row r="451" spans="1:26" ht="15.75" customHeight="1" x14ac:dyDescent="0.2">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row>
    <row r="452" spans="1:26" ht="15.75" customHeight="1" x14ac:dyDescent="0.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row>
    <row r="453" spans="1:26" ht="15.75" customHeight="1" x14ac:dyDescent="0.2">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row>
    <row r="454" spans="1:26" ht="15.75" customHeight="1" x14ac:dyDescent="0.2">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row>
    <row r="455" spans="1:26" ht="15.75" customHeight="1" x14ac:dyDescent="0.2">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row>
    <row r="456" spans="1:26" ht="15.75" customHeight="1" x14ac:dyDescent="0.2">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row>
    <row r="457" spans="1:26" ht="15.75" customHeight="1" x14ac:dyDescent="0.2">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row>
    <row r="458" spans="1:26" ht="15.75" customHeight="1" x14ac:dyDescent="0.2">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row>
    <row r="459" spans="1:26" ht="15.75" customHeight="1" x14ac:dyDescent="0.2">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row>
    <row r="460" spans="1:26" ht="15.75" customHeight="1" x14ac:dyDescent="0.2">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row>
    <row r="461" spans="1:26" ht="15.75" customHeight="1" x14ac:dyDescent="0.2">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row>
    <row r="462" spans="1:26" ht="15.75" customHeight="1" x14ac:dyDescent="0.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row>
    <row r="463" spans="1:26" ht="15.75" customHeight="1" x14ac:dyDescent="0.2">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row>
    <row r="464" spans="1:26" ht="15.75" customHeight="1" x14ac:dyDescent="0.2">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row>
    <row r="465" spans="1:26" ht="15.75" customHeight="1" x14ac:dyDescent="0.2">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row>
    <row r="466" spans="1:26" ht="15.75" customHeight="1" x14ac:dyDescent="0.2">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row>
    <row r="467" spans="1:26" ht="15.75" customHeight="1" x14ac:dyDescent="0.2">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row>
    <row r="468" spans="1:26" ht="15.75" customHeight="1" x14ac:dyDescent="0.2">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row>
    <row r="469" spans="1:26" ht="15.75" customHeight="1" x14ac:dyDescent="0.2">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row>
    <row r="470" spans="1:26" ht="15.75" customHeight="1" x14ac:dyDescent="0.2">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row>
    <row r="471" spans="1:26" ht="15.75" customHeight="1" x14ac:dyDescent="0.2">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row>
    <row r="472" spans="1:26" ht="15.75" customHeight="1" x14ac:dyDescent="0.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row>
    <row r="473" spans="1:26" ht="15.75" customHeight="1" x14ac:dyDescent="0.2">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row>
    <row r="474" spans="1:26" ht="15.75" customHeight="1" x14ac:dyDescent="0.2">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row>
    <row r="475" spans="1:26" ht="15.75" customHeight="1" x14ac:dyDescent="0.2">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row>
    <row r="476" spans="1:26" ht="15.75" customHeight="1" x14ac:dyDescent="0.2">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row>
    <row r="477" spans="1:26" ht="15.75" customHeight="1" x14ac:dyDescent="0.2">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row>
    <row r="478" spans="1:26" ht="15.75" customHeight="1" x14ac:dyDescent="0.2">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row>
    <row r="479" spans="1:26" ht="15.75" customHeight="1" x14ac:dyDescent="0.2">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row>
    <row r="480" spans="1:26" ht="15.75" customHeight="1" x14ac:dyDescent="0.2">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row>
    <row r="481" spans="1:26" ht="15.75" customHeight="1" x14ac:dyDescent="0.2">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row>
    <row r="482" spans="1:26" ht="15.75" customHeight="1" x14ac:dyDescent="0.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row>
    <row r="483" spans="1:26" ht="15.75" customHeight="1" x14ac:dyDescent="0.2">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row>
    <row r="484" spans="1:26" ht="15.75" customHeight="1" x14ac:dyDescent="0.2">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row>
    <row r="485" spans="1:26" ht="15.75" customHeight="1" x14ac:dyDescent="0.2">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row>
    <row r="486" spans="1:26" ht="15.75" customHeight="1" x14ac:dyDescent="0.2">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row>
    <row r="487" spans="1:26" ht="15.75" customHeight="1" x14ac:dyDescent="0.2">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row>
    <row r="488" spans="1:26" ht="15.75" customHeight="1" x14ac:dyDescent="0.2">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row>
    <row r="489" spans="1:26" ht="15.75" customHeight="1" x14ac:dyDescent="0.2">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row>
    <row r="490" spans="1:26" ht="15.75" customHeight="1" x14ac:dyDescent="0.2">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row>
    <row r="491" spans="1:26" ht="15.75" customHeight="1" x14ac:dyDescent="0.2">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row>
    <row r="492" spans="1:26" ht="15.75" customHeight="1" x14ac:dyDescent="0.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row>
    <row r="493" spans="1:26" ht="15.75" customHeight="1" x14ac:dyDescent="0.2">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row>
    <row r="494" spans="1:26" ht="15.75" customHeight="1" x14ac:dyDescent="0.2">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row>
    <row r="495" spans="1:26" ht="15.75" customHeight="1" x14ac:dyDescent="0.2">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row>
    <row r="496" spans="1:26" ht="15.75" customHeight="1" x14ac:dyDescent="0.2">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row>
    <row r="497" spans="1:26" ht="15.75" customHeight="1" x14ac:dyDescent="0.2">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row>
    <row r="498" spans="1:26" ht="15.75" customHeight="1" x14ac:dyDescent="0.2">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row>
    <row r="499" spans="1:26" ht="15.75" customHeight="1" x14ac:dyDescent="0.2">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row>
    <row r="500" spans="1:26" ht="15.75" customHeight="1" x14ac:dyDescent="0.2">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row>
    <row r="501" spans="1:26" ht="15.75" customHeight="1" x14ac:dyDescent="0.2">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row>
    <row r="502" spans="1:26" ht="15.75" customHeight="1" x14ac:dyDescent="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row>
    <row r="503" spans="1:26" ht="15.75" customHeight="1" x14ac:dyDescent="0.2">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row>
    <row r="504" spans="1:26" ht="15.75" customHeight="1" x14ac:dyDescent="0.2">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row>
    <row r="505" spans="1:26" ht="15.75" customHeight="1" x14ac:dyDescent="0.2">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row>
    <row r="506" spans="1:26" ht="15.75" customHeight="1" x14ac:dyDescent="0.2">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row>
    <row r="507" spans="1:26" ht="15.75" customHeight="1" x14ac:dyDescent="0.2">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row>
    <row r="508" spans="1:26" ht="15.75" customHeight="1" x14ac:dyDescent="0.2">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row>
    <row r="509" spans="1:26" ht="15.75" customHeight="1" x14ac:dyDescent="0.2">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row>
    <row r="510" spans="1:26" ht="15.75" customHeight="1" x14ac:dyDescent="0.2">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row>
    <row r="511" spans="1:26" ht="15.75" customHeight="1" x14ac:dyDescent="0.2">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row>
    <row r="512" spans="1:26" ht="15.75" customHeight="1" x14ac:dyDescent="0.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row>
    <row r="513" spans="1:26" ht="15.75" customHeight="1" x14ac:dyDescent="0.2">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row>
    <row r="514" spans="1:26" ht="15.75" customHeight="1" x14ac:dyDescent="0.2">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row>
    <row r="515" spans="1:26" ht="15.75" customHeight="1" x14ac:dyDescent="0.2">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row>
    <row r="516" spans="1:26" ht="15.75" customHeight="1" x14ac:dyDescent="0.2">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row>
    <row r="517" spans="1:26" ht="15.75" customHeight="1" x14ac:dyDescent="0.2">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row>
    <row r="518" spans="1:26" ht="15.75" customHeight="1" x14ac:dyDescent="0.2">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row>
    <row r="519" spans="1:26" ht="15.75" customHeight="1" x14ac:dyDescent="0.2">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row>
    <row r="520" spans="1:26" ht="15.75" customHeight="1" x14ac:dyDescent="0.2">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row>
    <row r="521" spans="1:26" ht="15.75" customHeight="1" x14ac:dyDescent="0.2">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row>
    <row r="522" spans="1:26" ht="15.75" customHeight="1" x14ac:dyDescent="0.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row>
    <row r="523" spans="1:26" ht="15.75" customHeight="1" x14ac:dyDescent="0.2">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row>
    <row r="524" spans="1:26" ht="15.75" customHeight="1" x14ac:dyDescent="0.2">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row>
    <row r="525" spans="1:26" ht="15.75" customHeight="1" x14ac:dyDescent="0.2">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row>
    <row r="526" spans="1:26" ht="15.75" customHeight="1" x14ac:dyDescent="0.2">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row>
    <row r="527" spans="1:26" ht="15.75" customHeight="1" x14ac:dyDescent="0.2">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row>
    <row r="528" spans="1:26" ht="15.75" customHeight="1" x14ac:dyDescent="0.2">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row>
    <row r="529" spans="1:26" ht="15.75" customHeight="1" x14ac:dyDescent="0.2">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row>
    <row r="530" spans="1:26" ht="15.75" customHeight="1" x14ac:dyDescent="0.2">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row>
    <row r="531" spans="1:26" ht="15.75" customHeight="1" x14ac:dyDescent="0.2">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row>
    <row r="532" spans="1:26" ht="15.75" customHeight="1" x14ac:dyDescent="0.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row>
    <row r="533" spans="1:26" ht="15.75" customHeight="1" x14ac:dyDescent="0.2">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row>
    <row r="534" spans="1:26" ht="15.75" customHeight="1" x14ac:dyDescent="0.2">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row>
    <row r="535" spans="1:26" ht="15.75" customHeight="1" x14ac:dyDescent="0.2">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row>
    <row r="536" spans="1:26" ht="15.75" customHeight="1" x14ac:dyDescent="0.2">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row>
    <row r="537" spans="1:26" ht="15.75" customHeight="1" x14ac:dyDescent="0.2">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row>
    <row r="538" spans="1:26" ht="15.75" customHeight="1" x14ac:dyDescent="0.2">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row>
    <row r="539" spans="1:26" ht="15.75" customHeight="1" x14ac:dyDescent="0.2">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row>
    <row r="540" spans="1:26" ht="15.75" customHeight="1" x14ac:dyDescent="0.2">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row>
    <row r="541" spans="1:26" ht="15.75" customHeight="1" x14ac:dyDescent="0.2">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row>
    <row r="542" spans="1:26" ht="15.75" customHeight="1" x14ac:dyDescent="0.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row>
    <row r="543" spans="1:26" ht="15.75" customHeight="1" x14ac:dyDescent="0.2">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row>
    <row r="544" spans="1:26" ht="15.75" customHeight="1" x14ac:dyDescent="0.2">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row>
    <row r="545" spans="1:26" ht="15.75" customHeight="1" x14ac:dyDescent="0.2">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row>
    <row r="546" spans="1:26" ht="15.75" customHeight="1" x14ac:dyDescent="0.2">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row>
    <row r="547" spans="1:26" ht="15.75" customHeight="1" x14ac:dyDescent="0.2">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row>
    <row r="548" spans="1:26" ht="15.75" customHeight="1" x14ac:dyDescent="0.2">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row>
    <row r="549" spans="1:26" ht="15.75" customHeight="1" x14ac:dyDescent="0.2">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row>
    <row r="550" spans="1:26" ht="15.75" customHeight="1" x14ac:dyDescent="0.2">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row>
    <row r="551" spans="1:26" ht="15.75" customHeight="1" x14ac:dyDescent="0.2">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row>
    <row r="552" spans="1:26" ht="15.75" customHeight="1" x14ac:dyDescent="0.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row>
    <row r="553" spans="1:26" ht="15.75" customHeight="1" x14ac:dyDescent="0.2">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row>
    <row r="554" spans="1:26" ht="15.75" customHeight="1" x14ac:dyDescent="0.2">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row>
    <row r="555" spans="1:26" ht="15.75" customHeight="1" x14ac:dyDescent="0.2">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row>
    <row r="556" spans="1:26" ht="15.75" customHeight="1" x14ac:dyDescent="0.2">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row>
    <row r="557" spans="1:26" ht="15.75" customHeight="1" x14ac:dyDescent="0.2">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row>
    <row r="558" spans="1:26" ht="15.75" customHeight="1" x14ac:dyDescent="0.2">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row>
    <row r="559" spans="1:26" ht="15.75" customHeight="1" x14ac:dyDescent="0.2">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row>
    <row r="560" spans="1:26" ht="15.75" customHeight="1" x14ac:dyDescent="0.2">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row>
    <row r="561" spans="1:26" ht="15.75" customHeight="1" x14ac:dyDescent="0.2">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row>
    <row r="562" spans="1:26" ht="15.75" customHeight="1" x14ac:dyDescent="0.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row>
    <row r="563" spans="1:26" ht="15.75" customHeight="1" x14ac:dyDescent="0.2">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row>
    <row r="564" spans="1:26" ht="15.75" customHeight="1" x14ac:dyDescent="0.2">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row>
    <row r="565" spans="1:26" ht="15.75" customHeight="1" x14ac:dyDescent="0.2">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row>
    <row r="566" spans="1:26" ht="15.75" customHeight="1" x14ac:dyDescent="0.2">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row>
    <row r="567" spans="1:26" ht="15.75" customHeight="1" x14ac:dyDescent="0.2">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row>
    <row r="568" spans="1:26" ht="15.75" customHeight="1" x14ac:dyDescent="0.2">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row>
    <row r="569" spans="1:26" ht="15.75" customHeight="1" x14ac:dyDescent="0.2">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row>
    <row r="570" spans="1:26" ht="15.75" customHeight="1" x14ac:dyDescent="0.2">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row>
    <row r="571" spans="1:26" ht="15.75" customHeight="1" x14ac:dyDescent="0.2">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row>
    <row r="572" spans="1:26" ht="15.75" customHeight="1" x14ac:dyDescent="0.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row>
    <row r="573" spans="1:26" ht="15.75" customHeight="1" x14ac:dyDescent="0.2">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row>
    <row r="574" spans="1:26" ht="15.75" customHeight="1" x14ac:dyDescent="0.2">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row>
    <row r="575" spans="1:26" ht="15.75" customHeight="1" x14ac:dyDescent="0.2">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row>
    <row r="576" spans="1:26" ht="15.75" customHeight="1" x14ac:dyDescent="0.2">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row>
    <row r="577" spans="1:26" ht="15.75" customHeight="1" x14ac:dyDescent="0.2">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row>
    <row r="578" spans="1:26" ht="15.75" customHeight="1" x14ac:dyDescent="0.2">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row>
    <row r="579" spans="1:26" ht="15.75" customHeight="1" x14ac:dyDescent="0.2">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row>
    <row r="580" spans="1:26" ht="15.75" customHeight="1" x14ac:dyDescent="0.2">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row>
    <row r="581" spans="1:26" ht="15.75" customHeight="1" x14ac:dyDescent="0.2">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row>
    <row r="582" spans="1:26" ht="15.75" customHeight="1" x14ac:dyDescent="0.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row>
    <row r="583" spans="1:26" ht="15.75" customHeight="1" x14ac:dyDescent="0.2">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row>
    <row r="584" spans="1:26" ht="15.75" customHeight="1" x14ac:dyDescent="0.2">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row>
    <row r="585" spans="1:26" ht="15.75" customHeight="1" x14ac:dyDescent="0.2">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row>
    <row r="586" spans="1:26" ht="15.75" customHeight="1" x14ac:dyDescent="0.2">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row>
    <row r="587" spans="1:26" ht="15.75" customHeight="1" x14ac:dyDescent="0.2">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row>
    <row r="588" spans="1:26" ht="15.75" customHeight="1" x14ac:dyDescent="0.2">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row>
    <row r="589" spans="1:26" ht="15.75" customHeight="1" x14ac:dyDescent="0.2">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row>
    <row r="590" spans="1:26" ht="15.75" customHeight="1" x14ac:dyDescent="0.2">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row>
    <row r="591" spans="1:26" ht="15.75" customHeight="1" x14ac:dyDescent="0.2">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row>
    <row r="592" spans="1:26" ht="15.75" customHeight="1" x14ac:dyDescent="0.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row>
    <row r="593" spans="1:26" ht="15.75" customHeight="1" x14ac:dyDescent="0.2">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row>
    <row r="594" spans="1:26" ht="15.75" customHeight="1" x14ac:dyDescent="0.2">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row>
    <row r="595" spans="1:26" ht="15.75" customHeight="1" x14ac:dyDescent="0.2">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row>
    <row r="596" spans="1:26" ht="15.75" customHeight="1" x14ac:dyDescent="0.2">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row>
    <row r="597" spans="1:26" ht="15.75" customHeight="1" x14ac:dyDescent="0.2">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row>
    <row r="598" spans="1:26" ht="15.75" customHeight="1" x14ac:dyDescent="0.2">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row>
    <row r="599" spans="1:26" ht="15.75" customHeight="1" x14ac:dyDescent="0.2">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row>
    <row r="600" spans="1:26" ht="15.75" customHeight="1" x14ac:dyDescent="0.2">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row>
    <row r="601" spans="1:26" ht="15.75" customHeight="1" x14ac:dyDescent="0.2">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row>
    <row r="602" spans="1:26" ht="15.75" customHeight="1" x14ac:dyDescent="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row>
    <row r="603" spans="1:26" ht="15.75" customHeight="1" x14ac:dyDescent="0.2">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row>
    <row r="604" spans="1:26" ht="15.75" customHeight="1" x14ac:dyDescent="0.2">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row>
    <row r="605" spans="1:26" ht="15.75" customHeight="1" x14ac:dyDescent="0.2">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row>
    <row r="606" spans="1:26" ht="15.75" customHeight="1" x14ac:dyDescent="0.2">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row>
    <row r="607" spans="1:26" ht="15.75" customHeight="1" x14ac:dyDescent="0.2">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row>
    <row r="608" spans="1:26" ht="15.75" customHeight="1" x14ac:dyDescent="0.2">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row>
    <row r="609" spans="1:26" ht="15.75" customHeight="1" x14ac:dyDescent="0.2">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row>
    <row r="610" spans="1:26" ht="15.75" customHeight="1" x14ac:dyDescent="0.2">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row>
    <row r="611" spans="1:26" ht="15.75" customHeight="1" x14ac:dyDescent="0.2">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row>
    <row r="612" spans="1:26" ht="15.75" customHeight="1" x14ac:dyDescent="0.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row>
    <row r="613" spans="1:26" ht="15.75" customHeight="1" x14ac:dyDescent="0.2">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row>
    <row r="614" spans="1:26" ht="15.75" customHeight="1" x14ac:dyDescent="0.2">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row>
    <row r="615" spans="1:26" ht="15.75" customHeight="1" x14ac:dyDescent="0.2">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row>
    <row r="616" spans="1:26" ht="15.75" customHeight="1" x14ac:dyDescent="0.2">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row>
    <row r="617" spans="1:26" ht="15.75" customHeight="1" x14ac:dyDescent="0.2">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row>
    <row r="618" spans="1:26" ht="15.75" customHeight="1" x14ac:dyDescent="0.2">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row>
    <row r="619" spans="1:26" ht="15.75" customHeight="1" x14ac:dyDescent="0.2">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row>
    <row r="620" spans="1:26" ht="15.75" customHeight="1" x14ac:dyDescent="0.2">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row>
    <row r="621" spans="1:26" ht="15.75" customHeight="1" x14ac:dyDescent="0.2">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row>
    <row r="622" spans="1:26" ht="15.75" customHeight="1" x14ac:dyDescent="0.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row>
    <row r="623" spans="1:26" ht="15.75" customHeight="1" x14ac:dyDescent="0.2">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row>
    <row r="624" spans="1:26" ht="15.75" customHeight="1" x14ac:dyDescent="0.2">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row>
    <row r="625" spans="1:26" ht="15.75" customHeight="1" x14ac:dyDescent="0.2">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row>
    <row r="626" spans="1:26" ht="15.75" customHeight="1" x14ac:dyDescent="0.2">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row>
    <row r="627" spans="1:26" ht="15.75" customHeight="1" x14ac:dyDescent="0.2">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row>
    <row r="628" spans="1:26" ht="15.75" customHeight="1" x14ac:dyDescent="0.2">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row>
    <row r="629" spans="1:26" ht="15.75" customHeight="1" x14ac:dyDescent="0.2">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row>
    <row r="630" spans="1:26" ht="15.75" customHeight="1" x14ac:dyDescent="0.2">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row>
    <row r="631" spans="1:26" ht="15.75" customHeight="1" x14ac:dyDescent="0.2">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row>
    <row r="632" spans="1:26" ht="15.75" customHeight="1" x14ac:dyDescent="0.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row>
    <row r="633" spans="1:26" ht="15.75" customHeight="1" x14ac:dyDescent="0.2">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row>
    <row r="634" spans="1:26" ht="15.75" customHeight="1" x14ac:dyDescent="0.2">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row>
    <row r="635" spans="1:26" ht="15.75" customHeight="1" x14ac:dyDescent="0.2">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row>
    <row r="636" spans="1:26" ht="15.75" customHeight="1" x14ac:dyDescent="0.2">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row>
    <row r="637" spans="1:26" ht="15.75" customHeight="1" x14ac:dyDescent="0.2">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row>
    <row r="638" spans="1:26" ht="15.75" customHeight="1" x14ac:dyDescent="0.2">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row>
    <row r="639" spans="1:26" ht="15.75" customHeight="1" x14ac:dyDescent="0.2">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row>
    <row r="640" spans="1:26" ht="15.75" customHeight="1" x14ac:dyDescent="0.2">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row>
    <row r="641" spans="1:26" ht="15.75" customHeight="1" x14ac:dyDescent="0.2">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row>
    <row r="642" spans="1:26" ht="15.75" customHeight="1" x14ac:dyDescent="0.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row>
    <row r="643" spans="1:26" ht="15.75" customHeight="1" x14ac:dyDescent="0.2">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row>
    <row r="644" spans="1:26" ht="15.75" customHeight="1" x14ac:dyDescent="0.2">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row>
    <row r="645" spans="1:26" ht="15.75" customHeight="1" x14ac:dyDescent="0.2">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row>
    <row r="646" spans="1:26" ht="15.75" customHeight="1" x14ac:dyDescent="0.2">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row>
    <row r="647" spans="1:26" ht="15.75" customHeight="1" x14ac:dyDescent="0.2">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row>
    <row r="648" spans="1:26" ht="15.75" customHeight="1" x14ac:dyDescent="0.2">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row>
    <row r="649" spans="1:26" ht="15.75" customHeight="1" x14ac:dyDescent="0.2">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row>
    <row r="650" spans="1:26" ht="15.75" customHeight="1" x14ac:dyDescent="0.2">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row>
    <row r="651" spans="1:26" ht="15.75" customHeight="1" x14ac:dyDescent="0.2">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row>
    <row r="652" spans="1:26" ht="15.75" customHeight="1" x14ac:dyDescent="0.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row>
    <row r="653" spans="1:26" ht="15.75" customHeight="1" x14ac:dyDescent="0.2">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row>
    <row r="654" spans="1:26" ht="15.75" customHeight="1" x14ac:dyDescent="0.2">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row>
    <row r="655" spans="1:26" ht="15.75" customHeight="1" x14ac:dyDescent="0.2">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row>
    <row r="656" spans="1:26" ht="15.75" customHeight="1" x14ac:dyDescent="0.2">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row>
    <row r="657" spans="1:26" ht="15.75" customHeight="1" x14ac:dyDescent="0.2">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row>
    <row r="658" spans="1:26" ht="15.75" customHeight="1" x14ac:dyDescent="0.2">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row>
    <row r="659" spans="1:26" ht="15.75" customHeight="1" x14ac:dyDescent="0.2">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row>
    <row r="660" spans="1:26" ht="15.75" customHeight="1" x14ac:dyDescent="0.2">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row>
    <row r="661" spans="1:26" ht="15.75" customHeight="1" x14ac:dyDescent="0.2">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row>
    <row r="662" spans="1:26" ht="15.75" customHeight="1" x14ac:dyDescent="0.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row>
    <row r="663" spans="1:26" ht="15.75" customHeight="1" x14ac:dyDescent="0.2">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row>
    <row r="664" spans="1:26" ht="15.75" customHeight="1" x14ac:dyDescent="0.2">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row>
    <row r="665" spans="1:26" ht="15.75" customHeight="1" x14ac:dyDescent="0.2">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row>
    <row r="666" spans="1:26" ht="15.75" customHeight="1" x14ac:dyDescent="0.2">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row>
    <row r="667" spans="1:26" ht="15.75" customHeight="1" x14ac:dyDescent="0.2">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row>
    <row r="668" spans="1:26" ht="15.75" customHeight="1" x14ac:dyDescent="0.2">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row>
    <row r="669" spans="1:26" ht="15.75" customHeight="1" x14ac:dyDescent="0.2">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row>
    <row r="670" spans="1:26" ht="15.75" customHeight="1" x14ac:dyDescent="0.2">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row>
    <row r="671" spans="1:26" ht="15.75" customHeight="1" x14ac:dyDescent="0.2">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row>
    <row r="672" spans="1:26" ht="15.75" customHeight="1" x14ac:dyDescent="0.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row>
    <row r="673" spans="1:26" ht="15.75" customHeight="1" x14ac:dyDescent="0.2">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row>
    <row r="674" spans="1:26" ht="15.75" customHeight="1" x14ac:dyDescent="0.2">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row>
    <row r="675" spans="1:26" ht="15.75" customHeight="1" x14ac:dyDescent="0.2">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row>
    <row r="676" spans="1:26" ht="15.75" customHeight="1" x14ac:dyDescent="0.2">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row>
    <row r="677" spans="1:26" ht="15.75" customHeight="1" x14ac:dyDescent="0.2">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row>
    <row r="678" spans="1:26" ht="15.75" customHeight="1" x14ac:dyDescent="0.2">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row>
    <row r="679" spans="1:26" ht="15.75" customHeight="1" x14ac:dyDescent="0.2">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row>
    <row r="680" spans="1:26" ht="15.75" customHeight="1" x14ac:dyDescent="0.2">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row>
    <row r="681" spans="1:26" ht="15.75" customHeight="1" x14ac:dyDescent="0.2">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row>
    <row r="682" spans="1:26" ht="15.75" customHeight="1" x14ac:dyDescent="0.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row>
    <row r="683" spans="1:26" ht="15.75" customHeight="1" x14ac:dyDescent="0.2">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row>
    <row r="684" spans="1:26" ht="15.75" customHeight="1" x14ac:dyDescent="0.2">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row>
    <row r="685" spans="1:26" ht="15.75" customHeight="1" x14ac:dyDescent="0.2">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row>
    <row r="686" spans="1:26" ht="15.75" customHeight="1" x14ac:dyDescent="0.2">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row>
    <row r="687" spans="1:26" ht="15.75" customHeight="1" x14ac:dyDescent="0.2">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row>
    <row r="688" spans="1:26" ht="15.75" customHeight="1" x14ac:dyDescent="0.2">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row>
    <row r="689" spans="1:26" ht="15.75" customHeight="1" x14ac:dyDescent="0.2">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row>
    <row r="690" spans="1:26" ht="15.75" customHeight="1" x14ac:dyDescent="0.2">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row>
    <row r="691" spans="1:26" ht="15.75" customHeight="1" x14ac:dyDescent="0.2">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row>
    <row r="692" spans="1:26" ht="15.75" customHeight="1" x14ac:dyDescent="0.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row>
    <row r="693" spans="1:26" ht="15.75" customHeight="1" x14ac:dyDescent="0.2">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row>
    <row r="694" spans="1:26" ht="15.75" customHeight="1" x14ac:dyDescent="0.2">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row>
    <row r="695" spans="1:26" ht="15.75" customHeight="1" x14ac:dyDescent="0.2">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row>
    <row r="696" spans="1:26" ht="15.75" customHeight="1" x14ac:dyDescent="0.2">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row>
    <row r="697" spans="1:26" ht="15.75" customHeight="1" x14ac:dyDescent="0.2">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row>
    <row r="698" spans="1:26" ht="15.75" customHeight="1" x14ac:dyDescent="0.2">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row>
    <row r="699" spans="1:26" ht="15.75" customHeight="1" x14ac:dyDescent="0.2">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row>
    <row r="700" spans="1:26" ht="15.75" customHeight="1" x14ac:dyDescent="0.2">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row>
    <row r="701" spans="1:26" ht="15.75" customHeight="1" x14ac:dyDescent="0.2">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row>
    <row r="702" spans="1:26" ht="15.75" customHeight="1" x14ac:dyDescent="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row>
    <row r="703" spans="1:26" ht="15.75" customHeight="1" x14ac:dyDescent="0.2">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row>
    <row r="704" spans="1:26" ht="15.75" customHeight="1" x14ac:dyDescent="0.2">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row>
    <row r="705" spans="1:26" ht="15.75" customHeight="1" x14ac:dyDescent="0.2">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row>
    <row r="706" spans="1:26" ht="15.75" customHeight="1" x14ac:dyDescent="0.2">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row>
    <row r="707" spans="1:26" ht="15.75" customHeight="1" x14ac:dyDescent="0.2">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row>
    <row r="708" spans="1:26" ht="15.75" customHeight="1" x14ac:dyDescent="0.2">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row>
    <row r="709" spans="1:26" ht="15.75" customHeight="1" x14ac:dyDescent="0.2">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row>
    <row r="710" spans="1:26" ht="15.75" customHeight="1" x14ac:dyDescent="0.2">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row>
    <row r="711" spans="1:26" ht="15.75" customHeight="1" x14ac:dyDescent="0.2">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row>
    <row r="712" spans="1:26" ht="15.75" customHeight="1" x14ac:dyDescent="0.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row>
    <row r="713" spans="1:26" ht="15.75" customHeight="1" x14ac:dyDescent="0.2">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row>
    <row r="714" spans="1:26" ht="15.75" customHeight="1" x14ac:dyDescent="0.2">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row>
    <row r="715" spans="1:26" ht="15.75" customHeight="1" x14ac:dyDescent="0.2">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row>
    <row r="716" spans="1:26" ht="15.75" customHeight="1" x14ac:dyDescent="0.2">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row>
    <row r="717" spans="1:26" ht="15.75" customHeight="1" x14ac:dyDescent="0.2">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row>
    <row r="718" spans="1:26" ht="15.75" customHeight="1" x14ac:dyDescent="0.2">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row>
    <row r="719" spans="1:26" ht="15.75" customHeight="1" x14ac:dyDescent="0.2">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row>
    <row r="720" spans="1:26" ht="15.75" customHeight="1" x14ac:dyDescent="0.2">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row>
    <row r="721" spans="1:26" ht="15.75" customHeight="1" x14ac:dyDescent="0.2">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row>
    <row r="722" spans="1:26" ht="15.75" customHeight="1" x14ac:dyDescent="0.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row>
    <row r="723" spans="1:26" ht="15.75" customHeight="1" x14ac:dyDescent="0.2">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row>
    <row r="724" spans="1:26" ht="15.75" customHeight="1" x14ac:dyDescent="0.2">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row>
    <row r="725" spans="1:26" ht="15.75" customHeight="1" x14ac:dyDescent="0.2">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row>
    <row r="726" spans="1:26" ht="15.75" customHeight="1" x14ac:dyDescent="0.2">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row>
    <row r="727" spans="1:26" ht="15.75" customHeight="1" x14ac:dyDescent="0.2">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row>
    <row r="728" spans="1:26" ht="15.75" customHeight="1" x14ac:dyDescent="0.2">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row>
    <row r="729" spans="1:26" ht="15.75" customHeight="1" x14ac:dyDescent="0.2">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row>
    <row r="730" spans="1:26" ht="15.75" customHeight="1" x14ac:dyDescent="0.2">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row>
    <row r="731" spans="1:26" ht="15.75" customHeight="1" x14ac:dyDescent="0.2">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row>
    <row r="732" spans="1:26" ht="15.75" customHeight="1" x14ac:dyDescent="0.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row>
    <row r="733" spans="1:26" ht="15.75" customHeight="1" x14ac:dyDescent="0.2">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row>
    <row r="734" spans="1:26" ht="15.75" customHeight="1" x14ac:dyDescent="0.2">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row>
    <row r="735" spans="1:26" ht="15.75" customHeight="1" x14ac:dyDescent="0.2">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row>
    <row r="736" spans="1:26" ht="15.75" customHeight="1" x14ac:dyDescent="0.2">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row>
    <row r="737" spans="1:26" ht="15.75" customHeight="1" x14ac:dyDescent="0.2">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row>
    <row r="738" spans="1:26" ht="15.75" customHeight="1" x14ac:dyDescent="0.2">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row>
    <row r="739" spans="1:26" ht="15.75" customHeight="1" x14ac:dyDescent="0.2">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row>
    <row r="740" spans="1:26" ht="15.75" customHeight="1" x14ac:dyDescent="0.2">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row>
    <row r="741" spans="1:26" ht="15.75" customHeight="1" x14ac:dyDescent="0.2">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row>
    <row r="742" spans="1:26" ht="15.75" customHeight="1" x14ac:dyDescent="0.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row>
    <row r="743" spans="1:26" ht="15.75" customHeight="1" x14ac:dyDescent="0.2">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row>
    <row r="744" spans="1:26" ht="15.75" customHeight="1" x14ac:dyDescent="0.2">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row>
    <row r="745" spans="1:26" ht="15.75" customHeight="1" x14ac:dyDescent="0.2">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row>
    <row r="746" spans="1:26" ht="15.75" customHeight="1" x14ac:dyDescent="0.2">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row>
    <row r="747" spans="1:26" ht="15.75" customHeight="1" x14ac:dyDescent="0.2">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row>
    <row r="748" spans="1:26" ht="15.75" customHeight="1" x14ac:dyDescent="0.2">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row>
    <row r="749" spans="1:26" ht="15.75" customHeight="1" x14ac:dyDescent="0.2">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row>
    <row r="750" spans="1:26" ht="15.75" customHeight="1" x14ac:dyDescent="0.2">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row>
    <row r="751" spans="1:26" ht="15.75" customHeight="1" x14ac:dyDescent="0.2">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row>
    <row r="752" spans="1:26" ht="15.75" customHeight="1" x14ac:dyDescent="0.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row>
    <row r="753" spans="1:26" ht="15.75" customHeight="1" x14ac:dyDescent="0.2">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row>
    <row r="754" spans="1:26" ht="15.75" customHeight="1" x14ac:dyDescent="0.2">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row>
    <row r="755" spans="1:26" ht="15.75" customHeight="1" x14ac:dyDescent="0.2">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row>
    <row r="756" spans="1:26" ht="15.75" customHeight="1" x14ac:dyDescent="0.2">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row>
    <row r="757" spans="1:26" ht="15.75" customHeight="1" x14ac:dyDescent="0.2">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row>
    <row r="758" spans="1:26" ht="15.75" customHeight="1" x14ac:dyDescent="0.2">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row>
    <row r="759" spans="1:26" ht="15.75" customHeight="1" x14ac:dyDescent="0.2">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row>
    <row r="760" spans="1:26" ht="15.75" customHeight="1" x14ac:dyDescent="0.2">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row>
    <row r="761" spans="1:26" ht="15.75" customHeight="1" x14ac:dyDescent="0.2">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row>
    <row r="762" spans="1:26" ht="15.75" customHeight="1" x14ac:dyDescent="0.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row>
    <row r="763" spans="1:26" ht="15.75" customHeight="1" x14ac:dyDescent="0.2">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row>
    <row r="764" spans="1:26" ht="15.75" customHeight="1" x14ac:dyDescent="0.2">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row>
    <row r="765" spans="1:26" ht="15.75" customHeight="1" x14ac:dyDescent="0.2">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row>
    <row r="766" spans="1:26" ht="15.75" customHeight="1" x14ac:dyDescent="0.2">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row>
    <row r="767" spans="1:26" ht="15.75" customHeight="1" x14ac:dyDescent="0.2">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row>
    <row r="768" spans="1:26" ht="15.75" customHeight="1" x14ac:dyDescent="0.2">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row>
    <row r="769" spans="1:26" ht="15.75" customHeight="1" x14ac:dyDescent="0.2">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row>
    <row r="770" spans="1:26" ht="15.75" customHeight="1" x14ac:dyDescent="0.2">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row>
    <row r="771" spans="1:26" ht="15.75" customHeight="1" x14ac:dyDescent="0.2">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row>
    <row r="772" spans="1:26" ht="15.75" customHeight="1" x14ac:dyDescent="0.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row>
    <row r="773" spans="1:26" ht="15.75" customHeight="1" x14ac:dyDescent="0.2">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row>
    <row r="774" spans="1:26" ht="15.75" customHeight="1" x14ac:dyDescent="0.2">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row>
    <row r="775" spans="1:26" ht="15.75" customHeight="1" x14ac:dyDescent="0.2">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row>
    <row r="776" spans="1:26" ht="15.75" customHeight="1" x14ac:dyDescent="0.2">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row>
    <row r="777" spans="1:26" ht="15.75" customHeight="1" x14ac:dyDescent="0.2">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row>
    <row r="778" spans="1:26" ht="15.75" customHeight="1" x14ac:dyDescent="0.2">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row>
    <row r="779" spans="1:26" ht="15.75" customHeight="1" x14ac:dyDescent="0.2">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row>
    <row r="780" spans="1:26" ht="15.75" customHeight="1" x14ac:dyDescent="0.2">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row>
    <row r="781" spans="1:26" ht="15.75" customHeight="1" x14ac:dyDescent="0.2">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row>
    <row r="782" spans="1:26" ht="15.75" customHeight="1" x14ac:dyDescent="0.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row>
    <row r="783" spans="1:26" ht="15.75" customHeight="1" x14ac:dyDescent="0.2">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row>
    <row r="784" spans="1:26" ht="15.75" customHeight="1" x14ac:dyDescent="0.2">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row>
    <row r="785" spans="1:26" ht="15.75" customHeight="1" x14ac:dyDescent="0.2">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row>
    <row r="786" spans="1:26" ht="15.75" customHeight="1" x14ac:dyDescent="0.2">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row>
    <row r="787" spans="1:26" ht="15.75" customHeight="1" x14ac:dyDescent="0.2">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row>
    <row r="788" spans="1:26" ht="15.75" customHeight="1" x14ac:dyDescent="0.2">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row>
    <row r="789" spans="1:26" ht="15.75" customHeight="1" x14ac:dyDescent="0.2">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row>
    <row r="790" spans="1:26" ht="15.75" customHeight="1" x14ac:dyDescent="0.2">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row>
    <row r="791" spans="1:26" ht="15.75" customHeight="1" x14ac:dyDescent="0.2">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row>
    <row r="792" spans="1:26" ht="15.75" customHeight="1" x14ac:dyDescent="0.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row>
    <row r="793" spans="1:26" ht="15.75" customHeight="1" x14ac:dyDescent="0.2">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row>
    <row r="794" spans="1:26" ht="15.75" customHeight="1" x14ac:dyDescent="0.2">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row>
    <row r="795" spans="1:26" ht="15.75" customHeight="1" x14ac:dyDescent="0.2">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row>
    <row r="796" spans="1:26" ht="15.75" customHeight="1" x14ac:dyDescent="0.2">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row>
    <row r="797" spans="1:26" ht="15.75" customHeight="1" x14ac:dyDescent="0.2">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row>
    <row r="798" spans="1:26" ht="15.75" customHeight="1" x14ac:dyDescent="0.2">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row>
    <row r="799" spans="1:26" ht="15.75" customHeight="1" x14ac:dyDescent="0.2">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row>
    <row r="800" spans="1:26" ht="15.75" customHeight="1" x14ac:dyDescent="0.2">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row>
    <row r="801" spans="1:26" ht="15.75" customHeight="1" x14ac:dyDescent="0.2">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row>
    <row r="802" spans="1:26" ht="15.75" customHeight="1" x14ac:dyDescent="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row>
    <row r="803" spans="1:26" ht="15.75" customHeight="1" x14ac:dyDescent="0.2">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c r="Z803" s="272"/>
    </row>
    <row r="804" spans="1:26" ht="15.75" customHeight="1" x14ac:dyDescent="0.2">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c r="Z804" s="272"/>
    </row>
    <row r="805" spans="1:26" ht="15.75" customHeight="1" x14ac:dyDescent="0.2">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c r="Z805" s="272"/>
    </row>
    <row r="806" spans="1:26" ht="15.75" customHeight="1" x14ac:dyDescent="0.2">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c r="Z806" s="272"/>
    </row>
    <row r="807" spans="1:26" ht="15.75" customHeight="1" x14ac:dyDescent="0.2">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c r="Z807" s="272"/>
    </row>
    <row r="808" spans="1:26" ht="15.75" customHeight="1" x14ac:dyDescent="0.2">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c r="Z808" s="272"/>
    </row>
    <row r="809" spans="1:26" ht="15.75" customHeight="1" x14ac:dyDescent="0.2">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c r="Z809" s="272"/>
    </row>
    <row r="810" spans="1:26" ht="15.75" customHeight="1" x14ac:dyDescent="0.2">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c r="Z810" s="272"/>
    </row>
    <row r="811" spans="1:26" ht="15.75" customHeight="1" x14ac:dyDescent="0.2">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c r="Z811" s="272"/>
    </row>
    <row r="812" spans="1:26" ht="15.75" customHeight="1" x14ac:dyDescent="0.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c r="Z812" s="272"/>
    </row>
    <row r="813" spans="1:26" ht="15.75" customHeight="1" x14ac:dyDescent="0.2">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c r="Z813" s="272"/>
    </row>
    <row r="814" spans="1:26" ht="15.75" customHeight="1" x14ac:dyDescent="0.2">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c r="Z814" s="272"/>
    </row>
    <row r="815" spans="1:26" ht="15.75" customHeight="1" x14ac:dyDescent="0.2">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c r="Z815" s="272"/>
    </row>
    <row r="816" spans="1:26" ht="15.75" customHeight="1" x14ac:dyDescent="0.2">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c r="Z816" s="272"/>
    </row>
    <row r="817" spans="1:26" ht="15.75" customHeight="1" x14ac:dyDescent="0.2">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c r="Z817" s="272"/>
    </row>
    <row r="818" spans="1:26" ht="15.75" customHeight="1" x14ac:dyDescent="0.2">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c r="Z818" s="272"/>
    </row>
    <row r="819" spans="1:26" ht="15.75" customHeight="1" x14ac:dyDescent="0.2">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c r="Z819" s="272"/>
    </row>
    <row r="820" spans="1:26" ht="15.75" customHeight="1" x14ac:dyDescent="0.2">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c r="Z820" s="272"/>
    </row>
    <row r="821" spans="1:26" ht="15.75" customHeight="1" x14ac:dyDescent="0.2">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c r="Z821" s="272"/>
    </row>
    <row r="822" spans="1:26" ht="15.75" customHeight="1" x14ac:dyDescent="0.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c r="Z822" s="272"/>
    </row>
    <row r="823" spans="1:26" ht="15.75" customHeight="1" x14ac:dyDescent="0.2">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c r="Z823" s="272"/>
    </row>
    <row r="824" spans="1:26" ht="15.75" customHeight="1" x14ac:dyDescent="0.2">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c r="Z824" s="272"/>
    </row>
    <row r="825" spans="1:26" ht="15.75" customHeight="1" x14ac:dyDescent="0.2">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c r="Z825" s="272"/>
    </row>
    <row r="826" spans="1:26" ht="15.75" customHeight="1" x14ac:dyDescent="0.2">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c r="Z826" s="272"/>
    </row>
    <row r="827" spans="1:26" ht="15.75" customHeight="1" x14ac:dyDescent="0.2">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c r="Z827" s="272"/>
    </row>
    <row r="828" spans="1:26" ht="15.75" customHeight="1" x14ac:dyDescent="0.2">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c r="Z828" s="272"/>
    </row>
    <row r="829" spans="1:26" ht="15.75" customHeight="1" x14ac:dyDescent="0.2">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c r="Z829" s="272"/>
    </row>
    <row r="830" spans="1:26" ht="15.75" customHeight="1" x14ac:dyDescent="0.2">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c r="Z830" s="272"/>
    </row>
    <row r="831" spans="1:26" ht="15.75" customHeight="1" x14ac:dyDescent="0.2">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c r="Z831" s="272"/>
    </row>
    <row r="832" spans="1:26" ht="15.75" customHeight="1" x14ac:dyDescent="0.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c r="Z832" s="272"/>
    </row>
    <row r="833" spans="1:26" ht="15.75" customHeight="1" x14ac:dyDescent="0.2">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c r="Z833" s="272"/>
    </row>
    <row r="834" spans="1:26" ht="15.75" customHeight="1" x14ac:dyDescent="0.2">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c r="Z834" s="272"/>
    </row>
    <row r="835" spans="1:26" ht="15.75" customHeight="1" x14ac:dyDescent="0.2">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c r="Z835" s="272"/>
    </row>
    <row r="836" spans="1:26" ht="15.75" customHeight="1" x14ac:dyDescent="0.2">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c r="Z836" s="272"/>
    </row>
    <row r="837" spans="1:26" ht="15.75" customHeight="1" x14ac:dyDescent="0.2">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c r="Z837" s="272"/>
    </row>
    <row r="838" spans="1:26" ht="15.75" customHeight="1" x14ac:dyDescent="0.2">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c r="Z838" s="272"/>
    </row>
    <row r="839" spans="1:26" ht="15.75" customHeight="1" x14ac:dyDescent="0.2">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c r="Z839" s="272"/>
    </row>
    <row r="840" spans="1:26" ht="15.75" customHeight="1" x14ac:dyDescent="0.2">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c r="Z840" s="272"/>
    </row>
    <row r="841" spans="1:26" ht="15.75" customHeight="1" x14ac:dyDescent="0.2">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c r="Z841" s="272"/>
    </row>
    <row r="842" spans="1:26" ht="15.75" customHeight="1" x14ac:dyDescent="0.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c r="Z842" s="272"/>
    </row>
    <row r="843" spans="1:26" ht="15.75" customHeight="1" x14ac:dyDescent="0.2">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c r="Z843" s="272"/>
    </row>
    <row r="844" spans="1:26" ht="15.75" customHeight="1" x14ac:dyDescent="0.2">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c r="Z844" s="272"/>
    </row>
    <row r="845" spans="1:26" ht="15.75" customHeight="1" x14ac:dyDescent="0.2">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c r="Z845" s="272"/>
    </row>
    <row r="846" spans="1:26" ht="15.75" customHeight="1" x14ac:dyDescent="0.2">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c r="Z846" s="272"/>
    </row>
    <row r="847" spans="1:26" ht="15.75" customHeight="1" x14ac:dyDescent="0.2">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c r="Z847" s="272"/>
    </row>
    <row r="848" spans="1:26" ht="15.75" customHeight="1" x14ac:dyDescent="0.2">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c r="Z848" s="272"/>
    </row>
    <row r="849" spans="1:26" ht="15.75" customHeight="1" x14ac:dyDescent="0.2">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c r="Z849" s="272"/>
    </row>
    <row r="850" spans="1:26" ht="15.75" customHeight="1" x14ac:dyDescent="0.2">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c r="Z850" s="272"/>
    </row>
    <row r="851" spans="1:26" ht="15.75" customHeight="1" x14ac:dyDescent="0.2">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c r="Z851" s="272"/>
    </row>
    <row r="852" spans="1:26" ht="15.75" customHeight="1" x14ac:dyDescent="0.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c r="Z852" s="272"/>
    </row>
    <row r="853" spans="1:26" ht="15.75" customHeight="1" x14ac:dyDescent="0.2">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c r="Z853" s="272"/>
    </row>
    <row r="854" spans="1:26" ht="15.75" customHeight="1" x14ac:dyDescent="0.2">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c r="Z854" s="272"/>
    </row>
    <row r="855" spans="1:26" ht="15.75" customHeight="1" x14ac:dyDescent="0.2">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c r="Z855" s="272"/>
    </row>
    <row r="856" spans="1:26" ht="15.75" customHeight="1" x14ac:dyDescent="0.2">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c r="Z856" s="272"/>
    </row>
    <row r="857" spans="1:26" ht="15.75" customHeight="1" x14ac:dyDescent="0.2">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c r="Z857" s="272"/>
    </row>
    <row r="858" spans="1:26" ht="15.75" customHeight="1" x14ac:dyDescent="0.2">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c r="Z858" s="272"/>
    </row>
    <row r="859" spans="1:26" ht="15.75" customHeight="1" x14ac:dyDescent="0.2">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c r="Z859" s="272"/>
    </row>
    <row r="860" spans="1:26" ht="15.75" customHeight="1" x14ac:dyDescent="0.2">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c r="Z860" s="272"/>
    </row>
    <row r="861" spans="1:26" ht="15.75" customHeight="1" x14ac:dyDescent="0.2">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c r="Z861" s="272"/>
    </row>
    <row r="862" spans="1:26" ht="15.75" customHeight="1" x14ac:dyDescent="0.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c r="Z862" s="272"/>
    </row>
    <row r="863" spans="1:26" ht="15.75" customHeight="1" x14ac:dyDescent="0.2">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c r="Z863" s="272"/>
    </row>
    <row r="864" spans="1:26" ht="15.75" customHeight="1" x14ac:dyDescent="0.2">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c r="Z864" s="272"/>
    </row>
    <row r="865" spans="1:26" ht="15.75" customHeight="1" x14ac:dyDescent="0.2">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c r="Z865" s="272"/>
    </row>
    <row r="866" spans="1:26" ht="15.75" customHeight="1" x14ac:dyDescent="0.2">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c r="Z866" s="272"/>
    </row>
    <row r="867" spans="1:26" ht="15.75" customHeight="1" x14ac:dyDescent="0.2">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c r="Z867" s="272"/>
    </row>
    <row r="868" spans="1:26" ht="15.75" customHeight="1" x14ac:dyDescent="0.2">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c r="Z868" s="272"/>
    </row>
    <row r="869" spans="1:26" ht="15.75" customHeight="1" x14ac:dyDescent="0.2">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c r="Z869" s="272"/>
    </row>
    <row r="870" spans="1:26" ht="15.75" customHeight="1" x14ac:dyDescent="0.2">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c r="Z870" s="272"/>
    </row>
    <row r="871" spans="1:26" ht="15.75" customHeight="1" x14ac:dyDescent="0.2">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c r="Z871" s="272"/>
    </row>
    <row r="872" spans="1:26" ht="15.75" customHeight="1" x14ac:dyDescent="0.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c r="Z872" s="272"/>
    </row>
    <row r="873" spans="1:26" ht="15.75" customHeight="1" x14ac:dyDescent="0.2">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c r="Z873" s="272"/>
    </row>
    <row r="874" spans="1:26" ht="15.75" customHeight="1" x14ac:dyDescent="0.2">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c r="Z874" s="272"/>
    </row>
    <row r="875" spans="1:26" ht="15.75" customHeight="1" x14ac:dyDescent="0.2">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c r="Z875" s="272"/>
    </row>
    <row r="876" spans="1:26" ht="15.75" customHeight="1" x14ac:dyDescent="0.2">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c r="Z876" s="272"/>
    </row>
    <row r="877" spans="1:26" ht="15.75" customHeight="1" x14ac:dyDescent="0.2">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c r="Z877" s="272"/>
    </row>
    <row r="878" spans="1:26" ht="15.75" customHeight="1" x14ac:dyDescent="0.2">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c r="Z878" s="272"/>
    </row>
    <row r="879" spans="1:26" ht="15.75" customHeight="1" x14ac:dyDescent="0.2">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c r="Z879" s="272"/>
    </row>
    <row r="880" spans="1:26" ht="15.75" customHeight="1" x14ac:dyDescent="0.2">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c r="Z880" s="272"/>
    </row>
    <row r="881" spans="1:26" ht="15.75" customHeight="1" x14ac:dyDescent="0.2">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c r="Z881" s="272"/>
    </row>
    <row r="882" spans="1:26" ht="15.75" customHeight="1" x14ac:dyDescent="0.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c r="Z882" s="272"/>
    </row>
    <row r="883" spans="1:26" ht="15.75" customHeight="1" x14ac:dyDescent="0.2">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c r="Z883" s="272"/>
    </row>
    <row r="884" spans="1:26" ht="15.75" customHeight="1" x14ac:dyDescent="0.2">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c r="Z884" s="272"/>
    </row>
    <row r="885" spans="1:26" ht="15.75" customHeight="1" x14ac:dyDescent="0.2">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c r="Z885" s="272"/>
    </row>
    <row r="886" spans="1:26" ht="15.75" customHeight="1" x14ac:dyDescent="0.2">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c r="Z886" s="272"/>
    </row>
    <row r="887" spans="1:26" ht="15.75" customHeight="1" x14ac:dyDescent="0.2">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c r="Z887" s="272"/>
    </row>
    <row r="888" spans="1:26" ht="15.75" customHeight="1" x14ac:dyDescent="0.2">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c r="Z888" s="272"/>
    </row>
    <row r="889" spans="1:26" ht="15.75" customHeight="1" x14ac:dyDescent="0.2">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c r="Z889" s="272"/>
    </row>
    <row r="890" spans="1:26" ht="15.75" customHeight="1" x14ac:dyDescent="0.2">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c r="Z890" s="272"/>
    </row>
    <row r="891" spans="1:26" ht="15.75" customHeight="1" x14ac:dyDescent="0.2">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c r="Z891" s="272"/>
    </row>
    <row r="892" spans="1:26" ht="15.75" customHeight="1" x14ac:dyDescent="0.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c r="Z892" s="272"/>
    </row>
    <row r="893" spans="1:26" ht="15.75" customHeight="1" x14ac:dyDescent="0.2">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c r="Z893" s="272"/>
    </row>
    <row r="894" spans="1:26" ht="15.75" customHeight="1" x14ac:dyDescent="0.2">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c r="Z894" s="272"/>
    </row>
    <row r="895" spans="1:26" ht="15.75" customHeight="1" x14ac:dyDescent="0.2">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c r="Z895" s="272"/>
    </row>
    <row r="896" spans="1:26" ht="15.75" customHeight="1" x14ac:dyDescent="0.2">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c r="Z896" s="272"/>
    </row>
    <row r="897" spans="1:26" ht="15.75" customHeight="1" x14ac:dyDescent="0.2">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c r="Z897" s="272"/>
    </row>
    <row r="898" spans="1:26" ht="15.75" customHeight="1" x14ac:dyDescent="0.2">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c r="Z898" s="272"/>
    </row>
    <row r="899" spans="1:26" ht="15.75" customHeight="1" x14ac:dyDescent="0.2">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c r="Z899" s="272"/>
    </row>
    <row r="900" spans="1:26" ht="15.75" customHeight="1" x14ac:dyDescent="0.2">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c r="Z900" s="272"/>
    </row>
    <row r="901" spans="1:26" ht="15.75" customHeight="1" x14ac:dyDescent="0.2">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c r="Z901" s="272"/>
    </row>
    <row r="902" spans="1:26" ht="15.75" customHeight="1" x14ac:dyDescent="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c r="Z902" s="272"/>
    </row>
    <row r="903" spans="1:26" ht="15.75" customHeight="1" x14ac:dyDescent="0.2">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c r="Z903" s="272"/>
    </row>
    <row r="904" spans="1:26" ht="15.75" customHeight="1" x14ac:dyDescent="0.2">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c r="Z904" s="272"/>
    </row>
    <row r="905" spans="1:26" ht="15.75" customHeight="1" x14ac:dyDescent="0.2">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c r="Z905" s="272"/>
    </row>
    <row r="906" spans="1:26" ht="15.75" customHeight="1" x14ac:dyDescent="0.2">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c r="Z906" s="272"/>
    </row>
    <row r="907" spans="1:26" ht="15.75" customHeight="1" x14ac:dyDescent="0.2">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c r="Z907" s="272"/>
    </row>
    <row r="908" spans="1:26" ht="15.75" customHeight="1" x14ac:dyDescent="0.2">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c r="Z908" s="272"/>
    </row>
    <row r="909" spans="1:26" ht="15.75" customHeight="1" x14ac:dyDescent="0.2">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c r="Z909" s="272"/>
    </row>
    <row r="910" spans="1:26" ht="15.75" customHeight="1" x14ac:dyDescent="0.2">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c r="Z910" s="272"/>
    </row>
    <row r="911" spans="1:26" ht="15.75" customHeight="1" x14ac:dyDescent="0.2">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c r="Z911" s="272"/>
    </row>
    <row r="912" spans="1:26" ht="15.75" customHeight="1" x14ac:dyDescent="0.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c r="Z912" s="272"/>
    </row>
    <row r="913" spans="1:26" ht="15.75" customHeight="1" x14ac:dyDescent="0.2">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c r="Z913" s="272"/>
    </row>
    <row r="914" spans="1:26" ht="15.75" customHeight="1" x14ac:dyDescent="0.2">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c r="Z914" s="272"/>
    </row>
    <row r="915" spans="1:26" ht="15.75" customHeight="1" x14ac:dyDescent="0.2">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c r="Z915" s="272"/>
    </row>
    <row r="916" spans="1:26" ht="15.75" customHeight="1" x14ac:dyDescent="0.2">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c r="Z916" s="272"/>
    </row>
    <row r="917" spans="1:26" ht="15.75" customHeight="1" x14ac:dyDescent="0.2">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c r="Z917" s="272"/>
    </row>
    <row r="918" spans="1:26" ht="15.75" customHeight="1" x14ac:dyDescent="0.2">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c r="Z918" s="272"/>
    </row>
    <row r="919" spans="1:26" ht="15.75" customHeight="1" x14ac:dyDescent="0.2">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c r="Z919" s="272"/>
    </row>
    <row r="920" spans="1:26" ht="15.75" customHeight="1" x14ac:dyDescent="0.2">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c r="Z920" s="272"/>
    </row>
    <row r="921" spans="1:26" ht="15.75" customHeight="1" x14ac:dyDescent="0.2">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c r="Z921" s="272"/>
    </row>
    <row r="922" spans="1:26" ht="15.75" customHeight="1" x14ac:dyDescent="0.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c r="Z922" s="272"/>
    </row>
    <row r="923" spans="1:26" ht="15.75" customHeight="1" x14ac:dyDescent="0.2">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c r="Z923" s="272"/>
    </row>
    <row r="924" spans="1:26" ht="15.75" customHeight="1" x14ac:dyDescent="0.2">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c r="Z924" s="272"/>
    </row>
    <row r="925" spans="1:26" ht="15.75" customHeight="1" x14ac:dyDescent="0.2">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c r="Z925" s="272"/>
    </row>
    <row r="926" spans="1:26" ht="15.75" customHeight="1" x14ac:dyDescent="0.2">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c r="Z926" s="272"/>
    </row>
    <row r="927" spans="1:26" ht="15.75" customHeight="1" x14ac:dyDescent="0.2">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c r="Z927" s="272"/>
    </row>
    <row r="928" spans="1:26" ht="15.75" customHeight="1" x14ac:dyDescent="0.2">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c r="Z928" s="272"/>
    </row>
    <row r="929" spans="1:26" ht="15.75" customHeight="1" x14ac:dyDescent="0.2">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c r="Z929" s="272"/>
    </row>
    <row r="930" spans="1:26" ht="15.75" customHeight="1" x14ac:dyDescent="0.2">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c r="Z930" s="272"/>
    </row>
    <row r="931" spans="1:26" ht="15.75" customHeight="1" x14ac:dyDescent="0.2">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c r="Z931" s="272"/>
    </row>
    <row r="932" spans="1:26" ht="15.75" customHeight="1" x14ac:dyDescent="0.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c r="Z932" s="272"/>
    </row>
    <row r="933" spans="1:26" ht="15.75" customHeight="1" x14ac:dyDescent="0.2">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c r="Z933" s="272"/>
    </row>
    <row r="934" spans="1:26" ht="15.75" customHeight="1" x14ac:dyDescent="0.2">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c r="Z934" s="272"/>
    </row>
    <row r="935" spans="1:26" ht="15.75" customHeight="1" x14ac:dyDescent="0.2">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c r="Z935" s="272"/>
    </row>
    <row r="936" spans="1:26" ht="15.75" customHeight="1" x14ac:dyDescent="0.2">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c r="Z936" s="272"/>
    </row>
    <row r="937" spans="1:26" ht="15.75" customHeight="1" x14ac:dyDescent="0.2">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c r="Z937" s="272"/>
    </row>
    <row r="938" spans="1:26" ht="15.75" customHeight="1" x14ac:dyDescent="0.2">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c r="Z938" s="272"/>
    </row>
    <row r="939" spans="1:26" ht="15.75" customHeight="1" x14ac:dyDescent="0.2">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c r="Z939" s="272"/>
    </row>
    <row r="940" spans="1:26" ht="15.75" customHeight="1" x14ac:dyDescent="0.2">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c r="Z940" s="272"/>
    </row>
    <row r="941" spans="1:26" ht="15.75" customHeight="1" x14ac:dyDescent="0.2">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c r="Z941" s="272"/>
    </row>
    <row r="942" spans="1:26" ht="15.75" customHeight="1" x14ac:dyDescent="0.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c r="Z942" s="272"/>
    </row>
    <row r="943" spans="1:26" ht="15.75" customHeight="1" x14ac:dyDescent="0.2">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c r="Z943" s="272"/>
    </row>
    <row r="944" spans="1:26" ht="15.75" customHeight="1" x14ac:dyDescent="0.2">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c r="Z944" s="272"/>
    </row>
    <row r="945" spans="1:26" ht="15.75" customHeight="1" x14ac:dyDescent="0.2">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c r="Z945" s="272"/>
    </row>
    <row r="946" spans="1:26" ht="15.75" customHeight="1" x14ac:dyDescent="0.2">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c r="Z946" s="272"/>
    </row>
    <row r="947" spans="1:26" ht="15.75" customHeight="1" x14ac:dyDescent="0.2">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c r="Z947" s="272"/>
    </row>
    <row r="948" spans="1:26" ht="15.75" customHeight="1" x14ac:dyDescent="0.2">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c r="Z948" s="272"/>
    </row>
    <row r="949" spans="1:26" ht="15.75" customHeight="1" x14ac:dyDescent="0.2">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c r="Z949" s="272"/>
    </row>
    <row r="950" spans="1:26" ht="15.75" customHeight="1" x14ac:dyDescent="0.2">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c r="Z950" s="272"/>
    </row>
    <row r="951" spans="1:26" ht="15.75" customHeight="1" x14ac:dyDescent="0.2">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c r="Z951" s="272"/>
    </row>
    <row r="952" spans="1:26" ht="15.75" customHeight="1" x14ac:dyDescent="0.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c r="Z952" s="272"/>
    </row>
    <row r="953" spans="1:26" ht="15.75" customHeight="1" x14ac:dyDescent="0.2">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c r="Z953" s="272"/>
    </row>
    <row r="954" spans="1:26" ht="15.75" customHeight="1" x14ac:dyDescent="0.2">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c r="Z954" s="272"/>
    </row>
    <row r="955" spans="1:26" ht="15.75" customHeight="1" x14ac:dyDescent="0.2">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c r="Z955" s="272"/>
    </row>
    <row r="956" spans="1:26" ht="15.75" customHeight="1" x14ac:dyDescent="0.2">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c r="Z956" s="272"/>
    </row>
    <row r="957" spans="1:26" ht="15.75" customHeight="1" x14ac:dyDescent="0.2">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c r="Z957" s="272"/>
    </row>
    <row r="958" spans="1:26" ht="15.75" customHeight="1" x14ac:dyDescent="0.2">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c r="Z958" s="272"/>
    </row>
    <row r="959" spans="1:26" ht="15.75" customHeight="1" x14ac:dyDescent="0.2">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c r="Z959" s="272"/>
    </row>
    <row r="960" spans="1:26" ht="15.75" customHeight="1" x14ac:dyDescent="0.2">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c r="Z960" s="272"/>
    </row>
    <row r="961" spans="1:26" ht="15.75" customHeight="1" x14ac:dyDescent="0.2">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c r="Z961" s="272"/>
    </row>
    <row r="962" spans="1:26" ht="15.75" customHeight="1" x14ac:dyDescent="0.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c r="Z962" s="272"/>
    </row>
    <row r="963" spans="1:26" ht="15.75" customHeight="1" x14ac:dyDescent="0.2">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c r="Z963" s="272"/>
    </row>
    <row r="964" spans="1:26" ht="15.75" customHeight="1" x14ac:dyDescent="0.2">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c r="Z964" s="272"/>
    </row>
    <row r="965" spans="1:26" ht="15.75" customHeight="1" x14ac:dyDescent="0.2">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c r="Z965" s="272"/>
    </row>
    <row r="966" spans="1:26" ht="15.75" customHeight="1" x14ac:dyDescent="0.2">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c r="Z966" s="272"/>
    </row>
    <row r="967" spans="1:26" ht="15.75" customHeight="1" x14ac:dyDescent="0.2">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c r="Z967" s="272"/>
    </row>
    <row r="968" spans="1:26" ht="15.75" customHeight="1" x14ac:dyDescent="0.2">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c r="Z968" s="272"/>
    </row>
    <row r="969" spans="1:26" ht="15.75" customHeight="1" x14ac:dyDescent="0.2">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c r="Z969" s="272"/>
    </row>
    <row r="970" spans="1:26" ht="15.75" customHeight="1" x14ac:dyDescent="0.2">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c r="Z970" s="272"/>
    </row>
    <row r="971" spans="1:26" ht="15.75" customHeight="1" x14ac:dyDescent="0.2">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c r="Z971" s="272"/>
    </row>
    <row r="972" spans="1:26" ht="15.75" customHeight="1" x14ac:dyDescent="0.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c r="Z972" s="272"/>
    </row>
    <row r="973" spans="1:26" ht="15.75" customHeight="1" x14ac:dyDescent="0.2">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c r="Z973" s="272"/>
    </row>
    <row r="974" spans="1:26" ht="15.75" customHeight="1" x14ac:dyDescent="0.2">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c r="Z974" s="272"/>
    </row>
    <row r="975" spans="1:26" ht="15.75" customHeight="1" x14ac:dyDescent="0.2">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c r="Z975" s="272"/>
    </row>
    <row r="976" spans="1:26" ht="15.75" customHeight="1" x14ac:dyDescent="0.2">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c r="Z976" s="272"/>
    </row>
    <row r="977" spans="1:26" ht="15.75" customHeight="1" x14ac:dyDescent="0.2">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c r="Z977" s="272"/>
    </row>
    <row r="978" spans="1:26" ht="15.75" customHeight="1" x14ac:dyDescent="0.2">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c r="Z978" s="272"/>
    </row>
    <row r="979" spans="1:26" ht="15.75" customHeight="1" x14ac:dyDescent="0.2">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c r="Z979" s="272"/>
    </row>
    <row r="980" spans="1:26" ht="15.75" customHeight="1" x14ac:dyDescent="0.2">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c r="Z980" s="272"/>
    </row>
    <row r="981" spans="1:26" ht="15.75" customHeight="1" x14ac:dyDescent="0.2">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c r="Z981" s="272"/>
    </row>
    <row r="982" spans="1:26" ht="15.75" customHeight="1" x14ac:dyDescent="0.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c r="Z982" s="272"/>
    </row>
    <row r="983" spans="1:26" ht="15.75" customHeight="1" x14ac:dyDescent="0.2">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c r="Z983" s="272"/>
    </row>
    <row r="984" spans="1:26" ht="15.75" customHeight="1" x14ac:dyDescent="0.2">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c r="Z984" s="272"/>
    </row>
    <row r="985" spans="1:26" ht="15.75" customHeight="1" x14ac:dyDescent="0.2">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c r="Z985" s="272"/>
    </row>
    <row r="986" spans="1:26" ht="15.75" customHeight="1" x14ac:dyDescent="0.2">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c r="Z986" s="272"/>
    </row>
    <row r="987" spans="1:26" ht="15.75" customHeight="1" x14ac:dyDescent="0.2">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c r="Z987" s="272"/>
    </row>
    <row r="988" spans="1:26" ht="15.75" customHeight="1" x14ac:dyDescent="0.2">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c r="Z988" s="272"/>
    </row>
    <row r="989" spans="1:26" ht="15.75" customHeight="1" x14ac:dyDescent="0.2">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c r="Z989" s="272"/>
    </row>
    <row r="990" spans="1:26" ht="15.75" customHeight="1" x14ac:dyDescent="0.2">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c r="Z990" s="272"/>
    </row>
    <row r="991" spans="1:26" ht="15.75" customHeight="1" x14ac:dyDescent="0.2">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c r="Z991" s="272"/>
    </row>
    <row r="992" spans="1:26" ht="15.75" customHeight="1" x14ac:dyDescent="0.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c r="Z992" s="272"/>
    </row>
    <row r="993" spans="1:26" ht="15.75" customHeight="1" x14ac:dyDescent="0.2">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c r="Z993" s="272"/>
    </row>
    <row r="994" spans="1:26" ht="15.75" customHeight="1" x14ac:dyDescent="0.2">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c r="Z994" s="272"/>
    </row>
    <row r="995" spans="1:26" ht="15.75" customHeight="1" x14ac:dyDescent="0.2">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c r="Z995" s="272"/>
    </row>
    <row r="996" spans="1:26" ht="15.75" customHeight="1" x14ac:dyDescent="0.2">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c r="Z996" s="272"/>
    </row>
    <row r="997" spans="1:26" ht="15.75" customHeight="1" x14ac:dyDescent="0.2">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c r="Z997" s="272"/>
    </row>
    <row r="998" spans="1:26" ht="15.75" customHeight="1" x14ac:dyDescent="0.2">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c r="Z998" s="272"/>
    </row>
    <row r="999" spans="1:26" ht="15.75" customHeight="1" x14ac:dyDescent="0.2">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c r="Z999" s="272"/>
    </row>
    <row r="1000" spans="1:26" ht="15.75" customHeight="1" x14ac:dyDescent="0.2">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c r="Z1000" s="272"/>
    </row>
    <row r="1001" spans="1:26" ht="15.75" customHeight="1" x14ac:dyDescent="0.2">
      <c r="A1001" s="272"/>
      <c r="B1001" s="272"/>
      <c r="C1001" s="272"/>
      <c r="D1001" s="272"/>
      <c r="E1001" s="272"/>
      <c r="F1001" s="272"/>
      <c r="G1001" s="272"/>
      <c r="H1001" s="272"/>
      <c r="I1001" s="272"/>
      <c r="J1001" s="272"/>
      <c r="K1001" s="272"/>
      <c r="L1001" s="272"/>
      <c r="M1001" s="272"/>
      <c r="N1001" s="272"/>
      <c r="O1001" s="272"/>
      <c r="P1001" s="272"/>
      <c r="Q1001" s="272"/>
      <c r="R1001" s="272"/>
      <c r="S1001" s="272"/>
      <c r="T1001" s="272"/>
      <c r="U1001" s="272"/>
      <c r="V1001" s="272"/>
      <c r="W1001" s="272"/>
      <c r="X1001" s="272"/>
      <c r="Y1001" s="272"/>
      <c r="Z1001" s="272"/>
    </row>
  </sheetData>
  <mergeCells count="61">
    <mergeCell ref="K30:M30"/>
    <mergeCell ref="K31:M31"/>
    <mergeCell ref="A30:B31"/>
    <mergeCell ref="C30:D31"/>
    <mergeCell ref="E30:E31"/>
    <mergeCell ref="F30:H31"/>
    <mergeCell ref="I30:J30"/>
    <mergeCell ref="I31:J31"/>
    <mergeCell ref="H24:M24"/>
    <mergeCell ref="B25:G25"/>
    <mergeCell ref="H25:M25"/>
    <mergeCell ref="B27:G27"/>
    <mergeCell ref="H27:M27"/>
    <mergeCell ref="B26:G26"/>
    <mergeCell ref="H26:M26"/>
    <mergeCell ref="B18:G18"/>
    <mergeCell ref="H18:M18"/>
    <mergeCell ref="A19:A28"/>
    <mergeCell ref="B19:G19"/>
    <mergeCell ref="H19:M19"/>
    <mergeCell ref="B20:G20"/>
    <mergeCell ref="H20:M20"/>
    <mergeCell ref="B21:G21"/>
    <mergeCell ref="H21:M21"/>
    <mergeCell ref="B22:G22"/>
    <mergeCell ref="H22:M22"/>
    <mergeCell ref="B23:G23"/>
    <mergeCell ref="B28:G28"/>
    <mergeCell ref="H28:M28"/>
    <mergeCell ref="H23:M23"/>
    <mergeCell ref="B24:G24"/>
    <mergeCell ref="H16:M16"/>
    <mergeCell ref="B17:G17"/>
    <mergeCell ref="H17:M17"/>
    <mergeCell ref="B15:G15"/>
    <mergeCell ref="H15:M15"/>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A6:C6"/>
    <mergeCell ref="D6:F6"/>
    <mergeCell ref="G6:H6"/>
    <mergeCell ref="I6:M6"/>
    <mergeCell ref="D1:K4"/>
    <mergeCell ref="L1:M1"/>
    <mergeCell ref="L2:M2"/>
    <mergeCell ref="L3:M4"/>
    <mergeCell ref="B4:C4"/>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003300"/>
  </sheetPr>
  <dimension ref="A1:AF69"/>
  <sheetViews>
    <sheetView zoomScaleNormal="100" workbookViewId="0">
      <selection sqref="A1:C1"/>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0.140625" style="1" customWidth="1"/>
    <col min="11" max="11" width="14.140625" style="1" customWidth="1"/>
    <col min="12" max="12" width="16" style="1" customWidth="1"/>
    <col min="13" max="13" width="30.5703125" style="1" hidden="1" customWidth="1"/>
    <col min="14" max="14" width="15" style="1" customWidth="1"/>
    <col min="15" max="15" width="0.140625" style="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7.5703125" style="1" hidden="1" customWidth="1"/>
    <col min="29" max="29" width="14.85546875" style="1" customWidth="1"/>
    <col min="30" max="30" width="7.42578125" style="1" hidden="1" customWidth="1"/>
    <col min="31" max="32" width="14.28515625" style="1" customWidth="1"/>
    <col min="33" max="16384" width="11.42578125" style="1"/>
  </cols>
  <sheetData>
    <row r="1" spans="1:32" ht="79.5" customHeight="1" x14ac:dyDescent="0.3">
      <c r="A1" s="497"/>
      <c r="B1" s="497"/>
      <c r="C1" s="497"/>
      <c r="D1" s="496" t="s">
        <v>185</v>
      </c>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E1" s="490" t="s">
        <v>224</v>
      </c>
      <c r="AF1" s="490"/>
    </row>
    <row r="2" spans="1:32" ht="20.25" customHeight="1" x14ac:dyDescent="0.3">
      <c r="A2" s="498" t="s">
        <v>183</v>
      </c>
      <c r="B2" s="498"/>
      <c r="C2" s="498"/>
      <c r="D2" s="496" t="s">
        <v>225</v>
      </c>
      <c r="E2" s="496"/>
      <c r="F2" s="496"/>
      <c r="G2" s="496"/>
      <c r="H2" s="496"/>
      <c r="I2" s="496"/>
      <c r="J2" s="496"/>
      <c r="K2" s="496"/>
      <c r="L2" s="496"/>
      <c r="M2" s="496"/>
      <c r="N2" s="496"/>
      <c r="O2" s="496"/>
      <c r="P2" s="496"/>
      <c r="Q2" s="496"/>
      <c r="R2" s="496"/>
      <c r="S2" s="496"/>
      <c r="T2" s="496"/>
      <c r="U2" s="496"/>
      <c r="V2" s="496"/>
      <c r="W2" s="496"/>
      <c r="X2" s="496"/>
      <c r="Y2" s="496"/>
      <c r="Z2" s="496"/>
      <c r="AA2" s="496"/>
      <c r="AB2" s="496"/>
      <c r="AC2" s="496"/>
      <c r="AE2" s="490" t="s">
        <v>182</v>
      </c>
      <c r="AF2" s="490"/>
    </row>
    <row r="3" spans="1:32" x14ac:dyDescent="0.3">
      <c r="A3" s="497"/>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497"/>
      <c r="AE3" s="497"/>
      <c r="AF3" s="497"/>
    </row>
    <row r="4" spans="1:32" ht="35.25" customHeight="1" x14ac:dyDescent="0.3">
      <c r="A4" s="491" t="s">
        <v>226</v>
      </c>
      <c r="B4" s="491"/>
      <c r="C4" s="491"/>
      <c r="D4" s="495" t="s">
        <v>185</v>
      </c>
      <c r="E4" s="495"/>
      <c r="F4" s="495"/>
      <c r="G4" s="495"/>
      <c r="H4" s="495"/>
      <c r="I4" s="495"/>
      <c r="J4" s="495"/>
      <c r="K4" s="495"/>
      <c r="L4" s="495"/>
      <c r="N4" s="492" t="s">
        <v>227</v>
      </c>
      <c r="O4" s="492"/>
      <c r="P4" s="492"/>
      <c r="Q4" s="492"/>
      <c r="R4" s="493">
        <v>2025</v>
      </c>
      <c r="S4" s="493"/>
      <c r="T4" s="493"/>
      <c r="U4" s="493"/>
      <c r="V4" s="493"/>
      <c r="W4" s="493"/>
      <c r="X4" s="493"/>
      <c r="Y4" s="493"/>
      <c r="Z4" s="493"/>
      <c r="AA4" s="493"/>
      <c r="AB4" s="493"/>
      <c r="AC4" s="493"/>
      <c r="AD4" s="493"/>
      <c r="AE4" s="493"/>
      <c r="AF4" s="493"/>
    </row>
    <row r="5" spans="1:32" ht="35.25" customHeight="1" x14ac:dyDescent="0.3">
      <c r="A5" s="491" t="s">
        <v>228</v>
      </c>
      <c r="B5" s="491"/>
      <c r="C5" s="491"/>
      <c r="D5" s="495" t="s">
        <v>229</v>
      </c>
      <c r="E5" s="495"/>
      <c r="F5" s="495"/>
      <c r="G5" s="495"/>
      <c r="H5" s="495"/>
      <c r="I5" s="495"/>
      <c r="J5" s="495"/>
      <c r="K5" s="495"/>
      <c r="L5" s="495"/>
      <c r="N5" s="492" t="s">
        <v>230</v>
      </c>
      <c r="O5" s="492"/>
      <c r="P5" s="492"/>
      <c r="Q5" s="492"/>
      <c r="R5" s="494" t="s">
        <v>477</v>
      </c>
      <c r="S5" s="494"/>
      <c r="T5" s="494"/>
      <c r="U5" s="494"/>
      <c r="V5" s="494"/>
      <c r="W5" s="494"/>
      <c r="X5" s="494"/>
      <c r="Y5" s="494"/>
      <c r="Z5" s="494"/>
      <c r="AA5" s="494"/>
      <c r="AB5" s="494"/>
      <c r="AC5" s="494"/>
      <c r="AD5" s="494"/>
      <c r="AE5" s="494"/>
      <c r="AF5" s="494"/>
    </row>
    <row r="6" spans="1:32" x14ac:dyDescent="0.3">
      <c r="A6" s="556"/>
      <c r="B6" s="556"/>
      <c r="C6" s="556"/>
      <c r="D6" s="556"/>
      <c r="E6" s="556"/>
      <c r="F6" s="556"/>
      <c r="G6" s="556"/>
      <c r="H6" s="556"/>
      <c r="I6" s="556"/>
      <c r="J6" s="556"/>
      <c r="K6" s="556"/>
      <c r="L6" s="556"/>
      <c r="M6" s="556"/>
      <c r="N6" s="556"/>
      <c r="O6" s="556"/>
      <c r="P6" s="556"/>
      <c r="Q6" s="556"/>
      <c r="R6" s="556"/>
      <c r="S6" s="556"/>
      <c r="T6" s="556"/>
      <c r="U6" s="556"/>
      <c r="V6" s="556"/>
      <c r="W6" s="556"/>
      <c r="X6" s="556"/>
      <c r="Y6" s="556"/>
      <c r="Z6" s="556"/>
      <c r="AA6" s="556"/>
      <c r="AB6" s="556"/>
      <c r="AC6" s="556"/>
      <c r="AD6" s="556"/>
      <c r="AE6" s="556"/>
      <c r="AF6" s="556"/>
    </row>
    <row r="7" spans="1:32" ht="51" customHeight="1" x14ac:dyDescent="0.3">
      <c r="A7" s="504" t="s">
        <v>231</v>
      </c>
      <c r="B7" s="505"/>
      <c r="C7" s="505"/>
      <c r="D7" s="505"/>
      <c r="E7" s="505"/>
      <c r="F7" s="505"/>
      <c r="G7" s="506"/>
      <c r="H7" s="501" t="s">
        <v>232</v>
      </c>
      <c r="I7" s="502"/>
      <c r="J7" s="502"/>
      <c r="K7" s="502"/>
      <c r="L7" s="502"/>
      <c r="M7" s="502"/>
      <c r="N7" s="502"/>
      <c r="O7" s="502"/>
      <c r="P7" s="503"/>
      <c r="Q7" s="499" t="s">
        <v>233</v>
      </c>
      <c r="R7" s="499"/>
      <c r="S7" s="499"/>
      <c r="T7" s="499"/>
      <c r="U7" s="499"/>
      <c r="V7" s="499"/>
      <c r="W7" s="499"/>
      <c r="X7" s="499"/>
      <c r="Y7" s="499"/>
      <c r="Z7" s="500" t="s">
        <v>234</v>
      </c>
      <c r="AA7" s="500"/>
      <c r="AB7" s="500"/>
      <c r="AC7" s="500"/>
      <c r="AD7" s="500"/>
      <c r="AE7" s="500"/>
      <c r="AF7" s="500"/>
    </row>
    <row r="8" spans="1:32" ht="16.5" customHeight="1" x14ac:dyDescent="0.3">
      <c r="A8" s="517" t="s">
        <v>235</v>
      </c>
      <c r="B8" s="512" t="s">
        <v>236</v>
      </c>
      <c r="C8" s="512" t="s">
        <v>142</v>
      </c>
      <c r="D8" s="512" t="s">
        <v>140</v>
      </c>
      <c r="E8" s="510" t="s">
        <v>237</v>
      </c>
      <c r="F8" s="512" t="s">
        <v>238</v>
      </c>
      <c r="G8" s="512" t="s">
        <v>239</v>
      </c>
      <c r="H8" s="512" t="s">
        <v>240</v>
      </c>
      <c r="I8" s="512" t="s">
        <v>241</v>
      </c>
      <c r="J8" s="514" t="s">
        <v>242</v>
      </c>
      <c r="K8" s="514" t="s">
        <v>134</v>
      </c>
      <c r="L8" s="512" t="s">
        <v>243</v>
      </c>
      <c r="M8" s="512" t="s">
        <v>244</v>
      </c>
      <c r="N8" s="512" t="s">
        <v>245</v>
      </c>
      <c r="O8" s="514" t="s">
        <v>242</v>
      </c>
      <c r="P8" s="512" t="s">
        <v>148</v>
      </c>
      <c r="Q8" s="515" t="s">
        <v>246</v>
      </c>
      <c r="R8" s="512" t="s">
        <v>150</v>
      </c>
      <c r="S8" s="512" t="s">
        <v>152</v>
      </c>
      <c r="T8" s="519" t="s">
        <v>247</v>
      </c>
      <c r="U8" s="519"/>
      <c r="V8" s="519"/>
      <c r="W8" s="519"/>
      <c r="X8" s="519"/>
      <c r="Y8" s="519"/>
      <c r="Z8" s="515" t="s">
        <v>248</v>
      </c>
      <c r="AA8" s="512" t="s">
        <v>249</v>
      </c>
      <c r="AB8" s="512" t="s">
        <v>242</v>
      </c>
      <c r="AC8" s="512" t="s">
        <v>250</v>
      </c>
      <c r="AD8" s="512" t="s">
        <v>242</v>
      </c>
      <c r="AE8" s="512" t="s">
        <v>251</v>
      </c>
      <c r="AF8" s="512" t="s">
        <v>168</v>
      </c>
    </row>
    <row r="9" spans="1:32" s="183" customFormat="1" ht="87" customHeight="1" thickBot="1" x14ac:dyDescent="0.3">
      <c r="A9" s="518"/>
      <c r="B9" s="510"/>
      <c r="C9" s="510"/>
      <c r="D9" s="510"/>
      <c r="E9" s="511"/>
      <c r="F9" s="510"/>
      <c r="G9" s="510"/>
      <c r="H9" s="510"/>
      <c r="I9" s="510"/>
      <c r="J9" s="513"/>
      <c r="K9" s="513"/>
      <c r="L9" s="510"/>
      <c r="M9" s="510"/>
      <c r="N9" s="513"/>
      <c r="O9" s="513"/>
      <c r="P9" s="510"/>
      <c r="Q9" s="516"/>
      <c r="R9" s="510"/>
      <c r="S9" s="510"/>
      <c r="T9" s="185" t="s">
        <v>252</v>
      </c>
      <c r="U9" s="185" t="s">
        <v>253</v>
      </c>
      <c r="V9" s="185" t="s">
        <v>254</v>
      </c>
      <c r="W9" s="185" t="s">
        <v>255</v>
      </c>
      <c r="X9" s="185" t="s">
        <v>256</v>
      </c>
      <c r="Y9" s="185" t="s">
        <v>257</v>
      </c>
      <c r="Z9" s="516"/>
      <c r="AA9" s="510"/>
      <c r="AB9" s="510"/>
      <c r="AC9" s="510"/>
      <c r="AD9" s="510"/>
      <c r="AE9" s="510"/>
      <c r="AF9" s="510"/>
    </row>
    <row r="10" spans="1:32" s="184" customFormat="1" ht="63" customHeight="1" x14ac:dyDescent="0.25">
      <c r="A10" s="538">
        <v>1</v>
      </c>
      <c r="B10" s="523" t="s">
        <v>103</v>
      </c>
      <c r="C10" s="523" t="s">
        <v>258</v>
      </c>
      <c r="D10" s="520" t="s">
        <v>259</v>
      </c>
      <c r="E10" s="269" t="s">
        <v>260</v>
      </c>
      <c r="F10" s="288" t="s">
        <v>261</v>
      </c>
      <c r="G10" s="288" t="s">
        <v>262</v>
      </c>
      <c r="H10" s="526">
        <v>2</v>
      </c>
      <c r="I10" s="529" t="str">
        <f>IF(H10&lt;=0,"",IF(H10&lt;=2,"Muy Baja",IF(H10&lt;=24,"Baja",IF(H10&lt;=500,"Media",IF(H10&lt;=5000,"Alta","Muy Alta")))))</f>
        <v>Muy Baja</v>
      </c>
      <c r="J10" s="535">
        <f>IF(I10="","",IF(I10="Muy Baja",0.2,IF(I10="Baja",0.4,IF(I10="Media",0.6,IF(I10="Alta",0.8,IF(I10="Muy Alta",1,))))))</f>
        <v>0.2</v>
      </c>
      <c r="K10" s="523" t="s">
        <v>263</v>
      </c>
      <c r="L10" s="532" t="s">
        <v>264</v>
      </c>
      <c r="M10" s="266" t="str">
        <f>IF(NOT(ISERROR(MATCH(L10,'Tabla Impacto'!$B$221:$B$223,0))),'Tabla Impacto'!$F$223&amp;"Por favor no seleccionar los criterios de impacto(Afectación Económica o presupuestal y Pérdida Reputacional)",L10)</f>
        <v xml:space="preserve">     El riesgo afecta la imagen de alguna área de la organización</v>
      </c>
      <c r="N10" s="529" t="str">
        <f>IF(OR(M10='Tabla Impacto'!$C$11,M10='Tabla Impacto'!$D$11),"Leve",IF(OR(M10='Tabla Impacto'!$C$12,M10='Tabla Impacto'!$D$12),"Menor",IF(OR(M10='Tabla Impacto'!$C$13,M10='Tabla Impacto'!$D$13),"Moderado",IF(OR(M10='Tabla Impacto'!$C$14,M10='Tabla Impacto'!$D$14),"Mayor",IF(OR(M10='Tabla Impacto'!$C$15,M10='Tabla Impacto'!$D$15),"Catastrófico","")))))</f>
        <v>Leve</v>
      </c>
      <c r="O10" s="535">
        <f>IF(N10="","",IF(N10="Leve",0.2,IF(N10="Menor",0.4,IF(N10="Moderado",0.6,IF(N10="Mayor",0.8,IF(N10="Catastrófico",1,))))))</f>
        <v>0.2</v>
      </c>
      <c r="P10" s="529"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88" t="s">
        <v>265</v>
      </c>
      <c r="S10" s="216" t="str">
        <f>IF(OR(T10="Preventivo",T10="Detectivo"),"Probabilidad",IF(T10="Correctivo","Impacto",""))</f>
        <v>Probabilidad</v>
      </c>
      <c r="T10" s="217" t="s">
        <v>266</v>
      </c>
      <c r="U10" s="217" t="s">
        <v>267</v>
      </c>
      <c r="V10" s="218" t="str">
        <f>IF(AND(T10="Preventivo",U10="Automático"),"50%",IF(AND(T10="Preventivo",U10="Manual"),"40%",IF(AND(T10="Detectivo",U10="Automático"),"40%",IF(AND(T10="Detectivo",U10="Manual"),"30%",IF(AND(T10="Correctivo",U10="Automático"),"35%",IF(AND(T10="Correctivo",U10="Manual"),"25%",""))))))</f>
        <v>40%</v>
      </c>
      <c r="W10" s="217" t="s">
        <v>268</v>
      </c>
      <c r="X10" s="217" t="s">
        <v>269</v>
      </c>
      <c r="Y10" s="217" t="s">
        <v>270</v>
      </c>
      <c r="Z10" s="219">
        <f>IFERROR(IF(S10="Probabilidad",(J10-(+J10*V10)),IF(S10="Impacto",J10,"")),"")</f>
        <v>0.12</v>
      </c>
      <c r="AA10" s="263" t="str">
        <f>IFERROR(IF(Z10="","",IF(Z10&lt;=0.2,"Muy Baja",IF(Z10&lt;=0.4,"Baja",IF(Z10&lt;=0.6,"Media",IF(Z10&lt;=0.8,"Alta","Muy Alta"))))),"")</f>
        <v>Muy Baja</v>
      </c>
      <c r="AB10" s="218">
        <f>+Z10</f>
        <v>0.12</v>
      </c>
      <c r="AC10" s="263" t="str">
        <f>IFERROR(IF(AD10="","",IF(AD10&lt;=0.2,"Leve",IF(AD10&lt;=0.4,"Menor",IF(AD10&lt;=0.6,"Moderado",IF(AD10&lt;=0.8,"Mayor","Catastrófico"))))),"")</f>
        <v>Leve</v>
      </c>
      <c r="AD10" s="218">
        <f>IFERROR(IF(S10="Impacto",(O10-(+O10*V10)),IF(S10="Probabilidad",O10,"")),"")</f>
        <v>0.2</v>
      </c>
      <c r="AE10" s="220"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507" t="s">
        <v>271</v>
      </c>
    </row>
    <row r="11" spans="1:32" ht="60" customHeight="1" x14ac:dyDescent="0.3">
      <c r="A11" s="539"/>
      <c r="B11" s="524"/>
      <c r="C11" s="524"/>
      <c r="D11" s="521"/>
      <c r="E11" s="270" t="s">
        <v>260</v>
      </c>
      <c r="F11" s="286" t="s">
        <v>272</v>
      </c>
      <c r="G11" s="286" t="s">
        <v>273</v>
      </c>
      <c r="H11" s="527"/>
      <c r="I11" s="530"/>
      <c r="J11" s="536"/>
      <c r="K11" s="524"/>
      <c r="L11" s="533"/>
      <c r="M11" s="267">
        <f>IF(NOT(ISERROR(MATCH(L11,_xlfn.ANCHORARRAY(#REF!),0))),#REF!&amp;"Por favor no seleccionar los criterios de impacto",L11)</f>
        <v>0</v>
      </c>
      <c r="N11" s="530"/>
      <c r="O11" s="536"/>
      <c r="P11" s="530"/>
      <c r="Q11" s="192">
        <v>2</v>
      </c>
      <c r="R11" s="286" t="s">
        <v>274</v>
      </c>
      <c r="S11" s="222" t="str">
        <f>IF(OR(T11="Preventivo",T11="Detectivo"),"Probabilidad",IF(T11="Correctivo","Impacto",""))</f>
        <v>Probabilidad</v>
      </c>
      <c r="T11" s="223" t="s">
        <v>266</v>
      </c>
      <c r="U11" s="223" t="s">
        <v>267</v>
      </c>
      <c r="V11" s="224" t="str">
        <f t="shared" ref="V11:V16" si="0">IF(AND(T11="Preventivo",U11="Automático"),"50%",IF(AND(T11="Preventivo",U11="Manual"),"40%",IF(AND(T11="Detectivo",U11="Automático"),"40%",IF(AND(T11="Detectivo",U11="Manual"),"30%",IF(AND(T11="Correctivo",U11="Automático"),"35%",IF(AND(T11="Correctivo",U11="Manual"),"25%",""))))))</f>
        <v>40%</v>
      </c>
      <c r="W11" s="223" t="s">
        <v>268</v>
      </c>
      <c r="X11" s="223" t="s">
        <v>269</v>
      </c>
      <c r="Y11" s="223" t="s">
        <v>270</v>
      </c>
      <c r="Z11" s="225">
        <f>IFERROR(IF(AND(S10="Probabilidad",S11="Probabilidad"),(AB10-(+AB10*V11)),IF(S11="Probabilidad",(J10-(+J10*V11)),IF(S11="Impacto",AB10,""))),"")</f>
        <v>7.1999999999999995E-2</v>
      </c>
      <c r="AA11" s="264" t="str">
        <f t="shared" ref="AA11:AA64" si="1">IFERROR(IF(Z11="","",IF(Z11&lt;=0.2,"Muy Baja",IF(Z11&lt;=0.4,"Baja",IF(Z11&lt;=0.6,"Media",IF(Z11&lt;=0.8,"Alta","Muy Alta"))))),"")</f>
        <v>Muy Baja</v>
      </c>
      <c r="AB11" s="224">
        <f t="shared" ref="AB11:AB16" si="2">+Z11</f>
        <v>7.1999999999999995E-2</v>
      </c>
      <c r="AC11" s="264" t="str">
        <f t="shared" ref="AC11:AC64" si="3">IFERROR(IF(AD11="","",IF(AD11&lt;=0.2,"Leve",IF(AD11&lt;=0.4,"Menor",IF(AD11&lt;=0.6,"Moderado",IF(AD11&lt;=0.8,"Mayor","Catastrófico"))))),"")</f>
        <v>Leve</v>
      </c>
      <c r="AD11" s="224">
        <f>IFERROR(IF(AND(S10="Impacto",S11="Impacto"),(AD10-(+AD10*V11)),IF(S11="Impacto",(O10-(+O10*V11)),IF(S11="Probabilidad",AD10,""))),"")</f>
        <v>0.2</v>
      </c>
      <c r="AE11" s="226" t="str">
        <f t="shared" ref="AE11:AE16"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508"/>
    </row>
    <row r="12" spans="1:32" ht="72.75" customHeight="1" x14ac:dyDescent="0.3">
      <c r="A12" s="539"/>
      <c r="B12" s="524"/>
      <c r="C12" s="524"/>
      <c r="D12" s="521"/>
      <c r="E12" s="270" t="s">
        <v>260</v>
      </c>
      <c r="F12" s="286" t="s">
        <v>275</v>
      </c>
      <c r="G12" s="286" t="s">
        <v>276</v>
      </c>
      <c r="H12" s="527"/>
      <c r="I12" s="530"/>
      <c r="J12" s="536"/>
      <c r="K12" s="524"/>
      <c r="L12" s="533"/>
      <c r="M12" s="267">
        <f>IF(NOT(ISERROR(MATCH(L12,_xlfn.ANCHORARRAY(#REF!),0))),#REF!&amp;"Por favor no seleccionar los criterios de impacto",L12)</f>
        <v>0</v>
      </c>
      <c r="N12" s="530"/>
      <c r="O12" s="536"/>
      <c r="P12" s="530"/>
      <c r="Q12" s="192">
        <v>3</v>
      </c>
      <c r="R12" s="286"/>
      <c r="S12" s="222" t="str">
        <f>IF(OR(T12="Preventivo",T12="Detectivo"),"Probabilidad",IF(T12="Correctivo","Impacto",""))</f>
        <v/>
      </c>
      <c r="T12" s="223"/>
      <c r="U12" s="223"/>
      <c r="V12" s="224" t="str">
        <f t="shared" si="0"/>
        <v/>
      </c>
      <c r="W12" s="223"/>
      <c r="X12" s="223"/>
      <c r="Y12" s="223"/>
      <c r="Z12" s="225" t="str">
        <f>IFERROR(IF(AND(S11="Probabilidad",S12="Probabilidad"),(AB11-(+AB11*V12)),IF(AND(S11="Impacto",S12="Probabilidad"),(AB10-(+AB10*V12)),IF(S12="Impacto",AB11,""))),"")</f>
        <v/>
      </c>
      <c r="AA12" s="264" t="str">
        <f t="shared" si="1"/>
        <v/>
      </c>
      <c r="AB12" s="224" t="str">
        <f t="shared" si="2"/>
        <v/>
      </c>
      <c r="AC12" s="264" t="str">
        <f t="shared" si="3"/>
        <v/>
      </c>
      <c r="AD12" s="224" t="str">
        <f>IFERROR(IF(AND(S11="Impacto",S12="Impacto"),(AD11-(+AD11*V12)),IF(AND(S11="Probabilidad",S12="Impacto"),(AD10-(+AD10*V12)),IF(S12="Probabilidad",AD11,""))),"")</f>
        <v/>
      </c>
      <c r="AE12" s="226" t="str">
        <f t="shared" si="4"/>
        <v/>
      </c>
      <c r="AF12" s="508"/>
    </row>
    <row r="13" spans="1:32" ht="83.25" customHeight="1" x14ac:dyDescent="0.3">
      <c r="A13" s="539"/>
      <c r="B13" s="524"/>
      <c r="C13" s="524"/>
      <c r="D13" s="521"/>
      <c r="E13" s="270"/>
      <c r="F13" s="286"/>
      <c r="G13" s="286" t="s">
        <v>277</v>
      </c>
      <c r="H13" s="527"/>
      <c r="I13" s="530"/>
      <c r="J13" s="536"/>
      <c r="K13" s="524"/>
      <c r="L13" s="533"/>
      <c r="M13" s="267">
        <f>IF(NOT(ISERROR(MATCH(L13,_xlfn.ANCHORARRAY(#REF!),0))),#REF!&amp;"Por favor no seleccionar los criterios de impacto",L13)</f>
        <v>0</v>
      </c>
      <c r="N13" s="530"/>
      <c r="O13" s="536"/>
      <c r="P13" s="530"/>
      <c r="Q13" s="192">
        <v>4</v>
      </c>
      <c r="R13" s="286"/>
      <c r="S13" s="222" t="str">
        <f t="shared" ref="S13:S16" si="5">IF(OR(T13="Preventivo",T13="Detectivo"),"Probabilidad",IF(T13="Correctivo","Impacto",""))</f>
        <v/>
      </c>
      <c r="T13" s="223"/>
      <c r="U13" s="223"/>
      <c r="V13" s="224" t="str">
        <f t="shared" si="0"/>
        <v/>
      </c>
      <c r="W13" s="223"/>
      <c r="X13" s="223"/>
      <c r="Y13" s="223"/>
      <c r="Z13" s="225" t="str">
        <f t="shared" ref="Z13" si="6">IFERROR(IF(AND(S12="Probabilidad",S13="Probabilidad"),(AB12-(+AB12*V13)),IF(AND(S12="Impacto",S13="Probabilidad"),(AB11-(+AB11*V13)),IF(S13="Impacto",AB12,""))),"")</f>
        <v/>
      </c>
      <c r="AA13" s="264" t="str">
        <f t="shared" si="1"/>
        <v/>
      </c>
      <c r="AB13" s="224" t="str">
        <f t="shared" si="2"/>
        <v/>
      </c>
      <c r="AC13" s="264" t="str">
        <f t="shared" si="3"/>
        <v/>
      </c>
      <c r="AD13" s="224" t="str">
        <f t="shared" ref="AD13" si="7">IFERROR(IF(AND(S12="Impacto",S13="Impacto"),(AD12-(+AD12*V13)),IF(AND(S12="Probabilidad",S13="Impacto"),(AD11-(+AD11*V13)),IF(S13="Probabilidad",AD12,""))),"")</f>
        <v/>
      </c>
      <c r="AE13" s="226"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508"/>
    </row>
    <row r="14" spans="1:32" ht="16.5" customHeight="1" x14ac:dyDescent="0.3">
      <c r="A14" s="539"/>
      <c r="B14" s="524"/>
      <c r="C14" s="524"/>
      <c r="D14" s="521"/>
      <c r="E14" s="270"/>
      <c r="F14" s="286"/>
      <c r="G14" s="286"/>
      <c r="H14" s="527"/>
      <c r="I14" s="530"/>
      <c r="J14" s="536"/>
      <c r="K14" s="524"/>
      <c r="L14" s="533"/>
      <c r="M14" s="267"/>
      <c r="N14" s="530"/>
      <c r="O14" s="536"/>
      <c r="P14" s="530"/>
      <c r="Q14" s="192">
        <v>5</v>
      </c>
      <c r="R14" s="286"/>
      <c r="S14" s="222"/>
      <c r="T14" s="223"/>
      <c r="U14" s="223"/>
      <c r="V14" s="224"/>
      <c r="W14" s="223"/>
      <c r="X14" s="223"/>
      <c r="Y14" s="223"/>
      <c r="Z14" s="225"/>
      <c r="AA14" s="264"/>
      <c r="AB14" s="224"/>
      <c r="AC14" s="264"/>
      <c r="AD14" s="224"/>
      <c r="AE14" s="226"/>
      <c r="AF14" s="508"/>
    </row>
    <row r="15" spans="1:32" ht="14.25" customHeight="1" x14ac:dyDescent="0.3">
      <c r="A15" s="539"/>
      <c r="B15" s="524"/>
      <c r="C15" s="524"/>
      <c r="D15" s="521"/>
      <c r="E15" s="270"/>
      <c r="F15" s="286"/>
      <c r="G15" s="286"/>
      <c r="H15" s="527"/>
      <c r="I15" s="530"/>
      <c r="J15" s="536"/>
      <c r="K15" s="524"/>
      <c r="L15" s="533"/>
      <c r="M15" s="267">
        <f>IF(NOT(ISERROR(MATCH(L15,_xlfn.ANCHORARRAY(#REF!),0))),#REF!&amp;"Por favor no seleccionar los criterios de impacto",L15)</f>
        <v>0</v>
      </c>
      <c r="N15" s="530"/>
      <c r="O15" s="536"/>
      <c r="P15" s="530"/>
      <c r="Q15" s="192">
        <v>6</v>
      </c>
      <c r="R15" s="286"/>
      <c r="S15" s="222" t="str">
        <f t="shared" si="5"/>
        <v/>
      </c>
      <c r="T15" s="223"/>
      <c r="U15" s="223"/>
      <c r="V15" s="224" t="str">
        <f t="shared" si="0"/>
        <v/>
      </c>
      <c r="W15" s="223"/>
      <c r="X15" s="223"/>
      <c r="Y15" s="223"/>
      <c r="Z15" s="225" t="str">
        <f>IFERROR(IF(AND(S13="Probabilidad",S15="Probabilidad"),(AB13-(+AB13*V15)),IF(AND(S13="Impacto",S15="Probabilidad"),(AB12-(+AB12*V15)),IF(S15="Impacto",AB13,""))),"")</f>
        <v/>
      </c>
      <c r="AA15" s="264" t="str">
        <f t="shared" si="1"/>
        <v/>
      </c>
      <c r="AB15" s="224" t="str">
        <f t="shared" si="2"/>
        <v/>
      </c>
      <c r="AC15" s="264" t="str">
        <f t="shared" si="3"/>
        <v/>
      </c>
      <c r="AD15" s="224" t="str">
        <f>IFERROR(IF(AND(S13="Impacto",S15="Impacto"),(AD13-(+AD13*V15)),IF(AND(S13="Probabilidad",S15="Impacto"),(AD12-(+AD12*V15)),IF(S15="Probabilidad",AD13,""))),"")</f>
        <v/>
      </c>
      <c r="AE15" s="226" t="str">
        <f t="shared" si="4"/>
        <v/>
      </c>
      <c r="AF15" s="508"/>
    </row>
    <row r="16" spans="1:32" ht="19.5" customHeight="1" x14ac:dyDescent="0.3">
      <c r="A16" s="540"/>
      <c r="B16" s="525"/>
      <c r="C16" s="525"/>
      <c r="D16" s="522"/>
      <c r="E16" s="271"/>
      <c r="F16" s="289"/>
      <c r="G16" s="289"/>
      <c r="H16" s="528"/>
      <c r="I16" s="531"/>
      <c r="J16" s="537"/>
      <c r="K16" s="525"/>
      <c r="L16" s="534"/>
      <c r="M16" s="268">
        <f>IF(NOT(ISERROR(MATCH(L16,_xlfn.ANCHORARRAY(#REF!),0))),J23&amp;"Por favor no seleccionar los criterios de impacto",L16)</f>
        <v>0</v>
      </c>
      <c r="N16" s="531"/>
      <c r="O16" s="537"/>
      <c r="P16" s="531"/>
      <c r="Q16" s="193">
        <v>7</v>
      </c>
      <c r="R16" s="289"/>
      <c r="S16" s="228" t="str">
        <f t="shared" si="5"/>
        <v/>
      </c>
      <c r="T16" s="229"/>
      <c r="U16" s="229"/>
      <c r="V16" s="230" t="str">
        <f t="shared" si="0"/>
        <v/>
      </c>
      <c r="W16" s="229"/>
      <c r="X16" s="229"/>
      <c r="Y16" s="229"/>
      <c r="Z16" s="231" t="str">
        <f>IFERROR(IF(AND(S15="Probabilidad",S16="Probabilidad"),(AB15-(+AB15*V16)),IF(AND(S15="Impacto",S16="Probabilidad"),(AB13-(+AB13*V16)),IF(S16="Impacto",AB15,""))),"")</f>
        <v/>
      </c>
      <c r="AA16" s="265" t="str">
        <f t="shared" si="1"/>
        <v/>
      </c>
      <c r="AB16" s="230" t="str">
        <f t="shared" si="2"/>
        <v/>
      </c>
      <c r="AC16" s="265" t="str">
        <f t="shared" si="3"/>
        <v/>
      </c>
      <c r="AD16" s="230" t="str">
        <f>IFERROR(IF(AND(S15="Impacto",S16="Impacto"),(AD15-(+AD15*V16)),IF(AND(S15="Probabilidad",S16="Impacto"),(AD13-(+AD13*V16)),IF(S16="Probabilidad",AD15,""))),"")</f>
        <v/>
      </c>
      <c r="AE16" s="232" t="str">
        <f t="shared" si="4"/>
        <v/>
      </c>
      <c r="AF16" s="509"/>
    </row>
    <row r="17" spans="1:32" ht="57.75" customHeight="1" x14ac:dyDescent="0.3">
      <c r="A17" s="538">
        <v>2</v>
      </c>
      <c r="B17" s="523" t="s">
        <v>103</v>
      </c>
      <c r="C17" s="523" t="s">
        <v>258</v>
      </c>
      <c r="D17" s="520" t="s">
        <v>278</v>
      </c>
      <c r="E17" s="269" t="s">
        <v>260</v>
      </c>
      <c r="F17" s="288" t="s">
        <v>279</v>
      </c>
      <c r="G17" s="288" t="s">
        <v>280</v>
      </c>
      <c r="H17" s="526">
        <v>3</v>
      </c>
      <c r="I17" s="529" t="str">
        <f>IF(H17&lt;=0,"",IF(H17&lt;=2,"Muy Baja",IF(H17&lt;=24,"Baja",IF(H17&lt;=500,"Media",IF(H17&lt;=5000,"Alta","Muy Alta")))))</f>
        <v>Baja</v>
      </c>
      <c r="J17" s="535">
        <f>IF(I17="","",IF(I17="Muy Baja",0.2,IF(I17="Baja",0.4,IF(I17="Media",0.6,IF(I17="Alta",0.8,IF(I17="Muy Alta",1,))))))</f>
        <v>0.4</v>
      </c>
      <c r="K17" s="523" t="s">
        <v>263</v>
      </c>
      <c r="L17" s="532" t="s">
        <v>281</v>
      </c>
      <c r="M17" s="266" t="str">
        <f>IF(NOT(ISERROR(MATCH(L17,'Tabla Impacto'!$B$221:$B$223,0))),'Tabla Impacto'!$F$223&amp;"Por favor no seleccionar los criterios de impacto(Afectación Económica o presupuestal y Pérdida Reputacional)",L17)</f>
        <v xml:space="preserve">     El riesgo afecta la imagen de la entidad con algunos usuarios de relevancia frente al logro de los objetivos</v>
      </c>
      <c r="N17" s="529" t="str">
        <f>IF(OR(M17='Tabla Impacto'!$C$11,M17='Tabla Impacto'!$D$11),"Leve",IF(OR(M17='Tabla Impacto'!$C$12,M17='Tabla Impacto'!$D$12),"Menor",IF(OR(M17='Tabla Impacto'!$C$13,M17='Tabla Impacto'!$D$13),"Moderado",IF(OR(M17='Tabla Impacto'!$C$14,M17='Tabla Impacto'!$D$14),"Mayor",IF(OR(M17='Tabla Impacto'!$C$15,M17='Tabla Impacto'!$D$15),"Catastrófico","")))))</f>
        <v>Moderado</v>
      </c>
      <c r="O17" s="535">
        <f>IF(N17="","",IF(N17="Leve",0.2,IF(N17="Menor",0.4,IF(N17="Moderado",0.6,IF(N17="Mayor",0.8,IF(N17="Catastrófico",1,))))))</f>
        <v>0.6</v>
      </c>
      <c r="P17" s="529" t="str">
        <f>IF(OR(AND(I17="Muy Baja",N17="Leve"),AND(I17="Muy Baja",N17="Menor"),AND(I17="Baja",N17="Leve")),"Bajo",IF(OR(AND(I17="Muy baja",N17="Moderado"),AND(I17="Baja",N17="Menor"),AND(I17="Baja",N17="Moderado"),AND(I17="Media",N17="Leve"),AND(I17="Media",N17="Menor"),AND(I17="Media",N17="Moderado"),AND(I17="Alta",N17="Leve"),AND(I17="Alta",N17="Menor")),"Moderado",IF(OR(AND(I17="Muy Baja",N17="Mayor"),AND(I17="Baja",N17="Mayor"),AND(I17="Media",N17="Mayor"),AND(I17="Alta",N17="Moderado"),AND(I17="Alta",N17="Mayor"),AND(I17="Muy Alta",N17="Leve"),AND(I17="Muy Alta",N17="Menor"),AND(I17="Muy Alta",N17="Moderado"),AND(I17="Muy Alta",N17="Mayor")),"Alto",IF(OR(AND(I17="Muy Baja",N17="Catastrófico"),AND(I17="Baja",N17="Catastrófico"),AND(I17="Media",N17="Catastrófico"),AND(I17="Alta",N17="Catastrófico"),AND(I17="Muy Alta",N17="Catastrófico")),"Extremo",""))))</f>
        <v>Moderado</v>
      </c>
      <c r="Q17" s="191">
        <v>1</v>
      </c>
      <c r="R17" s="288" t="s">
        <v>282</v>
      </c>
      <c r="S17" s="216" t="str">
        <f>IF(OR(T17="Preventivo",T17="Detectivo"),"Probabilidad",IF(T17="Correctivo","Impacto",""))</f>
        <v>Probabilidad</v>
      </c>
      <c r="T17" s="217" t="s">
        <v>266</v>
      </c>
      <c r="U17" s="217" t="s">
        <v>267</v>
      </c>
      <c r="V17" s="234" t="str">
        <f>IF(AND(T17="Preventivo",U17="Automático"),"50%",IF(AND(T17="Preventivo",U17="Manual"),"40%",IF(AND(T17="Detectivo",U17="Automático"),"40%",IF(AND(T17="Detectivo",U17="Manual"),"30%",IF(AND(T17="Correctivo",U17="Automático"),"35%",IF(AND(T17="Correctivo",U17="Manual"),"25%",""))))))</f>
        <v>40%</v>
      </c>
      <c r="W17" s="217" t="s">
        <v>268</v>
      </c>
      <c r="X17" s="217" t="s">
        <v>269</v>
      </c>
      <c r="Y17" s="217" t="s">
        <v>270</v>
      </c>
      <c r="Z17" s="237">
        <f>IFERROR(IF(S17="Probabilidad",(J17-(+J17*V17)),IF(S17="Impacto",J17,"")),"")</f>
        <v>0.24</v>
      </c>
      <c r="AA17" s="263" t="str">
        <f>IFERROR(IF(Z17="","",IF(Z17&lt;=0.2,"Muy Baja",IF(Z17&lt;=0.4,"Baja",IF(Z17&lt;=0.6,"Media",IF(Z17&lt;=0.8,"Alta","Muy Alta"))))),"")</f>
        <v>Baja</v>
      </c>
      <c r="AB17" s="218">
        <f>+Z17</f>
        <v>0.24</v>
      </c>
      <c r="AC17" s="263" t="str">
        <f>IFERROR(IF(AD17="","",IF(AD17&lt;=0.2,"Leve",IF(AD17&lt;=0.4,"Menor",IF(AD17&lt;=0.6,"Moderado",IF(AD17&lt;=0.8,"Mayor","Catastrófico"))))),"")</f>
        <v>Moderado</v>
      </c>
      <c r="AD17" s="218">
        <f>IFERROR(IF(S17="Impacto",(O17-(+O17*V17)),IF(S17="Probabilidad",O17,"")),"")</f>
        <v>0.6</v>
      </c>
      <c r="AE17" s="220" t="str">
        <f>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Moderado</v>
      </c>
      <c r="AF17" s="507" t="s">
        <v>271</v>
      </c>
    </row>
    <row r="18" spans="1:32" ht="64.5" x14ac:dyDescent="0.3">
      <c r="A18" s="539"/>
      <c r="B18" s="524"/>
      <c r="C18" s="524"/>
      <c r="D18" s="521"/>
      <c r="E18" s="270" t="s">
        <v>260</v>
      </c>
      <c r="F18" s="286" t="s">
        <v>283</v>
      </c>
      <c r="G18" s="286" t="s">
        <v>284</v>
      </c>
      <c r="H18" s="527"/>
      <c r="I18" s="530"/>
      <c r="J18" s="536"/>
      <c r="K18" s="524"/>
      <c r="L18" s="533"/>
      <c r="M18" s="267">
        <f>IF(NOT(ISERROR(MATCH(L18,_xlfn.ANCHORARRAY(D23),0))),J25&amp;"Por favor no seleccionar los criterios de impacto",L18)</f>
        <v>0</v>
      </c>
      <c r="N18" s="530"/>
      <c r="O18" s="536"/>
      <c r="P18" s="530"/>
      <c r="Q18" s="192">
        <v>2</v>
      </c>
      <c r="R18" s="286" t="s">
        <v>285</v>
      </c>
      <c r="S18" s="222" t="str">
        <f>IF(OR(T18="Preventivo",T18="Detectivo"),"Probabilidad",IF(T18="Correctivo","Impacto",""))</f>
        <v>Probabilidad</v>
      </c>
      <c r="T18" s="223" t="s">
        <v>266</v>
      </c>
      <c r="U18" s="223" t="s">
        <v>267</v>
      </c>
      <c r="V18" s="235" t="str">
        <f t="shared" ref="V18:V22" si="8">IF(AND(T18="Preventivo",U18="Automático"),"50%",IF(AND(T18="Preventivo",U18="Manual"),"40%",IF(AND(T18="Detectivo",U18="Automático"),"40%",IF(AND(T18="Detectivo",U18="Manual"),"30%",IF(AND(T18="Correctivo",U18="Automático"),"35%",IF(AND(T18="Correctivo",U18="Manual"),"25%",""))))))</f>
        <v>40%</v>
      </c>
      <c r="W18" s="223" t="s">
        <v>268</v>
      </c>
      <c r="X18" s="223" t="s">
        <v>269</v>
      </c>
      <c r="Y18" s="223" t="s">
        <v>270</v>
      </c>
      <c r="Z18" s="238">
        <f>IFERROR(IF(AND(S17="Probabilidad",S18="Probabilidad"),(AB17-(+AB17*V18)),IF(S18="Probabilidad",(J17-(+J17*V18)),IF(S18="Impacto",AB17,""))),"")</f>
        <v>0.14399999999999999</v>
      </c>
      <c r="AA18" s="264" t="str">
        <f t="shared" ref="AA18:AA20" si="9">IFERROR(IF(Z18="","",IF(Z18&lt;=0.2,"Muy Baja",IF(Z18&lt;=0.4,"Baja",IF(Z18&lt;=0.6,"Media",IF(Z18&lt;=0.8,"Alta","Muy Alta"))))),"")</f>
        <v>Muy Baja</v>
      </c>
      <c r="AB18" s="224">
        <f t="shared" ref="AB18:AB22" si="10">+Z18</f>
        <v>0.14399999999999999</v>
      </c>
      <c r="AC18" s="264" t="str">
        <f t="shared" ref="AC18:AC22" si="11">IFERROR(IF(AD18="","",IF(AD18&lt;=0.2,"Leve",IF(AD18&lt;=0.4,"Menor",IF(AD18&lt;=0.6,"Moderado",IF(AD18&lt;=0.8,"Mayor","Catastrófico"))))),"")</f>
        <v>Moderado</v>
      </c>
      <c r="AD18" s="224">
        <f>IFERROR(IF(AND(S17="Impacto",S18="Impacto"),(AD17-(+AD17*V18)),IF(S18="Impacto",(O17-(+O17*V18)),IF(S18="Probabilidad",AD17,""))),"")</f>
        <v>0.6</v>
      </c>
      <c r="AE18" s="226" t="str">
        <f t="shared" ref="AE18:AE19" si="12">IFERROR(IF(OR(AND(AA18="Muy Baja",AC18="Leve"),AND(AA18="Muy Baja",AC18="Menor"),AND(AA18="Baja",AC18="Leve")),"Bajo",IF(OR(AND(AA18="Muy baja",AC18="Moderado"),AND(AA18="Baja",AC18="Menor"),AND(AA18="Baja",AC18="Moderado"),AND(AA18="Media",AC18="Leve"),AND(AA18="Media",AC18="Menor"),AND(AA18="Media",AC18="Moderado"),AND(AA18="Alta",AC18="Leve"),AND(AA18="Alta",AC18="Menor")),"Moderado",IF(OR(AND(AA18="Muy Baja",AC18="Mayor"),AND(AA18="Baja",AC18="Mayor"),AND(AA18="Media",AC18="Mayor"),AND(AA18="Alta",AC18="Moderado"),AND(AA18="Alta",AC18="Mayor"),AND(AA18="Muy Alta",AC18="Leve"),AND(AA18="Muy Alta",AC18="Menor"),AND(AA18="Muy Alta",AC18="Moderado"),AND(AA18="Muy Alta",AC18="Mayor")),"Alto",IF(OR(AND(AA18="Muy Baja",AC18="Catastrófico"),AND(AA18="Baja",AC18="Catastrófico"),AND(AA18="Media",AC18="Catastrófico"),AND(AA18="Alta",AC18="Catastrófico"),AND(AA18="Muy Alta",AC18="Catastrófico")),"Extremo","")))),"")</f>
        <v>Moderado</v>
      </c>
      <c r="AF18" s="508"/>
    </row>
    <row r="19" spans="1:32" ht="74.25" customHeight="1" x14ac:dyDescent="0.3">
      <c r="A19" s="539"/>
      <c r="B19" s="524"/>
      <c r="C19" s="524"/>
      <c r="D19" s="521"/>
      <c r="E19" s="270" t="s">
        <v>260</v>
      </c>
      <c r="F19" s="286" t="s">
        <v>286</v>
      </c>
      <c r="G19" s="286" t="s">
        <v>287</v>
      </c>
      <c r="H19" s="527"/>
      <c r="I19" s="530"/>
      <c r="J19" s="536"/>
      <c r="K19" s="524"/>
      <c r="L19" s="533"/>
      <c r="M19" s="267">
        <f>IF(NOT(ISERROR(MATCH(L19,_xlfn.ANCHORARRAY(D24),0))),J26&amp;"Por favor no seleccionar los criterios de impacto",L19)</f>
        <v>0</v>
      </c>
      <c r="N19" s="530"/>
      <c r="O19" s="536"/>
      <c r="P19" s="530"/>
      <c r="Q19" s="192">
        <v>3</v>
      </c>
      <c r="R19" s="286" t="s">
        <v>288</v>
      </c>
      <c r="S19" s="222" t="str">
        <f>IF(OR(T19="Preventivo",T19="Detectivo"),"Probabilidad",IF(T19="Correctivo","Impacto",""))</f>
        <v>Probabilidad</v>
      </c>
      <c r="T19" s="223" t="s">
        <v>266</v>
      </c>
      <c r="U19" s="223" t="s">
        <v>289</v>
      </c>
      <c r="V19" s="235" t="str">
        <f t="shared" si="8"/>
        <v>50%</v>
      </c>
      <c r="W19" s="223" t="s">
        <v>290</v>
      </c>
      <c r="X19" s="223" t="s">
        <v>269</v>
      </c>
      <c r="Y19" s="223" t="s">
        <v>270</v>
      </c>
      <c r="Z19" s="238">
        <f>IFERROR(IF(AND(S18="Probabilidad",S19="Probabilidad"),(AB18-(+AB18*V19)),IF(AND(S18="Impacto",S19="Probabilidad"),(AB17-(+AB17*V19)),IF(S19="Impacto",AB18,""))),"")</f>
        <v>7.1999999999999995E-2</v>
      </c>
      <c r="AA19" s="264" t="str">
        <f t="shared" si="9"/>
        <v>Muy Baja</v>
      </c>
      <c r="AB19" s="224">
        <f t="shared" si="10"/>
        <v>7.1999999999999995E-2</v>
      </c>
      <c r="AC19" s="264" t="str">
        <f t="shared" si="11"/>
        <v>Moderado</v>
      </c>
      <c r="AD19" s="224">
        <f>IFERROR(IF(AND(S18="Impacto",S19="Impacto"),(AD18-(+AD18*V19)),IF(AND(S18="Probabilidad",S19="Impacto"),(AD17-(+AD17*V19)),IF(S19="Probabilidad",AD18,""))),"")</f>
        <v>0.6</v>
      </c>
      <c r="AE19" s="226" t="str">
        <f t="shared" si="12"/>
        <v>Moderado</v>
      </c>
      <c r="AF19" s="508"/>
    </row>
    <row r="20" spans="1:32" ht="72" customHeight="1" x14ac:dyDescent="0.3">
      <c r="A20" s="539"/>
      <c r="B20" s="524"/>
      <c r="C20" s="524"/>
      <c r="D20" s="521"/>
      <c r="E20" s="270"/>
      <c r="F20" s="339" t="s">
        <v>291</v>
      </c>
      <c r="G20" s="339" t="s">
        <v>292</v>
      </c>
      <c r="H20" s="527"/>
      <c r="I20" s="530"/>
      <c r="J20" s="536"/>
      <c r="K20" s="524"/>
      <c r="L20" s="533"/>
      <c r="M20" s="267">
        <f>IF(NOT(ISERROR(MATCH(L20,_xlfn.ANCHORARRAY(D25),0))),J27&amp;"Por favor no seleccionar los criterios de impacto",L20)</f>
        <v>0</v>
      </c>
      <c r="N20" s="530"/>
      <c r="O20" s="536"/>
      <c r="P20" s="530"/>
      <c r="Q20" s="192">
        <v>4</v>
      </c>
      <c r="R20" s="286" t="s">
        <v>293</v>
      </c>
      <c r="S20" s="222" t="str">
        <f t="shared" ref="S20:S22" si="13">IF(OR(T20="Preventivo",T20="Detectivo"),"Probabilidad",IF(T20="Correctivo","Impacto",""))</f>
        <v>Probabilidad</v>
      </c>
      <c r="T20" s="223" t="s">
        <v>266</v>
      </c>
      <c r="U20" s="223" t="s">
        <v>267</v>
      </c>
      <c r="V20" s="235" t="str">
        <f t="shared" si="8"/>
        <v>40%</v>
      </c>
      <c r="W20" s="223" t="s">
        <v>290</v>
      </c>
      <c r="X20" s="223" t="s">
        <v>269</v>
      </c>
      <c r="Y20" s="223" t="s">
        <v>270</v>
      </c>
      <c r="Z20" s="238">
        <f t="shared" ref="Z20:Z22" si="14">IFERROR(IF(AND(S19="Probabilidad",S20="Probabilidad"),(AB19-(+AB19*V20)),IF(AND(S19="Impacto",S20="Probabilidad"),(AB18-(+AB18*V20)),IF(S20="Impacto",AB19,""))),"")</f>
        <v>4.3199999999999995E-2</v>
      </c>
      <c r="AA20" s="264" t="str">
        <f t="shared" si="9"/>
        <v>Muy Baja</v>
      </c>
      <c r="AB20" s="224">
        <f t="shared" si="10"/>
        <v>4.3199999999999995E-2</v>
      </c>
      <c r="AC20" s="264" t="str">
        <f t="shared" si="11"/>
        <v>Moderado</v>
      </c>
      <c r="AD20" s="224">
        <f t="shared" ref="AD20:AD22" si="15">IFERROR(IF(AND(S19="Impacto",S20="Impacto"),(AD19-(+AD19*V20)),IF(AND(S19="Probabilidad",S20="Impacto"),(AD18-(+AD18*V20)),IF(S20="Probabilidad",AD19,""))),"")</f>
        <v>0.6</v>
      </c>
      <c r="AE20" s="226" t="str">
        <f>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Moderado</v>
      </c>
      <c r="AF20" s="508"/>
    </row>
    <row r="21" spans="1:32" ht="120" customHeight="1" x14ac:dyDescent="0.3">
      <c r="A21" s="539"/>
      <c r="B21" s="524"/>
      <c r="C21" s="524"/>
      <c r="D21" s="521"/>
      <c r="E21" s="270"/>
      <c r="F21" s="294"/>
      <c r="G21" s="286" t="s">
        <v>294</v>
      </c>
      <c r="H21" s="527"/>
      <c r="I21" s="530"/>
      <c r="J21" s="536"/>
      <c r="K21" s="524"/>
      <c r="L21" s="533"/>
      <c r="M21" s="267">
        <f>IF(NOT(ISERROR(MATCH(L21,_xlfn.ANCHORARRAY(D26),0))),J28&amp;"Por favor no seleccionar los criterios de impacto",L21)</f>
        <v>0</v>
      </c>
      <c r="N21" s="530"/>
      <c r="O21" s="536"/>
      <c r="P21" s="530"/>
      <c r="Q21" s="192">
        <v>5</v>
      </c>
      <c r="R21" s="286" t="s">
        <v>295</v>
      </c>
      <c r="S21" s="222" t="str">
        <f t="shared" si="13"/>
        <v>Probabilidad</v>
      </c>
      <c r="T21" s="223" t="s">
        <v>266</v>
      </c>
      <c r="U21" s="223" t="s">
        <v>267</v>
      </c>
      <c r="V21" s="235" t="str">
        <f t="shared" si="8"/>
        <v>40%</v>
      </c>
      <c r="W21" s="223" t="s">
        <v>268</v>
      </c>
      <c r="X21" s="223" t="s">
        <v>269</v>
      </c>
      <c r="Y21" s="223" t="s">
        <v>270</v>
      </c>
      <c r="Z21" s="238">
        <f t="shared" si="14"/>
        <v>2.5919999999999995E-2</v>
      </c>
      <c r="AA21" s="264" t="str">
        <f>IFERROR(IF(Z21="","",IF(Z21&lt;=0.2,"Muy Baja",IF(Z21&lt;=0.4,"Baja",IF(Z21&lt;=0.6,"Media",IF(Z21&lt;=0.8,"Alta","Muy Alta"))))),"")</f>
        <v>Muy Baja</v>
      </c>
      <c r="AB21" s="224">
        <f t="shared" si="10"/>
        <v>2.5919999999999995E-2</v>
      </c>
      <c r="AC21" s="264" t="str">
        <f t="shared" si="11"/>
        <v>Moderado</v>
      </c>
      <c r="AD21" s="224">
        <f t="shared" si="15"/>
        <v>0.6</v>
      </c>
      <c r="AE21" s="226" t="str">
        <f t="shared" ref="AE21:AE22" si="16">IFERROR(IF(OR(AND(AA21="Muy Baja",AC21="Leve"),AND(AA21="Muy Baja",AC21="Menor"),AND(AA21="Baja",AC21="Leve")),"Bajo",IF(OR(AND(AA21="Muy baja",AC21="Moderado"),AND(AA21="Baja",AC21="Menor"),AND(AA21="Baja",AC21="Moderado"),AND(AA21="Media",AC21="Leve"),AND(AA21="Media",AC21="Menor"),AND(AA21="Media",AC21="Moderado"),AND(AA21="Alta",AC21="Leve"),AND(AA21="Alta",AC21="Menor")),"Moderado",IF(OR(AND(AA21="Muy Baja",AC21="Mayor"),AND(AA21="Baja",AC21="Mayor"),AND(AA21="Media",AC21="Mayor"),AND(AA21="Alta",AC21="Moderado"),AND(AA21="Alta",AC21="Mayor"),AND(AA21="Muy Alta",AC21="Leve"),AND(AA21="Muy Alta",AC21="Menor"),AND(AA21="Muy Alta",AC21="Moderado"),AND(AA21="Muy Alta",AC21="Mayor")),"Alto",IF(OR(AND(AA21="Muy Baja",AC21="Catastrófico"),AND(AA21="Baja",AC21="Catastrófico"),AND(AA21="Media",AC21="Catastrófico"),AND(AA21="Alta",AC21="Catastrófico"),AND(AA21="Muy Alta",AC21="Catastrófico")),"Extremo","")))),"")</f>
        <v>Moderado</v>
      </c>
      <c r="AF21" s="508"/>
    </row>
    <row r="22" spans="1:32" ht="44.25" customHeight="1" thickBot="1" x14ac:dyDescent="0.35">
      <c r="A22" s="540"/>
      <c r="B22" s="525"/>
      <c r="C22" s="525"/>
      <c r="D22" s="522"/>
      <c r="E22" s="271"/>
      <c r="F22" s="295"/>
      <c r="G22" s="289" t="s">
        <v>296</v>
      </c>
      <c r="H22" s="528"/>
      <c r="I22" s="531"/>
      <c r="J22" s="537"/>
      <c r="K22" s="525"/>
      <c r="L22" s="534"/>
      <c r="M22" s="268">
        <f>IF(NOT(ISERROR(MATCH(L22,_xlfn.ANCHORARRAY(D27),0))),J29&amp;"Por favor no seleccionar los criterios de impacto",L22)</f>
        <v>0</v>
      </c>
      <c r="N22" s="531"/>
      <c r="O22" s="537"/>
      <c r="P22" s="531"/>
      <c r="Q22" s="193">
        <v>6</v>
      </c>
      <c r="R22" s="289"/>
      <c r="S22" s="228" t="str">
        <f t="shared" si="13"/>
        <v/>
      </c>
      <c r="T22" s="229"/>
      <c r="U22" s="229"/>
      <c r="V22" s="236" t="str">
        <f t="shared" si="8"/>
        <v/>
      </c>
      <c r="W22" s="229"/>
      <c r="X22" s="229"/>
      <c r="Y22" s="229"/>
      <c r="Z22" s="239" t="str">
        <f t="shared" si="14"/>
        <v/>
      </c>
      <c r="AA22" s="265" t="str">
        <f t="shared" ref="AA22" si="17">IFERROR(IF(Z22="","",IF(Z22&lt;=0.2,"Muy Baja",IF(Z22&lt;=0.4,"Baja",IF(Z22&lt;=0.6,"Media",IF(Z22&lt;=0.8,"Alta","Muy Alta"))))),"")</f>
        <v/>
      </c>
      <c r="AB22" s="230" t="str">
        <f t="shared" si="10"/>
        <v/>
      </c>
      <c r="AC22" s="265" t="str">
        <f t="shared" si="11"/>
        <v/>
      </c>
      <c r="AD22" s="230" t="str">
        <f t="shared" si="15"/>
        <v/>
      </c>
      <c r="AE22" s="232" t="str">
        <f t="shared" si="16"/>
        <v/>
      </c>
      <c r="AF22" s="509"/>
    </row>
    <row r="23" spans="1:32" ht="82.5" x14ac:dyDescent="0.3">
      <c r="A23" s="538">
        <v>3</v>
      </c>
      <c r="B23" s="523" t="s">
        <v>103</v>
      </c>
      <c r="C23" s="523" t="s">
        <v>258</v>
      </c>
      <c r="D23" s="520" t="s">
        <v>297</v>
      </c>
      <c r="E23" s="269" t="s">
        <v>260</v>
      </c>
      <c r="F23" s="288" t="s">
        <v>298</v>
      </c>
      <c r="G23" s="288" t="s">
        <v>299</v>
      </c>
      <c r="H23" s="526">
        <v>25</v>
      </c>
      <c r="I23" s="529" t="str">
        <f>IF(H23&lt;=0,"",IF(H23&lt;=2,"Muy Baja",IF(H23&lt;=24,"Baja",IF(H23&lt;=500,"Media",IF(H23&lt;=5000,"Alta","Muy Alta")))))</f>
        <v>Media</v>
      </c>
      <c r="J23" s="535">
        <f>IF(I23="","",IF(I23="Muy Baja",0.2,IF(I23="Baja",0.4,IF(I23="Media",0.6,IF(I23="Alta",0.8,IF(I23="Muy Alta",1,))))))</f>
        <v>0.6</v>
      </c>
      <c r="K23" s="523" t="s">
        <v>263</v>
      </c>
      <c r="L23" s="532" t="s">
        <v>300</v>
      </c>
      <c r="M23" s="266" t="str">
        <f>IF(NOT(ISERROR(MATCH(L23,'Tabla Impacto'!$B$221:$B$223,0))),'Tabla Impacto'!$F$223&amp;"Por favor no seleccionar los criterios de impacto(Afectación Económica o presupuestal y Pérdida Reputacional)",L23)</f>
        <v xml:space="preserve">     El riesgo afecta la imagen de de la entidad con efecto publicitario sostenido a nivel de sector administrativo, nivel departamental o municipal</v>
      </c>
      <c r="N23" s="529" t="str">
        <f>IF(OR(M23='Tabla Impacto'!$C$11,M23='Tabla Impacto'!$D$11),"Leve",IF(OR(M23='Tabla Impacto'!$C$12,M23='Tabla Impacto'!$D$12),"Menor",IF(OR(M23='Tabla Impacto'!$C$13,M23='Tabla Impacto'!$D$13),"Moderado",IF(OR(M23='Tabla Impacto'!$C$14,M23='Tabla Impacto'!$D$14),"Mayor",IF(OR(M23='Tabla Impacto'!$C$15,M23='Tabla Impacto'!$D$15),"Catastrófico","")))))</f>
        <v>Mayor</v>
      </c>
      <c r="O23" s="535">
        <f>IF(N23="","",IF(N23="Leve",0.2,IF(N23="Menor",0.4,IF(N23="Moderado",0.6,IF(N23="Mayor",0.8,IF(N23="Catastrófico",1,))))))</f>
        <v>0.8</v>
      </c>
      <c r="P23" s="529" t="str">
        <f>IF(OR(AND(I23="Muy Baja",N23="Leve"),AND(I23="Muy Baja",N23="Menor"),AND(I23="Baja",N23="Leve")),"Bajo",IF(OR(AND(I23="Muy baja",N23="Moderado"),AND(I23="Baja",N23="Menor"),AND(I23="Baja",N23="Moderado"),AND(I23="Media",N23="Leve"),AND(I23="Media",N23="Menor"),AND(I23="Media",N23="Moderado"),AND(I23="Alta",N23="Leve"),AND(I23="Alta",N23="Menor")),"Moderado",IF(OR(AND(I23="Muy Baja",N23="Mayor"),AND(I23="Baja",N23="Mayor"),AND(I23="Media",N23="Mayor"),AND(I23="Alta",N23="Moderado"),AND(I23="Alta",N23="Mayor"),AND(I23="Muy Alta",N23="Leve"),AND(I23="Muy Alta",N23="Menor"),AND(I23="Muy Alta",N23="Moderado"),AND(I23="Muy Alta",N23="Mayor")),"Alto",IF(OR(AND(I23="Muy Baja",N23="Catastrófico"),AND(I23="Baja",N23="Catastrófico"),AND(I23="Media",N23="Catastrófico"),AND(I23="Alta",N23="Catastrófico"),AND(I23="Muy Alta",N23="Catastrófico")),"Extremo",""))))</f>
        <v>Alto</v>
      </c>
      <c r="Q23" s="191">
        <v>1</v>
      </c>
      <c r="R23" s="288" t="s">
        <v>301</v>
      </c>
      <c r="S23" s="216" t="str">
        <f>IF(OR(T23="Preventivo",T23="Detectivo"),"Probabilidad",IF(T23="Correctivo","Impacto",""))</f>
        <v>Probabilidad</v>
      </c>
      <c r="T23" s="217" t="s">
        <v>266</v>
      </c>
      <c r="U23" s="217" t="s">
        <v>267</v>
      </c>
      <c r="V23" s="234"/>
      <c r="W23" s="217" t="s">
        <v>268</v>
      </c>
      <c r="X23" s="217" t="s">
        <v>269</v>
      </c>
      <c r="Y23" s="217" t="s">
        <v>270</v>
      </c>
      <c r="Z23" s="237">
        <f>IFERROR(IF(S23="Probabilidad",(J23-(+J23*V23)),IF(S23="Impacto",J23,"")),"")</f>
        <v>0.6</v>
      </c>
      <c r="AA23" s="263" t="str">
        <f>IFERROR(IF(Z23="","",IF(Z23&lt;=0.2,"Muy Baja",IF(Z23&lt;=0.4,"Baja",IF(Z23&lt;=0.6,"Media",IF(Z23&lt;=0.8,"Alta","Muy Alta"))))),"")</f>
        <v>Media</v>
      </c>
      <c r="AB23" s="218">
        <f>+Z23</f>
        <v>0.6</v>
      </c>
      <c r="AC23" s="263" t="str">
        <f>IFERROR(IF(AD23="","",IF(AD23&lt;=0.2,"Leve",IF(AD23&lt;=0.4,"Menor",IF(AD23&lt;=0.6,"Moderado",IF(AD23&lt;=0.8,"Mayor","Catastrófico"))))),"")</f>
        <v>Mayor</v>
      </c>
      <c r="AD23" s="218">
        <f>IFERROR(IF(S23="Impacto",(O23-(+O23*V23)),IF(S23="Probabilidad",O23,"")),"")</f>
        <v>0.8</v>
      </c>
      <c r="AE23" s="220" t="str">
        <f>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Alto</v>
      </c>
      <c r="AF23" s="507" t="s">
        <v>271</v>
      </c>
    </row>
    <row r="24" spans="1:32" ht="49.5" x14ac:dyDescent="0.3">
      <c r="A24" s="539"/>
      <c r="B24" s="524"/>
      <c r="C24" s="524"/>
      <c r="D24" s="521"/>
      <c r="E24" s="270" t="s">
        <v>260</v>
      </c>
      <c r="F24" s="286" t="s">
        <v>302</v>
      </c>
      <c r="G24" s="286" t="s">
        <v>303</v>
      </c>
      <c r="H24" s="527"/>
      <c r="I24" s="530"/>
      <c r="J24" s="536"/>
      <c r="K24" s="524"/>
      <c r="L24" s="533"/>
      <c r="M24" s="267">
        <f>IF(NOT(ISERROR(MATCH(L24,_xlfn.ANCHORARRAY(D35),0))),J37&amp;"Por favor no seleccionar los criterios de impacto",L24)</f>
        <v>0</v>
      </c>
      <c r="N24" s="530"/>
      <c r="O24" s="536"/>
      <c r="P24" s="530"/>
      <c r="Q24" s="192">
        <v>2</v>
      </c>
      <c r="R24" s="294"/>
      <c r="S24" s="222"/>
      <c r="T24" s="223"/>
      <c r="U24" s="223"/>
      <c r="V24" s="235"/>
      <c r="W24" s="223"/>
      <c r="X24" s="223"/>
      <c r="Y24" s="223"/>
      <c r="Z24" s="238" t="str">
        <f>IFERROR(IF(AND(S23="Probabilidad",S24="Probabilidad"),(AB23-(+AB23*V24)),IF(S24="Probabilidad",(J23-(+J23*V24)),IF(S24="Impacto",AB23,""))),"")</f>
        <v/>
      </c>
      <c r="AA24" s="264" t="str">
        <f t="shared" ref="AA24:AA28" si="18">IFERROR(IF(Z24="","",IF(Z24&lt;=0.2,"Muy Baja",IF(Z24&lt;=0.4,"Baja",IF(Z24&lt;=0.6,"Media",IF(Z24&lt;=0.8,"Alta","Muy Alta"))))),"")</f>
        <v/>
      </c>
      <c r="AB24" s="224" t="str">
        <f t="shared" ref="AB24:AB28" si="19">+Z24</f>
        <v/>
      </c>
      <c r="AC24" s="264" t="str">
        <f t="shared" ref="AC24:AC28" si="20">IFERROR(IF(AD24="","",IF(AD24&lt;=0.2,"Leve",IF(AD24&lt;=0.4,"Menor",IF(AD24&lt;=0.6,"Moderado",IF(AD24&lt;=0.8,"Mayor","Catastrófico"))))),"")</f>
        <v/>
      </c>
      <c r="AD24" s="224" t="str">
        <f>IFERROR(IF(AND(S23="Impacto",S24="Impacto"),(AD23-(+AD23*V24)),IF(S24="Impacto",(O23-(+O23*V24)),IF(S24="Probabilidad",AD23,""))),"")</f>
        <v/>
      </c>
      <c r="AE24" s="226" t="str">
        <f t="shared" ref="AE24:AE25" si="21">IFERROR(IF(OR(AND(AA24="Muy Baja",AC24="Leve"),AND(AA24="Muy Baja",AC24="Menor"),AND(AA24="Baja",AC24="Leve")),"Bajo",IF(OR(AND(AA24="Muy baja",AC24="Moderado"),AND(AA24="Baja",AC24="Menor"),AND(AA24="Baja",AC24="Moderado"),AND(AA24="Media",AC24="Leve"),AND(AA24="Media",AC24="Menor"),AND(AA24="Media",AC24="Moderado"),AND(AA24="Alta",AC24="Leve"),AND(AA24="Alta",AC24="Menor")),"Moderado",IF(OR(AND(AA24="Muy Baja",AC24="Mayor"),AND(AA24="Baja",AC24="Mayor"),AND(AA24="Media",AC24="Mayor"),AND(AA24="Alta",AC24="Moderado"),AND(AA24="Alta",AC24="Mayor"),AND(AA24="Muy Alta",AC24="Leve"),AND(AA24="Muy Alta",AC24="Menor"),AND(AA24="Muy Alta",AC24="Moderado"),AND(AA24="Muy Alta",AC24="Mayor")),"Alto",IF(OR(AND(AA24="Muy Baja",AC24="Catastrófico"),AND(AA24="Baja",AC24="Catastrófico"),AND(AA24="Media",AC24="Catastrófico"),AND(AA24="Alta",AC24="Catastrófico"),AND(AA24="Muy Alta",AC24="Catastrófico")),"Extremo","")))),"")</f>
        <v/>
      </c>
      <c r="AF24" s="508"/>
    </row>
    <row r="25" spans="1:32" ht="45.75" customHeight="1" x14ac:dyDescent="0.3">
      <c r="A25" s="539"/>
      <c r="B25" s="524"/>
      <c r="C25" s="524"/>
      <c r="D25" s="521"/>
      <c r="E25" s="270"/>
      <c r="F25" s="294"/>
      <c r="G25" s="286" t="s">
        <v>304</v>
      </c>
      <c r="H25" s="527"/>
      <c r="I25" s="530"/>
      <c r="J25" s="536"/>
      <c r="K25" s="524"/>
      <c r="L25" s="533"/>
      <c r="M25" s="267">
        <f>IF(NOT(ISERROR(MATCH(L25,_xlfn.ANCHORARRAY(D36),0))),J38&amp;"Por favor no seleccionar los criterios de impacto",L25)</f>
        <v>0</v>
      </c>
      <c r="N25" s="530"/>
      <c r="O25" s="536"/>
      <c r="P25" s="530"/>
      <c r="Q25" s="192">
        <v>3</v>
      </c>
      <c r="R25" s="294"/>
      <c r="S25" s="222"/>
      <c r="T25" s="223"/>
      <c r="U25" s="223"/>
      <c r="V25" s="235"/>
      <c r="W25" s="223"/>
      <c r="X25" s="223"/>
      <c r="Y25" s="223"/>
      <c r="Z25" s="238" t="str">
        <f>IFERROR(IF(AND(S24="Probabilidad",S25="Probabilidad"),(AB24-(+AB24*V25)),IF(AND(S24="Impacto",S25="Probabilidad"),(AB23-(+AB23*V25)),IF(S25="Impacto",AB24,""))),"")</f>
        <v/>
      </c>
      <c r="AA25" s="264" t="str">
        <f t="shared" si="18"/>
        <v/>
      </c>
      <c r="AB25" s="224" t="str">
        <f t="shared" si="19"/>
        <v/>
      </c>
      <c r="AC25" s="264" t="str">
        <f t="shared" si="20"/>
        <v/>
      </c>
      <c r="AD25" s="224" t="str">
        <f>IFERROR(IF(AND(S24="Impacto",S25="Impacto"),(AD24-(+AD24*V25)),IF(AND(S24="Probabilidad",S25="Impacto"),(AD23-(+AD23*V25)),IF(S25="Probabilidad",AD24,""))),"")</f>
        <v/>
      </c>
      <c r="AE25" s="226" t="str">
        <f t="shared" si="21"/>
        <v/>
      </c>
      <c r="AF25" s="508"/>
    </row>
    <row r="26" spans="1:32" ht="44.25" customHeight="1" x14ac:dyDescent="0.3">
      <c r="A26" s="539"/>
      <c r="B26" s="524"/>
      <c r="C26" s="524"/>
      <c r="D26" s="521"/>
      <c r="E26" s="270"/>
      <c r="F26" s="294"/>
      <c r="G26" s="286" t="s">
        <v>305</v>
      </c>
      <c r="H26" s="527"/>
      <c r="I26" s="530"/>
      <c r="J26" s="536"/>
      <c r="K26" s="524"/>
      <c r="L26" s="533"/>
      <c r="M26" s="267">
        <f>IF(NOT(ISERROR(MATCH(L26,_xlfn.ANCHORARRAY(D37),0))),J39&amp;"Por favor no seleccionar los criterios de impacto",L26)</f>
        <v>0</v>
      </c>
      <c r="N26" s="530"/>
      <c r="O26" s="536"/>
      <c r="P26" s="530"/>
      <c r="Q26" s="192">
        <v>4</v>
      </c>
      <c r="R26" s="286"/>
      <c r="S26" s="222" t="str">
        <f t="shared" ref="S26:S28" si="22">IF(OR(T26="Preventivo",T26="Detectivo"),"Probabilidad",IF(T26="Correctivo","Impacto",""))</f>
        <v/>
      </c>
      <c r="T26" s="223"/>
      <c r="U26" s="223"/>
      <c r="V26" s="235"/>
      <c r="W26" s="223"/>
      <c r="X26" s="223"/>
      <c r="Y26" s="223"/>
      <c r="Z26" s="238"/>
      <c r="AA26" s="264" t="str">
        <f t="shared" si="18"/>
        <v/>
      </c>
      <c r="AB26" s="224">
        <f t="shared" si="19"/>
        <v>0</v>
      </c>
      <c r="AC26" s="264" t="str">
        <f t="shared" si="20"/>
        <v/>
      </c>
      <c r="AD26" s="224" t="str">
        <f t="shared" ref="AD26:AD28" si="23">IFERROR(IF(AND(S25="Impacto",S26="Impacto"),(AD25-(+AD25*V26)),IF(AND(S25="Probabilidad",S26="Impacto"),(AD24-(+AD24*V26)),IF(S26="Probabilidad",AD25,""))),"")</f>
        <v/>
      </c>
      <c r="AE26" s="226" t="str">
        <f>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508"/>
    </row>
    <row r="27" spans="1:32" ht="49.5" customHeight="1" x14ac:dyDescent="0.3">
      <c r="A27" s="539"/>
      <c r="B27" s="524"/>
      <c r="C27" s="524"/>
      <c r="D27" s="521"/>
      <c r="E27" s="270"/>
      <c r="F27" s="294"/>
      <c r="G27" s="294"/>
      <c r="H27" s="527"/>
      <c r="I27" s="530"/>
      <c r="J27" s="536"/>
      <c r="K27" s="524"/>
      <c r="L27" s="533"/>
      <c r="M27" s="267">
        <f>IF(NOT(ISERROR(MATCH(L27,_xlfn.ANCHORARRAY(D38),0))),J40&amp;"Por favor no seleccionar los criterios de impacto",L27)</f>
        <v>0</v>
      </c>
      <c r="N27" s="530"/>
      <c r="O27" s="536"/>
      <c r="P27" s="530"/>
      <c r="Q27" s="192">
        <v>5</v>
      </c>
      <c r="R27" s="286"/>
      <c r="S27" s="222" t="str">
        <f t="shared" si="22"/>
        <v/>
      </c>
      <c r="T27" s="223"/>
      <c r="U27" s="223"/>
      <c r="V27" s="235"/>
      <c r="W27" s="223"/>
      <c r="X27" s="223"/>
      <c r="Y27" s="223"/>
      <c r="Z27" s="238"/>
      <c r="AA27" s="264" t="str">
        <f t="shared" si="18"/>
        <v/>
      </c>
      <c r="AB27" s="224">
        <f t="shared" si="19"/>
        <v>0</v>
      </c>
      <c r="AC27" s="264" t="str">
        <f t="shared" si="20"/>
        <v/>
      </c>
      <c r="AD27" s="224" t="str">
        <f t="shared" si="23"/>
        <v/>
      </c>
      <c r="AE27" s="226" t="str">
        <f t="shared" ref="AE27:AE28" si="24">IFERROR(IF(OR(AND(AA27="Muy Baja",AC27="Leve"),AND(AA27="Muy Baja",AC27="Menor"),AND(AA27="Baja",AC27="Leve")),"Bajo",IF(OR(AND(AA27="Muy baja",AC27="Moderado"),AND(AA27="Baja",AC27="Menor"),AND(AA27="Baja",AC27="Moderado"),AND(AA27="Media",AC27="Leve"),AND(AA27="Media",AC27="Menor"),AND(AA27="Media",AC27="Moderado"),AND(AA27="Alta",AC27="Leve"),AND(AA27="Alta",AC27="Menor")),"Moderado",IF(OR(AND(AA27="Muy Baja",AC27="Mayor"),AND(AA27="Baja",AC27="Mayor"),AND(AA27="Media",AC27="Mayor"),AND(AA27="Alta",AC27="Moderado"),AND(AA27="Alta",AC27="Mayor"),AND(AA27="Muy Alta",AC27="Leve"),AND(AA27="Muy Alta",AC27="Menor"),AND(AA27="Muy Alta",AC27="Moderado"),AND(AA27="Muy Alta",AC27="Mayor")),"Alto",IF(OR(AND(AA27="Muy Baja",AC27="Catastrófico"),AND(AA27="Baja",AC27="Catastrófico"),AND(AA27="Media",AC27="Catastrófico"),AND(AA27="Alta",AC27="Catastrófico"),AND(AA27="Muy Alta",AC27="Catastrófico")),"Extremo","")))),"")</f>
        <v/>
      </c>
      <c r="AF27" s="508"/>
    </row>
    <row r="28" spans="1:32" ht="44.25" customHeight="1" thickBot="1" x14ac:dyDescent="0.35">
      <c r="A28" s="540"/>
      <c r="B28" s="525"/>
      <c r="C28" s="525"/>
      <c r="D28" s="522"/>
      <c r="E28" s="271"/>
      <c r="F28" s="295"/>
      <c r="G28" s="289"/>
      <c r="H28" s="528"/>
      <c r="I28" s="531"/>
      <c r="J28" s="537"/>
      <c r="K28" s="525"/>
      <c r="L28" s="534"/>
      <c r="M28" s="268">
        <f>IF(NOT(ISERROR(MATCH(L28,_xlfn.ANCHORARRAY(D39),0))),J41&amp;"Por favor no seleccionar los criterios de impacto",L28)</f>
        <v>0</v>
      </c>
      <c r="N28" s="531"/>
      <c r="O28" s="537"/>
      <c r="P28" s="531"/>
      <c r="Q28" s="193">
        <v>6</v>
      </c>
      <c r="R28" s="289"/>
      <c r="S28" s="228" t="str">
        <f t="shared" si="22"/>
        <v/>
      </c>
      <c r="T28" s="229"/>
      <c r="U28" s="229"/>
      <c r="V28" s="236"/>
      <c r="W28" s="229"/>
      <c r="X28" s="229"/>
      <c r="Y28" s="229"/>
      <c r="Z28" s="239"/>
      <c r="AA28" s="265" t="str">
        <f t="shared" si="18"/>
        <v/>
      </c>
      <c r="AB28" s="230">
        <f t="shared" si="19"/>
        <v>0</v>
      </c>
      <c r="AC28" s="265" t="str">
        <f t="shared" si="20"/>
        <v/>
      </c>
      <c r="AD28" s="230" t="str">
        <f t="shared" si="23"/>
        <v/>
      </c>
      <c r="AE28" s="232" t="str">
        <f t="shared" si="24"/>
        <v/>
      </c>
      <c r="AF28" s="509"/>
    </row>
    <row r="29" spans="1:32" ht="126" customHeight="1" x14ac:dyDescent="0.3">
      <c r="A29" s="538">
        <v>4</v>
      </c>
      <c r="B29" s="523" t="s">
        <v>113</v>
      </c>
      <c r="C29" s="557" t="s">
        <v>306</v>
      </c>
      <c r="D29" s="557" t="s">
        <v>307</v>
      </c>
      <c r="E29" s="327" t="s">
        <v>260</v>
      </c>
      <c r="F29" s="328" t="s">
        <v>308</v>
      </c>
      <c r="G29" s="328" t="s">
        <v>309</v>
      </c>
      <c r="H29" s="563">
        <v>2</v>
      </c>
      <c r="I29" s="541" t="str">
        <f>IF(H29&lt;=0,"",IF(H29&lt;=2,"Muy Baja",IF(H29&lt;=24,"Baja",IF(H29&lt;=500,"Media",IF(H29&lt;=5000,"Alta","Muy Alta")))))</f>
        <v>Muy Baja</v>
      </c>
      <c r="J29" s="544">
        <f>IF(I29="","",IF(I29="Muy Baja",0.2,IF(I29="Baja",0.4,IF(I29="Media",0.6,IF(I29="Alta",0.8,IF(I29="Muy Alta",1,))))))</f>
        <v>0.2</v>
      </c>
      <c r="K29" s="560" t="s">
        <v>263</v>
      </c>
      <c r="L29" s="547" t="s">
        <v>310</v>
      </c>
      <c r="M29" s="266" t="str">
        <f>IF(NOT(ISERROR(MATCH(L29,'Tabla Impacto'!$B$221:$B$223,0))),'Tabla Impacto'!$F$223&amp;"Por favor no seleccionar los criterios de impacto(Afectación Económica o presupuestal y Pérdida Reputacional)",L29)</f>
        <v xml:space="preserve">     El riesgo afecta la imagen de la entidad internamente, de conocimiento general, nivel interno, de junta dircetiva y accionistas y/o de provedores</v>
      </c>
      <c r="N29" s="541" t="str">
        <f>IF(OR(M29='Tabla Impacto'!$C$11,M29='Tabla Impacto'!$D$11),"Leve",IF(OR(M29='Tabla Impacto'!$C$12,M29='Tabla Impacto'!$D$12),"Menor",IF(OR(M29='Tabla Impacto'!$C$13,M29='Tabla Impacto'!$D$13),"Moderado",IF(OR(M29='Tabla Impacto'!$C$14,M29='Tabla Impacto'!$D$14),"Mayor",IF(OR(M29='Tabla Impacto'!$C$15,M29='Tabla Impacto'!$D$15),"Catastrófico","")))))</f>
        <v>Menor</v>
      </c>
      <c r="O29" s="544">
        <f>IF(N29="","",IF(N29="Leve",0.2,IF(N29="Menor",0.4,IF(N29="Moderado",0.6,IF(N29="Mayor",0.8,IF(N29="Catastrófico",1,))))))</f>
        <v>0.4</v>
      </c>
      <c r="P29" s="541" t="str">
        <f>IF(OR(AND(I29="Muy Baja",N29="Leve"),AND(I29="Muy Baja",N29="Menor"),AND(I29="Baja",N29="Leve")),"Bajo",IF(OR(AND(I29="Muy baja",N29="Moderado"),AND(I29="Baja",N29="Menor"),AND(I29="Baja",N29="Moderado"),AND(I29="Media",N29="Leve"),AND(I29="Media",N29="Menor"),AND(I29="Media",N29="Moderado"),AND(I29="Alta",N29="Leve"),AND(I29="Alta",N29="Menor")),"Moderado",IF(OR(AND(I29="Muy Baja",N29="Mayor"),AND(I29="Baja",N29="Mayor"),AND(I29="Media",N29="Mayor"),AND(I29="Alta",N29="Moderado"),AND(I29="Alta",N29="Mayor"),AND(I29="Muy Alta",N29="Leve"),AND(I29="Muy Alta",N29="Menor"),AND(I29="Muy Alta",N29="Moderado"),AND(I29="Muy Alta",N29="Mayor")),"Alto",IF(OR(AND(I29="Muy Baja",N29="Catastrófico"),AND(I29="Baja",N29="Catastrófico"),AND(I29="Media",N29="Catastrófico"),AND(I29="Alta",N29="Catastrófico"),AND(I29="Muy Alta",N29="Catastrófico")),"Extremo",""))))</f>
        <v>Bajo</v>
      </c>
      <c r="Q29" s="191">
        <v>1</v>
      </c>
      <c r="R29" s="288" t="s">
        <v>311</v>
      </c>
      <c r="S29" s="216" t="str">
        <f>IF(OR(T29="Preventivo",T29="Detectivo"),"Probabilidad",IF(T29="Correctivo","Impacto",""))</f>
        <v>Probabilidad</v>
      </c>
      <c r="T29" s="217" t="s">
        <v>266</v>
      </c>
      <c r="U29" s="217" t="s">
        <v>267</v>
      </c>
      <c r="V29" s="234" t="str">
        <f>IF(AND(T29="Preventivo",U29="Automático"),"50%",IF(AND(T29="Preventivo",U29="Manual"),"40%",IF(AND(T29="Detectivo",U29="Automático"),"40%",IF(AND(T29="Detectivo",U29="Manual"),"30%",IF(AND(T29="Correctivo",U29="Automático"),"35%",IF(AND(T29="Correctivo",U29="Manual"),"25%",""))))))</f>
        <v>40%</v>
      </c>
      <c r="W29" s="217" t="s">
        <v>290</v>
      </c>
      <c r="X29" s="217" t="s">
        <v>269</v>
      </c>
      <c r="Y29" s="217" t="s">
        <v>270</v>
      </c>
      <c r="Z29" s="237">
        <f>IFERROR(IF(S29="Probabilidad",(J29-(+J29*V29)),IF(S29="Impacto",J29,"")),"")</f>
        <v>0.12</v>
      </c>
      <c r="AA29" s="263" t="str">
        <f>IFERROR(IF(Z29="","",IF(Z29&lt;=0.2,"Muy Baja",IF(Z29&lt;=0.4,"Baja",IF(Z29&lt;=0.6,"Media",IF(Z29&lt;=0.8,"Alta","Muy Alta"))))),"")</f>
        <v>Muy Baja</v>
      </c>
      <c r="AB29" s="218">
        <f>+Z29</f>
        <v>0.12</v>
      </c>
      <c r="AC29" s="263" t="str">
        <f>IFERROR(IF(AD29="","",IF(AD29&lt;=0.2,"Leve",IF(AD29&lt;=0.4,"Menor",IF(AD29&lt;=0.6,"Moderado",IF(AD29&lt;=0.8,"Mayor","Catastrófico"))))),"")</f>
        <v>Menor</v>
      </c>
      <c r="AD29" s="218">
        <f>IFERROR(IF(S29="Impacto",(O29-(+O29*V29)),IF(S29="Probabilidad",O29,"")),"")</f>
        <v>0.4</v>
      </c>
      <c r="AE29" s="220" t="str">
        <f>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Bajo</v>
      </c>
      <c r="AF29" s="507" t="s">
        <v>271</v>
      </c>
    </row>
    <row r="30" spans="1:32" ht="82.5" x14ac:dyDescent="0.3">
      <c r="A30" s="539"/>
      <c r="B30" s="524"/>
      <c r="C30" s="558"/>
      <c r="D30" s="558"/>
      <c r="E30" s="329" t="s">
        <v>260</v>
      </c>
      <c r="F30" s="330" t="s">
        <v>312</v>
      </c>
      <c r="G30" s="330" t="s">
        <v>313</v>
      </c>
      <c r="H30" s="564"/>
      <c r="I30" s="542"/>
      <c r="J30" s="545"/>
      <c r="K30" s="561"/>
      <c r="L30" s="548"/>
      <c r="M30" s="267">
        <f>IF(NOT(ISERROR(MATCH(L30,_xlfn.ANCHORARRAY(D41),0))),J43&amp;"Por favor no seleccionar los criterios de impacto",L30)</f>
        <v>0</v>
      </c>
      <c r="N30" s="542"/>
      <c r="O30" s="545"/>
      <c r="P30" s="542"/>
      <c r="Q30" s="192">
        <v>2</v>
      </c>
      <c r="R30" s="294"/>
      <c r="S30" s="222"/>
      <c r="T30" s="223"/>
      <c r="U30" s="223"/>
      <c r="V30" s="235"/>
      <c r="W30" s="223"/>
      <c r="X30" s="223"/>
      <c r="Y30" s="223"/>
      <c r="Z30" s="238" t="str">
        <f>IFERROR(IF(AND(S29="Probabilidad",S30="Probabilidad"),(AB29-(+AB29*V30)),IF(S30="Probabilidad",(J29-(+J29*V30)),IF(S30="Impacto",AB29,""))),"")</f>
        <v/>
      </c>
      <c r="AA30" s="264" t="str">
        <f t="shared" si="1"/>
        <v/>
      </c>
      <c r="AB30" s="224" t="str">
        <f t="shared" ref="AB30:AB34" si="25">+Z30</f>
        <v/>
      </c>
      <c r="AC30" s="264" t="str">
        <f t="shared" si="3"/>
        <v/>
      </c>
      <c r="AD30" s="224" t="str">
        <f>IFERROR(IF(AND(S29="Impacto",S30="Impacto"),(AD29-(+AD29*V30)),IF(S30="Impacto",(O29-(+O29*V30)),IF(S30="Probabilidad",AD29,""))),"")</f>
        <v/>
      </c>
      <c r="AE30" s="226" t="str">
        <f t="shared" ref="AE30:AE31" si="26">IFERROR(IF(OR(AND(AA30="Muy Baja",AC30="Leve"),AND(AA30="Muy Baja",AC30="Menor"),AND(AA30="Baja",AC30="Leve")),"Bajo",IF(OR(AND(AA30="Muy baja",AC30="Moderado"),AND(AA30="Baja",AC30="Menor"),AND(AA30="Baja",AC30="Moderado"),AND(AA30="Media",AC30="Leve"),AND(AA30="Media",AC30="Menor"),AND(AA30="Media",AC30="Moderado"),AND(AA30="Alta",AC30="Leve"),AND(AA30="Alta",AC30="Menor")),"Moderado",IF(OR(AND(AA30="Muy Baja",AC30="Mayor"),AND(AA30="Baja",AC30="Mayor"),AND(AA30="Media",AC30="Mayor"),AND(AA30="Alta",AC30="Moderado"),AND(AA30="Alta",AC30="Mayor"),AND(AA30="Muy Alta",AC30="Leve"),AND(AA30="Muy Alta",AC30="Menor"),AND(AA30="Muy Alta",AC30="Moderado"),AND(AA30="Muy Alta",AC30="Mayor")),"Alto",IF(OR(AND(AA30="Muy Baja",AC30="Catastrófico"),AND(AA30="Baja",AC30="Catastrófico"),AND(AA30="Media",AC30="Catastrófico"),AND(AA30="Alta",AC30="Catastrófico"),AND(AA30="Muy Alta",AC30="Catastrófico")),"Extremo","")))),"")</f>
        <v/>
      </c>
      <c r="AF30" s="508"/>
    </row>
    <row r="31" spans="1:32" ht="44.25" customHeight="1" x14ac:dyDescent="0.3">
      <c r="A31" s="539"/>
      <c r="B31" s="524"/>
      <c r="C31" s="558"/>
      <c r="D31" s="558"/>
      <c r="E31" s="329"/>
      <c r="F31" s="331"/>
      <c r="G31" s="330" t="s">
        <v>314</v>
      </c>
      <c r="H31" s="564"/>
      <c r="I31" s="542"/>
      <c r="J31" s="545"/>
      <c r="K31" s="561"/>
      <c r="L31" s="548"/>
      <c r="M31" s="267">
        <f>IF(NOT(ISERROR(MATCH(L31,_xlfn.ANCHORARRAY(D42),0))),J44&amp;"Por favor no seleccionar los criterios de impacto",L31)</f>
        <v>0</v>
      </c>
      <c r="N31" s="542"/>
      <c r="O31" s="545"/>
      <c r="P31" s="542"/>
      <c r="Q31" s="192">
        <v>3</v>
      </c>
      <c r="R31" s="294"/>
      <c r="S31" s="222"/>
      <c r="T31" s="223"/>
      <c r="U31" s="223"/>
      <c r="V31" s="235"/>
      <c r="W31" s="223"/>
      <c r="X31" s="223"/>
      <c r="Y31" s="223"/>
      <c r="Z31" s="238" t="str">
        <f>IFERROR(IF(AND(S30="Probabilidad",S31="Probabilidad"),(AB30-(+AB30*V31)),IF(AND(S30="Impacto",S31="Probabilidad"),(AB29-(+AB29*V31)),IF(S31="Impacto",AB30,""))),"")</f>
        <v/>
      </c>
      <c r="AA31" s="264" t="str">
        <f t="shared" si="1"/>
        <v/>
      </c>
      <c r="AB31" s="224" t="str">
        <f t="shared" si="25"/>
        <v/>
      </c>
      <c r="AC31" s="264" t="str">
        <f t="shared" si="3"/>
        <v/>
      </c>
      <c r="AD31" s="224" t="str">
        <f>IFERROR(IF(AND(S30="Impacto",S31="Impacto"),(AD30-(+AD30*V31)),IF(AND(S30="Probabilidad",S31="Impacto"),(AD29-(+AD29*V31)),IF(S31="Probabilidad",AD30,""))),"")</f>
        <v/>
      </c>
      <c r="AE31" s="226" t="str">
        <f t="shared" si="26"/>
        <v/>
      </c>
      <c r="AF31" s="508"/>
    </row>
    <row r="32" spans="1:32" ht="44.25" customHeight="1" x14ac:dyDescent="0.3">
      <c r="A32" s="539"/>
      <c r="B32" s="524"/>
      <c r="C32" s="558"/>
      <c r="D32" s="558"/>
      <c r="E32" s="329"/>
      <c r="F32" s="331"/>
      <c r="G32" s="330"/>
      <c r="H32" s="564"/>
      <c r="I32" s="542"/>
      <c r="J32" s="545"/>
      <c r="K32" s="561"/>
      <c r="L32" s="548"/>
      <c r="M32" s="267">
        <f>IF(NOT(ISERROR(MATCH(L32,_xlfn.ANCHORARRAY(D43),0))),J45&amp;"Por favor no seleccionar los criterios de impacto",L32)</f>
        <v>0</v>
      </c>
      <c r="N32" s="542"/>
      <c r="O32" s="545"/>
      <c r="P32" s="542"/>
      <c r="Q32" s="192">
        <v>4</v>
      </c>
      <c r="R32" s="286"/>
      <c r="S32" s="222" t="str">
        <f t="shared" ref="S32:S34" si="27">IF(OR(T32="Preventivo",T32="Detectivo"),"Probabilidad",IF(T32="Correctivo","Impacto",""))</f>
        <v/>
      </c>
      <c r="T32" s="223"/>
      <c r="U32" s="223"/>
      <c r="V32" s="235" t="str">
        <f t="shared" ref="V32:V34" si="28">IF(AND(T32="Preventivo",U32="Automático"),"50%",IF(AND(T32="Preventivo",U32="Manual"),"40%",IF(AND(T32="Detectivo",U32="Automático"),"40%",IF(AND(T32="Detectivo",U32="Manual"),"30%",IF(AND(T32="Correctivo",U32="Automático"),"35%",IF(AND(T32="Correctivo",U32="Manual"),"25%",""))))))</f>
        <v/>
      </c>
      <c r="W32" s="223"/>
      <c r="X32" s="223"/>
      <c r="Y32" s="223"/>
      <c r="Z32" s="238" t="str">
        <f t="shared" ref="Z32:Z34" si="29">IFERROR(IF(AND(S31="Probabilidad",S32="Probabilidad"),(AB31-(+AB31*V32)),IF(AND(S31="Impacto",S32="Probabilidad"),(AB30-(+AB30*V32)),IF(S32="Impacto",AB31,""))),"")</f>
        <v/>
      </c>
      <c r="AA32" s="264" t="str">
        <f t="shared" si="1"/>
        <v/>
      </c>
      <c r="AB32" s="224" t="str">
        <f t="shared" si="25"/>
        <v/>
      </c>
      <c r="AC32" s="264" t="str">
        <f t="shared" si="3"/>
        <v/>
      </c>
      <c r="AD32" s="224" t="str">
        <f t="shared" ref="AD32:AD34" si="30">IFERROR(IF(AND(S31="Impacto",S32="Impacto"),(AD31-(+AD31*V32)),IF(AND(S31="Probabilidad",S32="Impacto"),(AD30-(+AD30*V32)),IF(S32="Probabilidad",AD31,""))),"")</f>
        <v/>
      </c>
      <c r="AE32" s="226" t="str">
        <f>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508"/>
    </row>
    <row r="33" spans="1:32" ht="44.25" customHeight="1" x14ac:dyDescent="0.3">
      <c r="A33" s="539"/>
      <c r="B33" s="524"/>
      <c r="C33" s="558"/>
      <c r="D33" s="558"/>
      <c r="E33" s="329"/>
      <c r="F33" s="331"/>
      <c r="G33" s="330"/>
      <c r="H33" s="564"/>
      <c r="I33" s="542"/>
      <c r="J33" s="545"/>
      <c r="K33" s="561"/>
      <c r="L33" s="548"/>
      <c r="M33" s="267">
        <f>IF(NOT(ISERROR(MATCH(L33,_xlfn.ANCHORARRAY(D44),0))),J46&amp;"Por favor no seleccionar los criterios de impacto",L33)</f>
        <v>0</v>
      </c>
      <c r="N33" s="542"/>
      <c r="O33" s="545"/>
      <c r="P33" s="542"/>
      <c r="Q33" s="192">
        <v>5</v>
      </c>
      <c r="R33" s="286"/>
      <c r="S33" s="222" t="str">
        <f t="shared" si="27"/>
        <v/>
      </c>
      <c r="T33" s="223"/>
      <c r="U33" s="223"/>
      <c r="V33" s="235" t="str">
        <f t="shared" si="28"/>
        <v/>
      </c>
      <c r="W33" s="223"/>
      <c r="X33" s="223"/>
      <c r="Y33" s="223"/>
      <c r="Z33" s="238" t="str">
        <f t="shared" si="29"/>
        <v/>
      </c>
      <c r="AA33" s="264" t="str">
        <f t="shared" si="1"/>
        <v/>
      </c>
      <c r="AB33" s="224" t="str">
        <f t="shared" si="25"/>
        <v/>
      </c>
      <c r="AC33" s="264" t="str">
        <f t="shared" si="3"/>
        <v/>
      </c>
      <c r="AD33" s="224" t="str">
        <f t="shared" si="30"/>
        <v/>
      </c>
      <c r="AE33" s="226" t="str">
        <f t="shared" ref="AE33:AE34" si="31">IFERROR(IF(OR(AND(AA33="Muy Baja",AC33="Leve"),AND(AA33="Muy Baja",AC33="Menor"),AND(AA33="Baja",AC33="Leve")),"Bajo",IF(OR(AND(AA33="Muy baja",AC33="Moderado"),AND(AA33="Baja",AC33="Menor"),AND(AA33="Baja",AC33="Moderado"),AND(AA33="Media",AC33="Leve"),AND(AA33="Media",AC33="Menor"),AND(AA33="Media",AC33="Moderado"),AND(AA33="Alta",AC33="Leve"),AND(AA33="Alta",AC33="Menor")),"Moderado",IF(OR(AND(AA33="Muy Baja",AC33="Mayor"),AND(AA33="Baja",AC33="Mayor"),AND(AA33="Media",AC33="Mayor"),AND(AA33="Alta",AC33="Moderado"),AND(AA33="Alta",AC33="Mayor"),AND(AA33="Muy Alta",AC33="Leve"),AND(AA33="Muy Alta",AC33="Menor"),AND(AA33="Muy Alta",AC33="Moderado"),AND(AA33="Muy Alta",AC33="Mayor")),"Alto",IF(OR(AND(AA33="Muy Baja",AC33="Catastrófico"),AND(AA33="Baja",AC33="Catastrófico"),AND(AA33="Media",AC33="Catastrófico"),AND(AA33="Alta",AC33="Catastrófico"),AND(AA33="Muy Alta",AC33="Catastrófico")),"Extremo","")))),"")</f>
        <v/>
      </c>
      <c r="AF33" s="508"/>
    </row>
    <row r="34" spans="1:32" ht="44.25" customHeight="1" thickBot="1" x14ac:dyDescent="0.35">
      <c r="A34" s="540"/>
      <c r="B34" s="525"/>
      <c r="C34" s="559"/>
      <c r="D34" s="559"/>
      <c r="E34" s="332"/>
      <c r="F34" s="331"/>
      <c r="G34" s="333"/>
      <c r="H34" s="565"/>
      <c r="I34" s="543"/>
      <c r="J34" s="546"/>
      <c r="K34" s="562"/>
      <c r="L34" s="549"/>
      <c r="M34" s="268">
        <f>IF(NOT(ISERROR(MATCH(L34,_xlfn.ANCHORARRAY(D45),0))),J47&amp;"Por favor no seleccionar los criterios de impacto",L34)</f>
        <v>0</v>
      </c>
      <c r="N34" s="543"/>
      <c r="O34" s="546"/>
      <c r="P34" s="543"/>
      <c r="Q34" s="193">
        <v>6</v>
      </c>
      <c r="R34" s="289"/>
      <c r="S34" s="228" t="str">
        <f t="shared" si="27"/>
        <v/>
      </c>
      <c r="T34" s="229"/>
      <c r="U34" s="229"/>
      <c r="V34" s="236" t="str">
        <f t="shared" si="28"/>
        <v/>
      </c>
      <c r="W34" s="229"/>
      <c r="X34" s="229"/>
      <c r="Y34" s="229"/>
      <c r="Z34" s="239" t="str">
        <f t="shared" si="29"/>
        <v/>
      </c>
      <c r="AA34" s="265" t="str">
        <f t="shared" si="1"/>
        <v/>
      </c>
      <c r="AB34" s="230" t="str">
        <f t="shared" si="25"/>
        <v/>
      </c>
      <c r="AC34" s="265" t="str">
        <f t="shared" si="3"/>
        <v/>
      </c>
      <c r="AD34" s="230" t="str">
        <f t="shared" si="30"/>
        <v/>
      </c>
      <c r="AE34" s="232" t="str">
        <f t="shared" si="31"/>
        <v/>
      </c>
      <c r="AF34" s="509"/>
    </row>
    <row r="35" spans="1:32" ht="48" customHeight="1" x14ac:dyDescent="0.3">
      <c r="A35" s="538">
        <v>6</v>
      </c>
      <c r="B35" s="523"/>
      <c r="C35" s="523"/>
      <c r="D35" s="520"/>
      <c r="E35" s="269"/>
      <c r="F35" s="288"/>
      <c r="G35" s="288"/>
      <c r="H35" s="526"/>
      <c r="I35" s="529" t="str">
        <f>IF(H35&lt;=0,"",IF(H35&lt;=2,"Muy Baja",IF(H35&lt;=24,"Baja",IF(H35&lt;=500,"Media",IF(H35&lt;=5000,"Alta","Muy Alta")))))</f>
        <v/>
      </c>
      <c r="J35" s="535" t="str">
        <f>IF(I35="","",IF(I35="Muy Baja",0.2,IF(I35="Baja",0.4,IF(I35="Media",0.6,IF(I35="Alta",0.8,IF(I35="Muy Alta",1,))))))</f>
        <v/>
      </c>
      <c r="K35" s="523"/>
      <c r="L35" s="532"/>
      <c r="M35" s="266">
        <f>IF(NOT(ISERROR(MATCH(L35,'Tabla Impacto'!$B$221:$B$223,0))),'Tabla Impacto'!$F$223&amp;"Por favor no seleccionar los criterios de impacto(Afectación Económica o presupuestal y Pérdida Reputacional)",L35)</f>
        <v>0</v>
      </c>
      <c r="N35" s="529" t="str">
        <f>IF(OR(M35='Tabla Impacto'!$C$11,M35='Tabla Impacto'!$D$11),"Leve",IF(OR(M35='Tabla Impacto'!$C$12,M35='Tabla Impacto'!$D$12),"Menor",IF(OR(M35='Tabla Impacto'!$C$13,M35='Tabla Impacto'!$D$13),"Moderado",IF(OR(M35='Tabla Impacto'!$C$14,M35='Tabla Impacto'!$D$14),"Mayor",IF(OR(M35='Tabla Impacto'!$C$15,M35='Tabla Impacto'!$D$15),"Catastrófico","")))))</f>
        <v/>
      </c>
      <c r="O35" s="535" t="str">
        <f>IF(N35="","",IF(N35="Leve",0.2,IF(N35="Menor",0.4,IF(N35="Moderado",0.6,IF(N35="Mayor",0.8,IF(N35="Catastrófico",1,))))))</f>
        <v/>
      </c>
      <c r="P35" s="529" t="str">
        <f>IF(OR(AND(I35="Muy Baja",N35="Leve"),AND(I35="Muy Baja",N35="Menor"),AND(I35="Baja",N35="Leve")),"Bajo",IF(OR(AND(I35="Muy baja",N35="Moderado"),AND(I35="Baja",N35="Menor"),AND(I35="Baja",N35="Moderado"),AND(I35="Media",N35="Leve"),AND(I35="Media",N35="Menor"),AND(I35="Media",N35="Moderado"),AND(I35="Alta",N35="Leve"),AND(I35="Alta",N35="Menor")),"Moderado",IF(OR(AND(I35="Muy Baja",N35="Mayor"),AND(I35="Baja",N35="Mayor"),AND(I35="Media",N35="Mayor"),AND(I35="Alta",N35="Moderado"),AND(I35="Alta",N35="Mayor"),AND(I35="Muy Alta",N35="Leve"),AND(I35="Muy Alta",N35="Menor"),AND(I35="Muy Alta",N35="Moderado"),AND(I35="Muy Alta",N35="Mayor")),"Alto",IF(OR(AND(I35="Muy Baja",N35="Catastrófico"),AND(I35="Baja",N35="Catastrófico"),AND(I35="Media",N35="Catastrófico"),AND(I35="Alta",N35="Catastrófico"),AND(I35="Muy Alta",N35="Catastrófico")),"Extremo",""))))</f>
        <v/>
      </c>
      <c r="Q35" s="191">
        <v>1</v>
      </c>
      <c r="R35" s="288"/>
      <c r="S35" s="216"/>
      <c r="T35" s="217"/>
      <c r="U35" s="217"/>
      <c r="V35" s="234"/>
      <c r="W35" s="217"/>
      <c r="X35" s="217"/>
      <c r="Y35" s="217"/>
      <c r="Z35" s="237" t="str">
        <f>IFERROR(IF(S35="Probabilidad",(J35-(+J35*V35)),IF(S35="Impacto",J35,"")),"")</f>
        <v/>
      </c>
      <c r="AA35" s="263" t="str">
        <f>IFERROR(IF(Z35="","",IF(Z35&lt;=0.2,"Muy Baja",IF(Z35&lt;=0.4,"Baja",IF(Z35&lt;=0.6,"Media",IF(Z35&lt;=0.8,"Alta","Muy Alta"))))),"")</f>
        <v/>
      </c>
      <c r="AB35" s="218" t="str">
        <f>+Z35</f>
        <v/>
      </c>
      <c r="AC35" s="263" t="str">
        <f>IFERROR(IF(AD35="","",IF(AD35&lt;=0.2,"Leve",IF(AD35&lt;=0.4,"Menor",IF(AD35&lt;=0.6,"Moderado",IF(AD35&lt;=0.8,"Mayor","Catastrófico"))))),"")</f>
        <v/>
      </c>
      <c r="AD35" s="218" t="str">
        <f>IFERROR(IF(S35="Impacto",(O35-(+O35*V35)),IF(S35="Probabilidad",O35,"")),"")</f>
        <v/>
      </c>
      <c r="AE35" s="220" t="str">
        <f>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507"/>
    </row>
    <row r="36" spans="1:32" ht="48" customHeight="1" x14ac:dyDescent="0.3">
      <c r="A36" s="539"/>
      <c r="B36" s="524"/>
      <c r="C36" s="524"/>
      <c r="D36" s="521"/>
      <c r="E36" s="270"/>
      <c r="F36" s="286"/>
      <c r="G36" s="286"/>
      <c r="H36" s="527"/>
      <c r="I36" s="530"/>
      <c r="J36" s="536"/>
      <c r="K36" s="524"/>
      <c r="L36" s="533"/>
      <c r="M36" s="267">
        <f>IF(NOT(ISERROR(MATCH(L36,_xlfn.ANCHORARRAY(D47),0))),J49&amp;"Por favor no seleccionar los criterios de impacto",L36)</f>
        <v>0</v>
      </c>
      <c r="N36" s="530"/>
      <c r="O36" s="536"/>
      <c r="P36" s="530"/>
      <c r="Q36" s="192">
        <v>2</v>
      </c>
      <c r="R36" s="294"/>
      <c r="S36" s="222"/>
      <c r="T36" s="223"/>
      <c r="U36" s="223"/>
      <c r="V36" s="235"/>
      <c r="W36" s="223"/>
      <c r="X36" s="223"/>
      <c r="Y36" s="223"/>
      <c r="Z36" s="238" t="str">
        <f>IFERROR(IF(AND(S35="Probabilidad",S36="Probabilidad"),(AB35-(+AB35*V36)),IF(S36="Probabilidad",(J35-(+J35*V36)),IF(S36="Impacto",AB35,""))),"")</f>
        <v/>
      </c>
      <c r="AA36" s="264" t="str">
        <f t="shared" si="1"/>
        <v/>
      </c>
      <c r="AB36" s="224" t="str">
        <f t="shared" ref="AB36:AB40" si="32">+Z36</f>
        <v/>
      </c>
      <c r="AC36" s="264" t="str">
        <f t="shared" si="3"/>
        <v/>
      </c>
      <c r="AD36" s="224" t="str">
        <f>IFERROR(IF(AND(S35="Impacto",S36="Impacto"),(AD35-(+AD35*V36)),IF(S36="Impacto",(O35-(+O35*V36)),IF(S36="Probabilidad",AD35,""))),"")</f>
        <v/>
      </c>
      <c r="AE36" s="226" t="str">
        <f t="shared" ref="AE36:AE37" si="33">IFERROR(IF(OR(AND(AA36="Muy Baja",AC36="Leve"),AND(AA36="Muy Baja",AC36="Menor"),AND(AA36="Baja",AC36="Leve")),"Bajo",IF(OR(AND(AA36="Muy baja",AC36="Moderado"),AND(AA36="Baja",AC36="Menor"),AND(AA36="Baja",AC36="Moderado"),AND(AA36="Media",AC36="Leve"),AND(AA36="Media",AC36="Menor"),AND(AA36="Media",AC36="Moderado"),AND(AA36="Alta",AC36="Leve"),AND(AA36="Alta",AC36="Menor")),"Moderado",IF(OR(AND(AA36="Muy Baja",AC36="Mayor"),AND(AA36="Baja",AC36="Mayor"),AND(AA36="Media",AC36="Mayor"),AND(AA36="Alta",AC36="Moderado"),AND(AA36="Alta",AC36="Mayor"),AND(AA36="Muy Alta",AC36="Leve"),AND(AA36="Muy Alta",AC36="Menor"),AND(AA36="Muy Alta",AC36="Moderado"),AND(AA36="Muy Alta",AC36="Mayor")),"Alto",IF(OR(AND(AA36="Muy Baja",AC36="Catastrófico"),AND(AA36="Baja",AC36="Catastrófico"),AND(AA36="Media",AC36="Catastrófico"),AND(AA36="Alta",AC36="Catastrófico"),AND(AA36="Muy Alta",AC36="Catastrófico")),"Extremo","")))),"")</f>
        <v/>
      </c>
      <c r="AF36" s="508"/>
    </row>
    <row r="37" spans="1:32" ht="48" customHeight="1" x14ac:dyDescent="0.3">
      <c r="A37" s="539"/>
      <c r="B37" s="524"/>
      <c r="C37" s="524"/>
      <c r="D37" s="521"/>
      <c r="E37" s="270"/>
      <c r="F37" s="294"/>
      <c r="G37" s="286"/>
      <c r="H37" s="527"/>
      <c r="I37" s="530"/>
      <c r="J37" s="536"/>
      <c r="K37" s="524"/>
      <c r="L37" s="533"/>
      <c r="M37" s="267">
        <f>IF(NOT(ISERROR(MATCH(L37,_xlfn.ANCHORARRAY(D48),0))),J50&amp;"Por favor no seleccionar los criterios de impacto",L37)</f>
        <v>0</v>
      </c>
      <c r="N37" s="530"/>
      <c r="O37" s="536"/>
      <c r="P37" s="530"/>
      <c r="Q37" s="192">
        <v>3</v>
      </c>
      <c r="R37" s="294"/>
      <c r="S37" s="222"/>
      <c r="T37" s="223"/>
      <c r="U37" s="223"/>
      <c r="V37" s="235"/>
      <c r="W37" s="223"/>
      <c r="X37" s="223"/>
      <c r="Y37" s="223"/>
      <c r="Z37" s="238" t="str">
        <f>IFERROR(IF(AND(S36="Probabilidad",S37="Probabilidad"),(AB36-(+AB36*V37)),IF(AND(S36="Impacto",S37="Probabilidad"),(AB35-(+AB35*V37)),IF(S37="Impacto",AB36,""))),"")</f>
        <v/>
      </c>
      <c r="AA37" s="264" t="str">
        <f t="shared" si="1"/>
        <v/>
      </c>
      <c r="AB37" s="224" t="str">
        <f t="shared" si="32"/>
        <v/>
      </c>
      <c r="AC37" s="264" t="str">
        <f t="shared" si="3"/>
        <v/>
      </c>
      <c r="AD37" s="224" t="str">
        <f>IFERROR(IF(AND(S36="Impacto",S37="Impacto"),(AD36-(+AD36*V37)),IF(AND(S36="Probabilidad",S37="Impacto"),(AD35-(+AD35*V37)),IF(S37="Probabilidad",AD36,""))),"")</f>
        <v/>
      </c>
      <c r="AE37" s="226" t="str">
        <f t="shared" si="33"/>
        <v/>
      </c>
      <c r="AF37" s="508"/>
    </row>
    <row r="38" spans="1:32" ht="48" customHeight="1" x14ac:dyDescent="0.3">
      <c r="A38" s="539"/>
      <c r="B38" s="524"/>
      <c r="C38" s="524"/>
      <c r="D38" s="521"/>
      <c r="E38" s="270"/>
      <c r="F38" s="294"/>
      <c r="G38" s="286"/>
      <c r="H38" s="527"/>
      <c r="I38" s="530"/>
      <c r="J38" s="536"/>
      <c r="K38" s="524"/>
      <c r="L38" s="533"/>
      <c r="M38" s="267">
        <f>IF(NOT(ISERROR(MATCH(L38,_xlfn.ANCHORARRAY(D49),0))),J51&amp;"Por favor no seleccionar los criterios de impacto",L38)</f>
        <v>0</v>
      </c>
      <c r="N38" s="530"/>
      <c r="O38" s="536"/>
      <c r="P38" s="530"/>
      <c r="Q38" s="192">
        <v>4</v>
      </c>
      <c r="R38" s="286"/>
      <c r="S38" s="222" t="str">
        <f t="shared" ref="S38:S40" si="34">IF(OR(T38="Preventivo",T38="Detectivo"),"Probabilidad",IF(T38="Correctivo","Impacto",""))</f>
        <v/>
      </c>
      <c r="T38" s="223"/>
      <c r="U38" s="223"/>
      <c r="V38" s="235" t="str">
        <f t="shared" ref="V38:V40" si="35">IF(AND(T38="Preventivo",U38="Automático"),"50%",IF(AND(T38="Preventivo",U38="Manual"),"40%",IF(AND(T38="Detectivo",U38="Automático"),"40%",IF(AND(T38="Detectivo",U38="Manual"),"30%",IF(AND(T38="Correctivo",U38="Automático"),"35%",IF(AND(T38="Correctivo",U38="Manual"),"25%",""))))))</f>
        <v/>
      </c>
      <c r="W38" s="223"/>
      <c r="X38" s="223"/>
      <c r="Y38" s="223"/>
      <c r="Z38" s="238" t="str">
        <f t="shared" ref="Z38:Z40" si="36">IFERROR(IF(AND(S37="Probabilidad",S38="Probabilidad"),(AB37-(+AB37*V38)),IF(AND(S37="Impacto",S38="Probabilidad"),(AB36-(+AB36*V38)),IF(S38="Impacto",AB37,""))),"")</f>
        <v/>
      </c>
      <c r="AA38" s="264" t="str">
        <f t="shared" si="1"/>
        <v/>
      </c>
      <c r="AB38" s="224" t="str">
        <f t="shared" si="32"/>
        <v/>
      </c>
      <c r="AC38" s="264" t="str">
        <f t="shared" si="3"/>
        <v/>
      </c>
      <c r="AD38" s="224" t="str">
        <f t="shared" ref="AD38:AD40" si="37">IFERROR(IF(AND(S37="Impacto",S38="Impacto"),(AD37-(+AD37*V38)),IF(AND(S37="Probabilidad",S38="Impacto"),(AD36-(+AD36*V38)),IF(S38="Probabilidad",AD37,""))),"")</f>
        <v/>
      </c>
      <c r="AE38" s="226" t="str">
        <f>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508"/>
    </row>
    <row r="39" spans="1:32" ht="48" customHeight="1" x14ac:dyDescent="0.3">
      <c r="A39" s="539"/>
      <c r="B39" s="524"/>
      <c r="C39" s="524"/>
      <c r="D39" s="521"/>
      <c r="E39" s="270"/>
      <c r="F39" s="294"/>
      <c r="G39" s="286"/>
      <c r="H39" s="527"/>
      <c r="I39" s="530"/>
      <c r="J39" s="536"/>
      <c r="K39" s="524"/>
      <c r="L39" s="533"/>
      <c r="M39" s="267">
        <f>IF(NOT(ISERROR(MATCH(L39,_xlfn.ANCHORARRAY(D50),0))),J52&amp;"Por favor no seleccionar los criterios de impacto",L39)</f>
        <v>0</v>
      </c>
      <c r="N39" s="530"/>
      <c r="O39" s="536"/>
      <c r="P39" s="530"/>
      <c r="Q39" s="192">
        <v>5</v>
      </c>
      <c r="R39" s="286"/>
      <c r="S39" s="222" t="str">
        <f t="shared" si="34"/>
        <v/>
      </c>
      <c r="T39" s="223"/>
      <c r="U39" s="223"/>
      <c r="V39" s="235" t="str">
        <f t="shared" si="35"/>
        <v/>
      </c>
      <c r="W39" s="223"/>
      <c r="X39" s="223"/>
      <c r="Y39" s="223"/>
      <c r="Z39" s="238" t="str">
        <f t="shared" si="36"/>
        <v/>
      </c>
      <c r="AA39" s="264" t="str">
        <f t="shared" si="1"/>
        <v/>
      </c>
      <c r="AB39" s="224" t="str">
        <f t="shared" si="32"/>
        <v/>
      </c>
      <c r="AC39" s="264" t="str">
        <f t="shared" si="3"/>
        <v/>
      </c>
      <c r="AD39" s="224" t="str">
        <f t="shared" si="37"/>
        <v/>
      </c>
      <c r="AE39" s="226" t="str">
        <f t="shared" ref="AE39" si="38">IFERROR(IF(OR(AND(AA39="Muy Baja",AC39="Leve"),AND(AA39="Muy Baja",AC39="Menor"),AND(AA39="Baja",AC39="Leve")),"Bajo",IF(OR(AND(AA39="Muy baja",AC39="Moderado"),AND(AA39="Baja",AC39="Menor"),AND(AA39="Baja",AC39="Moderado"),AND(AA39="Media",AC39="Leve"),AND(AA39="Media",AC39="Menor"),AND(AA39="Media",AC39="Moderado"),AND(AA39="Alta",AC39="Leve"),AND(AA39="Alta",AC39="Menor")),"Moderado",IF(OR(AND(AA39="Muy Baja",AC39="Mayor"),AND(AA39="Baja",AC39="Mayor"),AND(AA39="Media",AC39="Mayor"),AND(AA39="Alta",AC39="Moderado"),AND(AA39="Alta",AC39="Mayor"),AND(AA39="Muy Alta",AC39="Leve"),AND(AA39="Muy Alta",AC39="Menor"),AND(AA39="Muy Alta",AC39="Moderado"),AND(AA39="Muy Alta",AC39="Mayor")),"Alto",IF(OR(AND(AA39="Muy Baja",AC39="Catastrófico"),AND(AA39="Baja",AC39="Catastrófico"),AND(AA39="Media",AC39="Catastrófico"),AND(AA39="Alta",AC39="Catastrófico"),AND(AA39="Muy Alta",AC39="Catastrófico")),"Extremo","")))),"")</f>
        <v/>
      </c>
      <c r="AF39" s="508"/>
    </row>
    <row r="40" spans="1:32" ht="48" customHeight="1" thickBot="1" x14ac:dyDescent="0.35">
      <c r="A40" s="540"/>
      <c r="B40" s="525"/>
      <c r="C40" s="525"/>
      <c r="D40" s="522"/>
      <c r="E40" s="271"/>
      <c r="F40" s="294"/>
      <c r="G40" s="289"/>
      <c r="H40" s="528"/>
      <c r="I40" s="531"/>
      <c r="J40" s="537"/>
      <c r="K40" s="525"/>
      <c r="L40" s="534"/>
      <c r="M40" s="268">
        <f>IF(NOT(ISERROR(MATCH(L40,_xlfn.ANCHORARRAY(D51),0))),J53&amp;"Por favor no seleccionar los criterios de impacto",L40)</f>
        <v>0</v>
      </c>
      <c r="N40" s="531"/>
      <c r="O40" s="537"/>
      <c r="P40" s="531"/>
      <c r="Q40" s="193">
        <v>6</v>
      </c>
      <c r="R40" s="289"/>
      <c r="S40" s="228" t="str">
        <f t="shared" si="34"/>
        <v/>
      </c>
      <c r="T40" s="229"/>
      <c r="U40" s="229"/>
      <c r="V40" s="236" t="str">
        <f t="shared" si="35"/>
        <v/>
      </c>
      <c r="W40" s="229"/>
      <c r="X40" s="229"/>
      <c r="Y40" s="229"/>
      <c r="Z40" s="239" t="str">
        <f t="shared" si="36"/>
        <v/>
      </c>
      <c r="AA40" s="265" t="str">
        <f t="shared" si="1"/>
        <v/>
      </c>
      <c r="AB40" s="230" t="str">
        <f t="shared" si="32"/>
        <v/>
      </c>
      <c r="AC40" s="265" t="str">
        <f>IFERROR(IF(AD40="","",IF(AD40&lt;=0.2,"Leve",IF(AD40&lt;=0.4,"Menor",IF(AD40&lt;=0.6,"Moderado",IF(AD40&lt;=0.8,"Mayor","Catastrófico"))))),"")</f>
        <v/>
      </c>
      <c r="AD40" s="230" t="str">
        <f t="shared" si="37"/>
        <v/>
      </c>
      <c r="AE40" s="232"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509"/>
    </row>
    <row r="41" spans="1:32" ht="54" customHeight="1" x14ac:dyDescent="0.3">
      <c r="A41" s="538">
        <v>7</v>
      </c>
      <c r="B41" s="523"/>
      <c r="C41" s="523"/>
      <c r="D41" s="553"/>
      <c r="E41" s="296"/>
      <c r="F41" s="297"/>
      <c r="G41" s="297"/>
      <c r="H41" s="526"/>
      <c r="I41" s="529"/>
      <c r="J41" s="535"/>
      <c r="K41" s="523"/>
      <c r="L41" s="532"/>
      <c r="M41" s="266"/>
      <c r="N41" s="529"/>
      <c r="O41" s="535"/>
      <c r="P41" s="529"/>
      <c r="Q41" s="191"/>
      <c r="R41" s="297"/>
      <c r="S41" s="216"/>
      <c r="T41" s="217"/>
      <c r="U41" s="217"/>
      <c r="V41" s="234"/>
      <c r="W41" s="217"/>
      <c r="X41" s="217"/>
      <c r="Y41" s="217"/>
      <c r="Z41" s="219" t="str">
        <f>IFERROR(IF(S41="Probabilidad",(J41-(+J41*V41)),IF(S41="Impacto",J41,"")),"")</f>
        <v/>
      </c>
      <c r="AA41" s="263" t="str">
        <f>IFERROR(IF(Z41="","",IF(Z41&lt;=0.2,"Muy Baja",IF(Z41&lt;=0.4,"Baja",IF(Z41&lt;=0.6,"Media",IF(Z41&lt;=0.8,"Alta","Muy Alta"))))),"")</f>
        <v/>
      </c>
      <c r="AB41" s="218" t="str">
        <f>+Z41</f>
        <v/>
      </c>
      <c r="AC41" s="263" t="str">
        <f>IFERROR(IF(AD41="","",IF(AD41&lt;=0.2,"Leve",IF(AD41&lt;=0.4,"Menor",IF(AD41&lt;=0.6,"Moderado",IF(AD41&lt;=0.8,"Mayor","Catastrófico"))))),"")</f>
        <v/>
      </c>
      <c r="AD41" s="218" t="str">
        <f>IFERROR(IF(S41="Impacto",(O41-(+O41*V41)),IF(S41="Probabilidad",O41,"")),"")</f>
        <v/>
      </c>
      <c r="AE41" s="220" t="str">
        <f>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507"/>
    </row>
    <row r="42" spans="1:32" ht="44.25" customHeight="1" x14ac:dyDescent="0.3">
      <c r="A42" s="539"/>
      <c r="B42" s="524"/>
      <c r="C42" s="524"/>
      <c r="D42" s="554"/>
      <c r="E42" s="298"/>
      <c r="F42" s="299"/>
      <c r="G42" s="299"/>
      <c r="H42" s="527"/>
      <c r="I42" s="530"/>
      <c r="J42" s="536"/>
      <c r="K42" s="524"/>
      <c r="L42" s="533"/>
      <c r="M42" s="267"/>
      <c r="N42" s="530"/>
      <c r="O42" s="536"/>
      <c r="P42" s="530"/>
      <c r="Q42" s="192"/>
      <c r="R42" s="286"/>
      <c r="S42" s="222"/>
      <c r="T42" s="223"/>
      <c r="U42" s="223"/>
      <c r="V42" s="235"/>
      <c r="W42" s="223"/>
      <c r="X42" s="223"/>
      <c r="Y42" s="223"/>
      <c r="Z42" s="225" t="str">
        <f>IFERROR(IF(AND(S41="Probabilidad",S42="Probabilidad"),(AB41-(+AB41*V42)),IF(S42="Probabilidad",(J41-(+J41*V42)),IF(S42="Impacto",AB41,""))),"")</f>
        <v/>
      </c>
      <c r="AA42" s="264" t="str">
        <f t="shared" ref="AA42:AA46" si="39">IFERROR(IF(Z42="","",IF(Z42&lt;=0.2,"Muy Baja",IF(Z42&lt;=0.4,"Baja",IF(Z42&lt;=0.6,"Media",IF(Z42&lt;=0.8,"Alta","Muy Alta"))))),"")</f>
        <v/>
      </c>
      <c r="AB42" s="224" t="str">
        <f t="shared" ref="AB42:AB46" si="40">+Z42</f>
        <v/>
      </c>
      <c r="AC42" s="264" t="str">
        <f t="shared" ref="AC42:AC46" si="41">IFERROR(IF(AD42="","",IF(AD42&lt;=0.2,"Leve",IF(AD42&lt;=0.4,"Menor",IF(AD42&lt;=0.6,"Moderado",IF(AD42&lt;=0.8,"Mayor","Catastrófico"))))),"")</f>
        <v/>
      </c>
      <c r="AD42" s="224" t="str">
        <f>IFERROR(IF(AND(S41="Impacto",S42="Impacto"),(AD41-(+AD41*V42)),IF(S42="Impacto",(O41-(+O41*V42)),IF(S42="Probabilidad",AD41,""))),"")</f>
        <v/>
      </c>
      <c r="AE42" s="226" t="str">
        <f t="shared" ref="AE42:AE43" si="42">IFERROR(IF(OR(AND(AA42="Muy Baja",AC42="Leve"),AND(AA42="Muy Baja",AC42="Menor"),AND(AA42="Baja",AC42="Leve")),"Bajo",IF(OR(AND(AA42="Muy baja",AC42="Moderado"),AND(AA42="Baja",AC42="Menor"),AND(AA42="Baja",AC42="Moderado"),AND(AA42="Media",AC42="Leve"),AND(AA42="Media",AC42="Menor"),AND(AA42="Media",AC42="Moderado"),AND(AA42="Alta",AC42="Leve"),AND(AA42="Alta",AC42="Menor")),"Moderado",IF(OR(AND(AA42="Muy Baja",AC42="Mayor"),AND(AA42="Baja",AC42="Mayor"),AND(AA42="Media",AC42="Mayor"),AND(AA42="Alta",AC42="Moderado"),AND(AA42="Alta",AC42="Mayor"),AND(AA42="Muy Alta",AC42="Leve"),AND(AA42="Muy Alta",AC42="Menor"),AND(AA42="Muy Alta",AC42="Moderado"),AND(AA42="Muy Alta",AC42="Mayor")),"Alto",IF(OR(AND(AA42="Muy Baja",AC42="Catastrófico"),AND(AA42="Baja",AC42="Catastrófico"),AND(AA42="Media",AC42="Catastrófico"),AND(AA42="Alta",AC42="Catastrófico"),AND(AA42="Muy Alta",AC42="Catastrófico")),"Extremo","")))),"")</f>
        <v/>
      </c>
      <c r="AF42" s="508"/>
    </row>
    <row r="43" spans="1:32" ht="44.25" customHeight="1" x14ac:dyDescent="0.3">
      <c r="A43" s="539"/>
      <c r="B43" s="524"/>
      <c r="C43" s="524"/>
      <c r="D43" s="554"/>
      <c r="E43" s="298"/>
      <c r="F43" s="299"/>
      <c r="G43" s="299"/>
      <c r="H43" s="527"/>
      <c r="I43" s="530"/>
      <c r="J43" s="536"/>
      <c r="K43" s="524"/>
      <c r="L43" s="533"/>
      <c r="M43" s="267"/>
      <c r="N43" s="530"/>
      <c r="O43" s="536"/>
      <c r="P43" s="530"/>
      <c r="Q43" s="192"/>
      <c r="R43" s="287"/>
      <c r="S43" s="222"/>
      <c r="T43" s="223"/>
      <c r="U43" s="223"/>
      <c r="V43" s="235"/>
      <c r="W43" s="223"/>
      <c r="X43" s="223"/>
      <c r="Y43" s="223"/>
      <c r="Z43" s="225" t="str">
        <f>IFERROR(IF(AND(S42="Probabilidad",S43="Probabilidad"),(AB42-(+AB42*V43)),IF(AND(S42="Impacto",S43="Probabilidad"),(AB41-(+AB41*V43)),IF(S43="Impacto",AB42,""))),"")</f>
        <v/>
      </c>
      <c r="AA43" s="264" t="str">
        <f t="shared" si="39"/>
        <v/>
      </c>
      <c r="AB43" s="224" t="str">
        <f t="shared" si="40"/>
        <v/>
      </c>
      <c r="AC43" s="264" t="str">
        <f t="shared" si="41"/>
        <v/>
      </c>
      <c r="AD43" s="224" t="str">
        <f>IFERROR(IF(AND(S42="Impacto",S43="Impacto"),(AD42-(+AD42*V43)),IF(AND(S42="Probabilidad",S43="Impacto"),(AD41-(+AD41*V43)),IF(S43="Probabilidad",AD42,""))),"")</f>
        <v/>
      </c>
      <c r="AE43" s="226" t="str">
        <f t="shared" si="42"/>
        <v/>
      </c>
      <c r="AF43" s="508"/>
    </row>
    <row r="44" spans="1:32" ht="44.25" customHeight="1" x14ac:dyDescent="0.3">
      <c r="A44" s="539"/>
      <c r="B44" s="524"/>
      <c r="C44" s="524"/>
      <c r="D44" s="554"/>
      <c r="E44" s="298"/>
      <c r="F44" s="299"/>
      <c r="G44" s="299"/>
      <c r="H44" s="527"/>
      <c r="I44" s="530"/>
      <c r="J44" s="536"/>
      <c r="K44" s="524"/>
      <c r="L44" s="533"/>
      <c r="M44" s="267"/>
      <c r="N44" s="530"/>
      <c r="O44" s="536"/>
      <c r="P44" s="530"/>
      <c r="Q44" s="192"/>
      <c r="R44" s="286"/>
      <c r="S44" s="222"/>
      <c r="T44" s="223"/>
      <c r="U44" s="223"/>
      <c r="V44" s="235"/>
      <c r="W44" s="223"/>
      <c r="X44" s="223"/>
      <c r="Y44" s="223"/>
      <c r="Z44" s="225" t="str">
        <f t="shared" ref="Z44:Z46" si="43">IFERROR(IF(AND(S43="Probabilidad",S44="Probabilidad"),(AB43-(+AB43*V44)),IF(AND(S43="Impacto",S44="Probabilidad"),(AB42-(+AB42*V44)),IF(S44="Impacto",AB43,""))),"")</f>
        <v/>
      </c>
      <c r="AA44" s="264" t="str">
        <f t="shared" si="39"/>
        <v/>
      </c>
      <c r="AB44" s="224" t="str">
        <f t="shared" si="40"/>
        <v/>
      </c>
      <c r="AC44" s="264" t="str">
        <f t="shared" si="41"/>
        <v/>
      </c>
      <c r="AD44" s="224" t="str">
        <f t="shared" ref="AD44:AD46" si="44">IFERROR(IF(AND(S43="Impacto",S44="Impacto"),(AD43-(+AD43*V44)),IF(AND(S43="Probabilidad",S44="Impacto"),(AD42-(+AD42*V44)),IF(S44="Probabilidad",AD43,""))),"")</f>
        <v/>
      </c>
      <c r="AE44" s="226" t="str">
        <f>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508"/>
    </row>
    <row r="45" spans="1:32" ht="44.25" customHeight="1" x14ac:dyDescent="0.3">
      <c r="A45" s="539"/>
      <c r="B45" s="524"/>
      <c r="C45" s="524"/>
      <c r="D45" s="554"/>
      <c r="E45" s="298"/>
      <c r="F45" s="299"/>
      <c r="G45" s="299"/>
      <c r="H45" s="527"/>
      <c r="I45" s="530"/>
      <c r="J45" s="536"/>
      <c r="K45" s="524"/>
      <c r="L45" s="533"/>
      <c r="M45" s="267"/>
      <c r="N45" s="530"/>
      <c r="O45" s="536"/>
      <c r="P45" s="530"/>
      <c r="Q45" s="192"/>
      <c r="R45" s="286"/>
      <c r="S45" s="222"/>
      <c r="T45" s="223"/>
      <c r="U45" s="223"/>
      <c r="V45" s="235"/>
      <c r="W45" s="223"/>
      <c r="X45" s="223"/>
      <c r="Y45" s="223"/>
      <c r="Z45" s="225" t="str">
        <f t="shared" si="43"/>
        <v/>
      </c>
      <c r="AA45" s="264" t="str">
        <f t="shared" si="39"/>
        <v/>
      </c>
      <c r="AB45" s="224" t="str">
        <f t="shared" si="40"/>
        <v/>
      </c>
      <c r="AC45" s="264" t="str">
        <f t="shared" si="41"/>
        <v/>
      </c>
      <c r="AD45" s="224" t="str">
        <f t="shared" si="44"/>
        <v/>
      </c>
      <c r="AE45" s="226" t="str">
        <f t="shared" ref="AE45:AE46" si="45">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508"/>
    </row>
    <row r="46" spans="1:32" ht="44.25" customHeight="1" thickBot="1" x14ac:dyDescent="0.35">
      <c r="A46" s="540"/>
      <c r="B46" s="525"/>
      <c r="C46" s="525"/>
      <c r="D46" s="555"/>
      <c r="E46" s="300"/>
      <c r="F46" s="301"/>
      <c r="G46" s="301"/>
      <c r="H46" s="528"/>
      <c r="I46" s="531"/>
      <c r="J46" s="537"/>
      <c r="K46" s="525"/>
      <c r="L46" s="534"/>
      <c r="M46" s="268"/>
      <c r="N46" s="531"/>
      <c r="O46" s="537"/>
      <c r="P46" s="531"/>
      <c r="Q46" s="193"/>
      <c r="R46" s="289"/>
      <c r="S46" s="228"/>
      <c r="T46" s="229"/>
      <c r="U46" s="229"/>
      <c r="V46" s="236"/>
      <c r="W46" s="229"/>
      <c r="X46" s="229"/>
      <c r="Y46" s="229"/>
      <c r="Z46" s="231" t="str">
        <f t="shared" si="43"/>
        <v/>
      </c>
      <c r="AA46" s="265" t="str">
        <f t="shared" si="39"/>
        <v/>
      </c>
      <c r="AB46" s="230" t="str">
        <f t="shared" si="40"/>
        <v/>
      </c>
      <c r="AC46" s="265" t="str">
        <f t="shared" si="41"/>
        <v/>
      </c>
      <c r="AD46" s="230" t="str">
        <f t="shared" si="44"/>
        <v/>
      </c>
      <c r="AE46" s="232" t="str">
        <f t="shared" si="45"/>
        <v/>
      </c>
      <c r="AF46" s="509"/>
    </row>
    <row r="47" spans="1:32" ht="44.25" customHeight="1" x14ac:dyDescent="0.3">
      <c r="A47" s="538">
        <v>8</v>
      </c>
      <c r="B47" s="523"/>
      <c r="C47" s="523"/>
      <c r="D47" s="553"/>
      <c r="E47" s="296"/>
      <c r="F47" s="297"/>
      <c r="G47" s="297"/>
      <c r="H47" s="526"/>
      <c r="I47" s="529"/>
      <c r="J47" s="535"/>
      <c r="K47" s="523"/>
      <c r="L47" s="532"/>
      <c r="M47" s="266"/>
      <c r="N47" s="529"/>
      <c r="O47" s="535"/>
      <c r="P47" s="529"/>
      <c r="Q47" s="191">
        <v>1</v>
      </c>
      <c r="R47" s="297"/>
      <c r="S47" s="216" t="str">
        <f>IF(OR(T47="Preventivo",T47="Detectivo"),"Probabilidad",IF(T47="Correctivo","Impacto",""))</f>
        <v/>
      </c>
      <c r="T47" s="217"/>
      <c r="U47" s="217"/>
      <c r="V47" s="234" t="str">
        <f>IF(AND(T47="Preventivo",U47="Automático"),"50%",IF(AND(T47="Preventivo",U47="Manual"),"40%",IF(AND(T47="Detectivo",U47="Automático"),"40%",IF(AND(T47="Detectivo",U47="Manual"),"30%",IF(AND(T47="Correctivo",U47="Automático"),"35%",IF(AND(T47="Correctivo",U47="Manual"),"25%",""))))))</f>
        <v/>
      </c>
      <c r="W47" s="217"/>
      <c r="X47" s="217"/>
      <c r="Y47" s="217"/>
      <c r="Z47" s="237" t="str">
        <f>IFERROR(IF(S47="Probabilidad",(J47-(+J47*V47)),IF(S47="Impacto",J47,"")),"")</f>
        <v/>
      </c>
      <c r="AA47" s="263" t="str">
        <f>IFERROR(IF(Z47="","",IF(Z47&lt;=0.2,"Muy Baja",IF(Z47&lt;=0.4,"Baja",IF(Z47&lt;=0.6,"Media",IF(Z47&lt;=0.8,"Alta","Muy Alta"))))),"")</f>
        <v/>
      </c>
      <c r="AB47" s="218" t="str">
        <f>+Z47</f>
        <v/>
      </c>
      <c r="AC47" s="263" t="str">
        <f>IFERROR(IF(AD47="","",IF(AD47&lt;=0.2,"Leve",IF(AD47&lt;=0.4,"Menor",IF(AD47&lt;=0.6,"Moderado",IF(AD47&lt;=0.8,"Mayor","Catastrófico"))))),"")</f>
        <v/>
      </c>
      <c r="AD47" s="218" t="str">
        <f>IFERROR(IF(S47="Impacto",(O47-(+O47*V47)),IF(S47="Probabilidad",O47,"")),"")</f>
        <v/>
      </c>
      <c r="AE47" s="220" t="str">
        <f>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21"/>
    </row>
    <row r="48" spans="1:32" ht="44.25" customHeight="1" x14ac:dyDescent="0.3">
      <c r="A48" s="539"/>
      <c r="B48" s="524"/>
      <c r="C48" s="524"/>
      <c r="D48" s="554"/>
      <c r="E48" s="298"/>
      <c r="F48" s="299"/>
      <c r="G48" s="299"/>
      <c r="H48" s="527"/>
      <c r="I48" s="530"/>
      <c r="J48" s="536"/>
      <c r="K48" s="524"/>
      <c r="L48" s="533"/>
      <c r="M48" s="267"/>
      <c r="N48" s="530"/>
      <c r="O48" s="536"/>
      <c r="P48" s="530"/>
      <c r="Q48" s="192">
        <v>2</v>
      </c>
      <c r="R48" s="286"/>
      <c r="S48" s="222" t="str">
        <f>IF(OR(T48="Preventivo",T48="Detectivo"),"Probabilidad",IF(T48="Correctivo","Impacto",""))</f>
        <v/>
      </c>
      <c r="T48" s="223"/>
      <c r="U48" s="223"/>
      <c r="V48" s="235" t="str">
        <f t="shared" ref="V48:V52" si="46">IF(AND(T48="Preventivo",U48="Automático"),"50%",IF(AND(T48="Preventivo",U48="Manual"),"40%",IF(AND(T48="Detectivo",U48="Automático"),"40%",IF(AND(T48="Detectivo",U48="Manual"),"30%",IF(AND(T48="Correctivo",U48="Automático"),"35%",IF(AND(T48="Correctivo",U48="Manual"),"25%",""))))))</f>
        <v/>
      </c>
      <c r="W48" s="223"/>
      <c r="X48" s="223"/>
      <c r="Y48" s="223"/>
      <c r="Z48" s="238" t="str">
        <f>IFERROR(IF(AND(S47="Probabilidad",S48="Probabilidad"),(AB47-(+AB47*V48)),IF(S48="Probabilidad",(J47-(+J47*V48)),IF(S48="Impacto",AB47,""))),"")</f>
        <v/>
      </c>
      <c r="AA48" s="264" t="str">
        <f t="shared" si="1"/>
        <v/>
      </c>
      <c r="AB48" s="224" t="str">
        <f t="shared" ref="AB48:AB52" si="47">+Z48</f>
        <v/>
      </c>
      <c r="AC48" s="264" t="str">
        <f t="shared" si="3"/>
        <v/>
      </c>
      <c r="AD48" s="224" t="str">
        <f>IFERROR(IF(AND(S47="Impacto",S48="Impacto"),(AD47-(+AD47*V48)),IF(S48="Impacto",(O47-(+O47*V48)),IF(S48="Probabilidad",AD47,""))),"")</f>
        <v/>
      </c>
      <c r="AE48" s="226" t="str">
        <f t="shared" ref="AE48:AE49" si="48">IFERROR(IF(OR(AND(AA48="Muy Baja",AC48="Leve"),AND(AA48="Muy Baja",AC48="Menor"),AND(AA48="Baja",AC48="Leve")),"Bajo",IF(OR(AND(AA48="Muy baja",AC48="Moderado"),AND(AA48="Baja",AC48="Menor"),AND(AA48="Baja",AC48="Moderado"),AND(AA48="Media",AC48="Leve"),AND(AA48="Media",AC48="Menor"),AND(AA48="Media",AC48="Moderado"),AND(AA48="Alta",AC48="Leve"),AND(AA48="Alta",AC48="Menor")),"Moderado",IF(OR(AND(AA48="Muy Baja",AC48="Mayor"),AND(AA48="Baja",AC48="Mayor"),AND(AA48="Media",AC48="Mayor"),AND(AA48="Alta",AC48="Moderado"),AND(AA48="Alta",AC48="Mayor"),AND(AA48="Muy Alta",AC48="Leve"),AND(AA48="Muy Alta",AC48="Menor"),AND(AA48="Muy Alta",AC48="Moderado"),AND(AA48="Muy Alta",AC48="Mayor")),"Alto",IF(OR(AND(AA48="Muy Baja",AC48="Catastrófico"),AND(AA48="Baja",AC48="Catastrófico"),AND(AA48="Media",AC48="Catastrófico"),AND(AA48="Alta",AC48="Catastrófico"),AND(AA48="Muy Alta",AC48="Catastrófico")),"Extremo","")))),"")</f>
        <v/>
      </c>
      <c r="AF48" s="227"/>
    </row>
    <row r="49" spans="1:32" ht="44.25" customHeight="1" x14ac:dyDescent="0.3">
      <c r="A49" s="539"/>
      <c r="B49" s="524"/>
      <c r="C49" s="524"/>
      <c r="D49" s="554"/>
      <c r="E49" s="298"/>
      <c r="F49" s="299"/>
      <c r="G49" s="299"/>
      <c r="H49" s="527"/>
      <c r="I49" s="530"/>
      <c r="J49" s="536"/>
      <c r="K49" s="524"/>
      <c r="L49" s="533"/>
      <c r="M49" s="267"/>
      <c r="N49" s="530"/>
      <c r="O49" s="536"/>
      <c r="P49" s="530"/>
      <c r="Q49" s="192">
        <v>3</v>
      </c>
      <c r="R49" s="287"/>
      <c r="S49" s="222" t="str">
        <f>IF(OR(T49="Preventivo",T49="Detectivo"),"Probabilidad",IF(T49="Correctivo","Impacto",""))</f>
        <v/>
      </c>
      <c r="T49" s="223"/>
      <c r="U49" s="223"/>
      <c r="V49" s="235" t="str">
        <f t="shared" si="46"/>
        <v/>
      </c>
      <c r="W49" s="223"/>
      <c r="X49" s="223"/>
      <c r="Y49" s="223"/>
      <c r="Z49" s="238" t="str">
        <f>IFERROR(IF(AND(S48="Probabilidad",S49="Probabilidad"),(AB48-(+AB48*V49)),IF(AND(S48="Impacto",S49="Probabilidad"),(AB47-(+AB47*V49)),IF(S49="Impacto",AB48,""))),"")</f>
        <v/>
      </c>
      <c r="AA49" s="264" t="str">
        <f t="shared" si="1"/>
        <v/>
      </c>
      <c r="AB49" s="224" t="str">
        <f t="shared" si="47"/>
        <v/>
      </c>
      <c r="AC49" s="264" t="str">
        <f t="shared" si="3"/>
        <v/>
      </c>
      <c r="AD49" s="224" t="str">
        <f>IFERROR(IF(AND(S48="Impacto",S49="Impacto"),(AD48-(+AD48*V49)),IF(AND(S48="Probabilidad",S49="Impacto"),(AD47-(+AD47*V49)),IF(S49="Probabilidad",AD48,""))),"")</f>
        <v/>
      </c>
      <c r="AE49" s="226" t="str">
        <f t="shared" si="48"/>
        <v/>
      </c>
      <c r="AF49" s="227"/>
    </row>
    <row r="50" spans="1:32" ht="44.25" customHeight="1" x14ac:dyDescent="0.3">
      <c r="A50" s="539"/>
      <c r="B50" s="524"/>
      <c r="C50" s="524"/>
      <c r="D50" s="554"/>
      <c r="E50" s="298"/>
      <c r="F50" s="299"/>
      <c r="G50" s="299"/>
      <c r="H50" s="527"/>
      <c r="I50" s="530"/>
      <c r="J50" s="536"/>
      <c r="K50" s="524"/>
      <c r="L50" s="533"/>
      <c r="M50" s="267"/>
      <c r="N50" s="530"/>
      <c r="O50" s="536"/>
      <c r="P50" s="530"/>
      <c r="Q50" s="192">
        <v>4</v>
      </c>
      <c r="R50" s="286"/>
      <c r="S50" s="222" t="str">
        <f t="shared" ref="S50:S52" si="49">IF(OR(T50="Preventivo",T50="Detectivo"),"Probabilidad",IF(T50="Correctivo","Impacto",""))</f>
        <v/>
      </c>
      <c r="T50" s="223"/>
      <c r="U50" s="223"/>
      <c r="V50" s="235" t="str">
        <f t="shared" si="46"/>
        <v/>
      </c>
      <c r="W50" s="223"/>
      <c r="X50" s="223"/>
      <c r="Y50" s="223"/>
      <c r="Z50" s="238" t="str">
        <f t="shared" ref="Z50:Z52" si="50">IFERROR(IF(AND(S49="Probabilidad",S50="Probabilidad"),(AB49-(+AB49*V50)),IF(AND(S49="Impacto",S50="Probabilidad"),(AB48-(+AB48*V50)),IF(S50="Impacto",AB49,""))),"")</f>
        <v/>
      </c>
      <c r="AA50" s="264" t="str">
        <f t="shared" si="1"/>
        <v/>
      </c>
      <c r="AB50" s="224" t="str">
        <f t="shared" si="47"/>
        <v/>
      </c>
      <c r="AC50" s="264" t="str">
        <f t="shared" si="3"/>
        <v/>
      </c>
      <c r="AD50" s="224" t="str">
        <f t="shared" ref="AD50:AD52" si="51">IFERROR(IF(AND(S49="Impacto",S50="Impacto"),(AD49-(+AD49*V50)),IF(AND(S49="Probabilidad",S50="Impacto"),(AD48-(+AD48*V50)),IF(S50="Probabilidad",AD49,""))),"")</f>
        <v/>
      </c>
      <c r="AE50" s="226" t="str">
        <f>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27"/>
    </row>
    <row r="51" spans="1:32" ht="44.25" customHeight="1" x14ac:dyDescent="0.3">
      <c r="A51" s="539"/>
      <c r="B51" s="524"/>
      <c r="C51" s="524"/>
      <c r="D51" s="554"/>
      <c r="E51" s="298"/>
      <c r="F51" s="299"/>
      <c r="G51" s="299"/>
      <c r="H51" s="527"/>
      <c r="I51" s="530"/>
      <c r="J51" s="536"/>
      <c r="K51" s="524"/>
      <c r="L51" s="533"/>
      <c r="M51" s="267"/>
      <c r="N51" s="530"/>
      <c r="O51" s="536"/>
      <c r="P51" s="530"/>
      <c r="Q51" s="192">
        <v>5</v>
      </c>
      <c r="R51" s="286"/>
      <c r="S51" s="222" t="str">
        <f t="shared" si="49"/>
        <v/>
      </c>
      <c r="T51" s="223"/>
      <c r="U51" s="223"/>
      <c r="V51" s="235" t="str">
        <f t="shared" si="46"/>
        <v/>
      </c>
      <c r="W51" s="223"/>
      <c r="X51" s="223"/>
      <c r="Y51" s="223"/>
      <c r="Z51" s="238" t="str">
        <f t="shared" si="50"/>
        <v/>
      </c>
      <c r="AA51" s="264" t="str">
        <f t="shared" si="1"/>
        <v/>
      </c>
      <c r="AB51" s="224" t="str">
        <f t="shared" si="47"/>
        <v/>
      </c>
      <c r="AC51" s="264" t="str">
        <f t="shared" si="3"/>
        <v/>
      </c>
      <c r="AD51" s="224" t="str">
        <f t="shared" si="51"/>
        <v/>
      </c>
      <c r="AE51" s="226" t="str">
        <f t="shared" ref="AE51:AE52" si="52">IFERROR(IF(OR(AND(AA51="Muy Baja",AC51="Leve"),AND(AA51="Muy Baja",AC51="Menor"),AND(AA51="Baja",AC51="Leve")),"Bajo",IF(OR(AND(AA51="Muy baja",AC51="Moderado"),AND(AA51="Baja",AC51="Menor"),AND(AA51="Baja",AC51="Moderado"),AND(AA51="Media",AC51="Leve"),AND(AA51="Media",AC51="Menor"),AND(AA51="Media",AC51="Moderado"),AND(AA51="Alta",AC51="Leve"),AND(AA51="Alta",AC51="Menor")),"Moderado",IF(OR(AND(AA51="Muy Baja",AC51="Mayor"),AND(AA51="Baja",AC51="Mayor"),AND(AA51="Media",AC51="Mayor"),AND(AA51="Alta",AC51="Moderado"),AND(AA51="Alta",AC51="Mayor"),AND(AA51="Muy Alta",AC51="Leve"),AND(AA51="Muy Alta",AC51="Menor"),AND(AA51="Muy Alta",AC51="Moderado"),AND(AA51="Muy Alta",AC51="Mayor")),"Alto",IF(OR(AND(AA51="Muy Baja",AC51="Catastrófico"),AND(AA51="Baja",AC51="Catastrófico"),AND(AA51="Media",AC51="Catastrófico"),AND(AA51="Alta",AC51="Catastrófico"),AND(AA51="Muy Alta",AC51="Catastrófico")),"Extremo","")))),"")</f>
        <v/>
      </c>
      <c r="AF51" s="227"/>
    </row>
    <row r="52" spans="1:32" ht="44.25" customHeight="1" thickBot="1" x14ac:dyDescent="0.35">
      <c r="A52" s="540"/>
      <c r="B52" s="525"/>
      <c r="C52" s="525"/>
      <c r="D52" s="555"/>
      <c r="E52" s="300"/>
      <c r="F52" s="301"/>
      <c r="G52" s="301"/>
      <c r="H52" s="528"/>
      <c r="I52" s="531"/>
      <c r="J52" s="537"/>
      <c r="K52" s="525"/>
      <c r="L52" s="534"/>
      <c r="M52" s="268"/>
      <c r="N52" s="531"/>
      <c r="O52" s="537"/>
      <c r="P52" s="531"/>
      <c r="Q52" s="193">
        <v>6</v>
      </c>
      <c r="R52" s="289"/>
      <c r="S52" s="228" t="str">
        <f t="shared" si="49"/>
        <v/>
      </c>
      <c r="T52" s="229"/>
      <c r="U52" s="229"/>
      <c r="V52" s="236" t="str">
        <f t="shared" si="46"/>
        <v/>
      </c>
      <c r="W52" s="229"/>
      <c r="X52" s="229"/>
      <c r="Y52" s="229"/>
      <c r="Z52" s="239" t="str">
        <f t="shared" si="50"/>
        <v/>
      </c>
      <c r="AA52" s="265" t="str">
        <f t="shared" si="1"/>
        <v/>
      </c>
      <c r="AB52" s="230" t="str">
        <f t="shared" si="47"/>
        <v/>
      </c>
      <c r="AC52" s="265" t="str">
        <f t="shared" si="3"/>
        <v/>
      </c>
      <c r="AD52" s="230" t="str">
        <f t="shared" si="51"/>
        <v/>
      </c>
      <c r="AE52" s="232" t="str">
        <f t="shared" si="52"/>
        <v/>
      </c>
      <c r="AF52" s="233"/>
    </row>
    <row r="53" spans="1:32" ht="44.25" customHeight="1" x14ac:dyDescent="0.3">
      <c r="A53" s="538">
        <v>9</v>
      </c>
      <c r="B53" s="523"/>
      <c r="C53" s="523"/>
      <c r="D53" s="550"/>
      <c r="E53" s="269"/>
      <c r="F53" s="288"/>
      <c r="G53" s="288"/>
      <c r="H53" s="526"/>
      <c r="I53" s="529" t="str">
        <f>IF(H53&lt;=0,"",IF(H53&lt;=2,"Muy Baja",IF(H53&lt;=24,"Baja",IF(H53&lt;=500,"Media",IF(H53&lt;=5000,"Alta","Muy Alta")))))</f>
        <v/>
      </c>
      <c r="J53" s="535" t="str">
        <f>IF(I53="","",IF(I53="Muy Baja",0.2,IF(I53="Baja",0.4,IF(I53="Media",0.6,IF(I53="Alta",0.8,IF(I53="Muy Alta",1,))))))</f>
        <v/>
      </c>
      <c r="K53" s="523"/>
      <c r="L53" s="532"/>
      <c r="M53" s="535">
        <f>IF(NOT(ISERROR(MATCH(L53,'Tabla Impacto'!$B$221:$B$223,0))),'Tabla Impacto'!$F$223&amp;"Por favor no seleccionar los criterios de impacto(Afectación Económica o presupuestal y Pérdida Reputacional)",L53)</f>
        <v>0</v>
      </c>
      <c r="N53" s="529" t="str">
        <f>IF(OR(M53='Tabla Impacto'!$C$11,M53='Tabla Impacto'!$D$11),"Leve",IF(OR(M53='Tabla Impacto'!$C$12,M53='Tabla Impacto'!$D$12),"Menor",IF(OR(M53='Tabla Impacto'!$C$13,M53='Tabla Impacto'!$D$13),"Moderado",IF(OR(M53='Tabla Impacto'!$C$14,M53='Tabla Impacto'!$D$14),"Mayor",IF(OR(M53='Tabla Impacto'!$C$15,M53='Tabla Impacto'!$D$15),"Catastrófico","")))))</f>
        <v/>
      </c>
      <c r="O53" s="535" t="str">
        <f>IF(N53="","",IF(N53="Leve",0.2,IF(N53="Menor",0.4,IF(N53="Moderado",0.6,IF(N53="Mayor",0.8,IF(N53="Catastrófico",1,))))))</f>
        <v/>
      </c>
      <c r="P53" s="529" t="str">
        <f>IF(OR(AND(I53="Muy Baja",N53="Leve"),AND(I53="Muy Baja",N53="Menor"),AND(I53="Baja",N53="Leve")),"Bajo",IF(OR(AND(I53="Muy baja",N53="Moderado"),AND(I53="Baja",N53="Menor"),AND(I53="Baja",N53="Moderado"),AND(I53="Media",N53="Leve"),AND(I53="Media",N53="Menor"),AND(I53="Media",N53="Moderado"),AND(I53="Alta",N53="Leve"),AND(I53="Alta",N53="Menor")),"Moderado",IF(OR(AND(I53="Muy Baja",N53="Mayor"),AND(I53="Baja",N53="Mayor"),AND(I53="Media",N53="Mayor"),AND(I53="Alta",N53="Moderado"),AND(I53="Alta",N53="Mayor"),AND(I53="Muy Alta",N53="Leve"),AND(I53="Muy Alta",N53="Menor"),AND(I53="Muy Alta",N53="Moderado"),AND(I53="Muy Alta",N53="Mayor")),"Alto",IF(OR(AND(I53="Muy Baja",N53="Catastrófico"),AND(I53="Baja",N53="Catastrófico"),AND(I53="Media",N53="Catastrófico"),AND(I53="Alta",N53="Catastrófico"),AND(I53="Muy Alta",N53="Catastrófico")),"Extremo",""))))</f>
        <v/>
      </c>
      <c r="Q53" s="191">
        <v>1</v>
      </c>
      <c r="R53" s="288"/>
      <c r="S53" s="216" t="str">
        <f>IF(OR(T53="Preventivo",T53="Detectivo"),"Probabilidad",IF(T53="Correctivo","Impacto",""))</f>
        <v/>
      </c>
      <c r="T53" s="217"/>
      <c r="U53" s="217"/>
      <c r="V53" s="234" t="str">
        <f>IF(AND(T53="Preventivo",U53="Automático"),"50%",IF(AND(T53="Preventivo",U53="Manual"),"40%",IF(AND(T53="Detectivo",U53="Automático"),"40%",IF(AND(T53="Detectivo",U53="Manual"),"30%",IF(AND(T53="Correctivo",U53="Automático"),"35%",IF(AND(T53="Correctivo",U53="Manual"),"25%",""))))))</f>
        <v/>
      </c>
      <c r="W53" s="217"/>
      <c r="X53" s="217"/>
      <c r="Y53" s="217"/>
      <c r="Z53" s="237" t="str">
        <f>IFERROR(IF(S53="Probabilidad",(J53-(+J53*V53)),IF(S53="Impacto",J53,"")),"")</f>
        <v/>
      </c>
      <c r="AA53" s="263" t="str">
        <f>IFERROR(IF(Z53="","",IF(Z53&lt;=0.2,"Muy Baja",IF(Z53&lt;=0.4,"Baja",IF(Z53&lt;=0.6,"Media",IF(Z53&lt;=0.8,"Alta","Muy Alta"))))),"")</f>
        <v/>
      </c>
      <c r="AB53" s="218" t="str">
        <f>+Z53</f>
        <v/>
      </c>
      <c r="AC53" s="263" t="str">
        <f>IFERROR(IF(AD53="","",IF(AD53&lt;=0.2,"Leve",IF(AD53&lt;=0.4,"Menor",IF(AD53&lt;=0.6,"Moderado",IF(AD53&lt;=0.8,"Mayor","Catastrófico"))))),"")</f>
        <v/>
      </c>
      <c r="AD53" s="218" t="str">
        <f>IFERROR(IF(S53="Impacto",(O53-(+O53*V53)),IF(S53="Probabilidad",O53,"")),"")</f>
        <v/>
      </c>
      <c r="AE53" s="220" t="str">
        <f>IFERROR(IF(OR(AND(AA53="Muy Baja",AC53="Leve"),AND(AA53="Muy Baja",AC53="Menor"),AND(AA53="Baja",AC53="Leve")),"Bajo",IF(OR(AND(AA53="Muy baja",AC53="Moderado"),AND(AA53="Baja",AC53="Menor"),AND(AA53="Baja",AC53="Moderado"),AND(AA53="Media",AC53="Leve"),AND(AA53="Media",AC53="Menor"),AND(AA53="Media",AC53="Moderado"),AND(AA53="Alta",AC53="Leve"),AND(AA53="Alta",AC53="Menor")),"Moderado",IF(OR(AND(AA53="Muy Baja",AC53="Mayor"),AND(AA53="Baja",AC53="Mayor"),AND(AA53="Media",AC53="Mayor"),AND(AA53="Alta",AC53="Moderado"),AND(AA53="Alta",AC53="Mayor"),AND(AA53="Muy Alta",AC53="Leve"),AND(AA53="Muy Alta",AC53="Menor"),AND(AA53="Muy Alta",AC53="Moderado"),AND(AA53="Muy Alta",AC53="Mayor")),"Alto",IF(OR(AND(AA53="Muy Baja",AC53="Catastrófico"),AND(AA53="Baja",AC53="Catastrófico"),AND(AA53="Media",AC53="Catastrófico"),AND(AA53="Alta",AC53="Catastrófico"),AND(AA53="Muy Alta",AC53="Catastrófico")),"Extremo","")))),"")</f>
        <v/>
      </c>
      <c r="AF53" s="221"/>
    </row>
    <row r="54" spans="1:32" ht="44.25" customHeight="1" x14ac:dyDescent="0.3">
      <c r="A54" s="539"/>
      <c r="B54" s="524"/>
      <c r="C54" s="524"/>
      <c r="D54" s="551"/>
      <c r="E54" s="270"/>
      <c r="F54" s="286"/>
      <c r="G54" s="286"/>
      <c r="H54" s="527"/>
      <c r="I54" s="530"/>
      <c r="J54" s="536"/>
      <c r="K54" s="524"/>
      <c r="L54" s="533"/>
      <c r="M54" s="536">
        <f>IF(NOT(ISERROR(MATCH(L54,_xlfn.ANCHORARRAY(#REF!),0))),#REF!&amp;"Por favor no seleccionar los criterios de impacto",L54)</f>
        <v>0</v>
      </c>
      <c r="N54" s="530"/>
      <c r="O54" s="536"/>
      <c r="P54" s="530"/>
      <c r="Q54" s="192">
        <v>2</v>
      </c>
      <c r="R54" s="286"/>
      <c r="S54" s="222" t="str">
        <f>IF(OR(T54="Preventivo",T54="Detectivo"),"Probabilidad",IF(T54="Correctivo","Impacto",""))</f>
        <v/>
      </c>
      <c r="T54" s="223"/>
      <c r="U54" s="223"/>
      <c r="V54" s="235" t="str">
        <f t="shared" ref="V54:V58" si="53">IF(AND(T54="Preventivo",U54="Automático"),"50%",IF(AND(T54="Preventivo",U54="Manual"),"40%",IF(AND(T54="Detectivo",U54="Automático"),"40%",IF(AND(T54="Detectivo",U54="Manual"),"30%",IF(AND(T54="Correctivo",U54="Automático"),"35%",IF(AND(T54="Correctivo",U54="Manual"),"25%",""))))))</f>
        <v/>
      </c>
      <c r="W54" s="223"/>
      <c r="X54" s="223"/>
      <c r="Y54" s="223"/>
      <c r="Z54" s="238" t="str">
        <f>IFERROR(IF(AND(S53="Probabilidad",S54="Probabilidad"),(AB53-(+AB53*V54)),IF(S54="Probabilidad",(J53-(+J53*V54)),IF(S54="Impacto",AB53,""))),"")</f>
        <v/>
      </c>
      <c r="AA54" s="264" t="str">
        <f t="shared" si="1"/>
        <v/>
      </c>
      <c r="AB54" s="224" t="str">
        <f t="shared" ref="AB54:AB58" si="54">+Z54</f>
        <v/>
      </c>
      <c r="AC54" s="264" t="str">
        <f t="shared" si="3"/>
        <v/>
      </c>
      <c r="AD54" s="224" t="str">
        <f>IFERROR(IF(AND(S53="Impacto",S54="Impacto"),(AD53-(+AD53*V54)),IF(S54="Impacto",(O53-(+O53*V54)),IF(S54="Probabilidad",AD53,""))),"")</f>
        <v/>
      </c>
      <c r="AE54" s="226" t="str">
        <f t="shared" ref="AE54:AE55" si="55">IFERROR(IF(OR(AND(AA54="Muy Baja",AC54="Leve"),AND(AA54="Muy Baja",AC54="Menor"),AND(AA54="Baja",AC54="Leve")),"Bajo",IF(OR(AND(AA54="Muy baja",AC54="Moderado"),AND(AA54="Baja",AC54="Menor"),AND(AA54="Baja",AC54="Moderado"),AND(AA54="Media",AC54="Leve"),AND(AA54="Media",AC54="Menor"),AND(AA54="Media",AC54="Moderado"),AND(AA54="Alta",AC54="Leve"),AND(AA54="Alta",AC54="Menor")),"Moderado",IF(OR(AND(AA54="Muy Baja",AC54="Mayor"),AND(AA54="Baja",AC54="Mayor"),AND(AA54="Media",AC54="Mayor"),AND(AA54="Alta",AC54="Moderado"),AND(AA54="Alta",AC54="Mayor"),AND(AA54="Muy Alta",AC54="Leve"),AND(AA54="Muy Alta",AC54="Menor"),AND(AA54="Muy Alta",AC54="Moderado"),AND(AA54="Muy Alta",AC54="Mayor")),"Alto",IF(OR(AND(AA54="Muy Baja",AC54="Catastrófico"),AND(AA54="Baja",AC54="Catastrófico"),AND(AA54="Media",AC54="Catastrófico"),AND(AA54="Alta",AC54="Catastrófico"),AND(AA54="Muy Alta",AC54="Catastrófico")),"Extremo","")))),"")</f>
        <v/>
      </c>
      <c r="AF54" s="227"/>
    </row>
    <row r="55" spans="1:32" ht="44.25" customHeight="1" x14ac:dyDescent="0.3">
      <c r="A55" s="539"/>
      <c r="B55" s="524"/>
      <c r="C55" s="524"/>
      <c r="D55" s="551"/>
      <c r="E55" s="270"/>
      <c r="F55" s="286"/>
      <c r="G55" s="286"/>
      <c r="H55" s="527"/>
      <c r="I55" s="530"/>
      <c r="J55" s="536"/>
      <c r="K55" s="524"/>
      <c r="L55" s="533"/>
      <c r="M55" s="536">
        <f>IF(NOT(ISERROR(MATCH(L55,_xlfn.ANCHORARRAY(D65),0))),J66&amp;"Por favor no seleccionar los criterios de impacto",L55)</f>
        <v>0</v>
      </c>
      <c r="N55" s="530"/>
      <c r="O55" s="536"/>
      <c r="P55" s="530"/>
      <c r="Q55" s="192">
        <v>3</v>
      </c>
      <c r="R55" s="287"/>
      <c r="S55" s="222" t="str">
        <f>IF(OR(T55="Preventivo",T55="Detectivo"),"Probabilidad",IF(T55="Correctivo","Impacto",""))</f>
        <v/>
      </c>
      <c r="T55" s="223"/>
      <c r="U55" s="223"/>
      <c r="V55" s="235" t="str">
        <f t="shared" si="53"/>
        <v/>
      </c>
      <c r="W55" s="223"/>
      <c r="X55" s="223"/>
      <c r="Y55" s="223"/>
      <c r="Z55" s="238" t="str">
        <f>IFERROR(IF(AND(S54="Probabilidad",S55="Probabilidad"),(AB54-(+AB54*V55)),IF(AND(S54="Impacto",S55="Probabilidad"),(AB53-(+AB53*V55)),IF(S55="Impacto",AB54,""))),"")</f>
        <v/>
      </c>
      <c r="AA55" s="264" t="str">
        <f t="shared" si="1"/>
        <v/>
      </c>
      <c r="AB55" s="224" t="str">
        <f t="shared" si="54"/>
        <v/>
      </c>
      <c r="AC55" s="264" t="str">
        <f t="shared" si="3"/>
        <v/>
      </c>
      <c r="AD55" s="224" t="str">
        <f>IFERROR(IF(AND(S54="Impacto",S55="Impacto"),(AD54-(+AD54*V55)),IF(AND(S54="Probabilidad",S55="Impacto"),(AD53-(+AD53*V55)),IF(S55="Probabilidad",AD54,""))),"")</f>
        <v/>
      </c>
      <c r="AE55" s="226" t="str">
        <f t="shared" si="55"/>
        <v/>
      </c>
      <c r="AF55" s="227"/>
    </row>
    <row r="56" spans="1:32" ht="44.25" customHeight="1" x14ac:dyDescent="0.3">
      <c r="A56" s="539"/>
      <c r="B56" s="524"/>
      <c r="C56" s="524"/>
      <c r="D56" s="551"/>
      <c r="E56" s="270"/>
      <c r="F56" s="286"/>
      <c r="G56" s="286"/>
      <c r="H56" s="527"/>
      <c r="I56" s="530"/>
      <c r="J56" s="536"/>
      <c r="K56" s="524"/>
      <c r="L56" s="533"/>
      <c r="M56" s="536">
        <f>IF(NOT(ISERROR(MATCH(L56,_xlfn.ANCHORARRAY(#REF!),0))),S67&amp;"Por favor no seleccionar los criterios de impacto",L56)</f>
        <v>0</v>
      </c>
      <c r="N56" s="530"/>
      <c r="O56" s="536"/>
      <c r="P56" s="530"/>
      <c r="Q56" s="192">
        <v>4</v>
      </c>
      <c r="R56" s="286"/>
      <c r="S56" s="222" t="str">
        <f t="shared" ref="S56:S58" si="56">IF(OR(T56="Preventivo",T56="Detectivo"),"Probabilidad",IF(T56="Correctivo","Impacto",""))</f>
        <v/>
      </c>
      <c r="T56" s="223"/>
      <c r="U56" s="223"/>
      <c r="V56" s="235" t="str">
        <f t="shared" si="53"/>
        <v/>
      </c>
      <c r="W56" s="223"/>
      <c r="X56" s="223"/>
      <c r="Y56" s="223"/>
      <c r="Z56" s="238" t="str">
        <f t="shared" ref="Z56:Z58" si="57">IFERROR(IF(AND(S55="Probabilidad",S56="Probabilidad"),(AB55-(+AB55*V56)),IF(AND(S55="Impacto",S56="Probabilidad"),(AB54-(+AB54*V56)),IF(S56="Impacto",AB55,""))),"")</f>
        <v/>
      </c>
      <c r="AA56" s="264" t="str">
        <f t="shared" si="1"/>
        <v/>
      </c>
      <c r="AB56" s="224" t="str">
        <f t="shared" si="54"/>
        <v/>
      </c>
      <c r="AC56" s="264" t="str">
        <f t="shared" si="3"/>
        <v/>
      </c>
      <c r="AD56" s="224" t="str">
        <f t="shared" ref="AD56:AD58" si="58">IFERROR(IF(AND(S55="Impacto",S56="Impacto"),(AD55-(+AD55*V56)),IF(AND(S55="Probabilidad",S56="Impacto"),(AD54-(+AD54*V56)),IF(S56="Probabilidad",AD55,""))),"")</f>
        <v/>
      </c>
      <c r="AE56" s="226" t="str">
        <f>IFERROR(IF(OR(AND(AA56="Muy Baja",AC56="Leve"),AND(AA56="Muy Baja",AC56="Menor"),AND(AA56="Baja",AC56="Leve")),"Bajo",IF(OR(AND(AA56="Muy baja",AC56="Moderado"),AND(AA56="Baja",AC56="Menor"),AND(AA56="Baja",AC56="Moderado"),AND(AA56="Media",AC56="Leve"),AND(AA56="Media",AC56="Menor"),AND(AA56="Media",AC56="Moderado"),AND(AA56="Alta",AC56="Leve"),AND(AA56="Alta",AC56="Menor")),"Moderado",IF(OR(AND(AA56="Muy Baja",AC56="Mayor"),AND(AA56="Baja",AC56="Mayor"),AND(AA56="Media",AC56="Mayor"),AND(AA56="Alta",AC56="Moderado"),AND(AA56="Alta",AC56="Mayor"),AND(AA56="Muy Alta",AC56="Leve"),AND(AA56="Muy Alta",AC56="Menor"),AND(AA56="Muy Alta",AC56="Moderado"),AND(AA56="Muy Alta",AC56="Mayor")),"Alto",IF(OR(AND(AA56="Muy Baja",AC56="Catastrófico"),AND(AA56="Baja",AC56="Catastrófico"),AND(AA56="Media",AC56="Catastrófico"),AND(AA56="Alta",AC56="Catastrófico"),AND(AA56="Muy Alta",AC56="Catastrófico")),"Extremo","")))),"")</f>
        <v/>
      </c>
      <c r="AF56" s="227"/>
    </row>
    <row r="57" spans="1:32" ht="44.25" customHeight="1" x14ac:dyDescent="0.3">
      <c r="A57" s="539"/>
      <c r="B57" s="524"/>
      <c r="C57" s="524"/>
      <c r="D57" s="551"/>
      <c r="E57" s="270"/>
      <c r="F57" s="286"/>
      <c r="G57" s="286"/>
      <c r="H57" s="527"/>
      <c r="I57" s="530"/>
      <c r="J57" s="536"/>
      <c r="K57" s="524"/>
      <c r="L57" s="533"/>
      <c r="M57" s="536">
        <f>IF(NOT(ISERROR(MATCH(L57,_xlfn.ANCHORARRAY(D66),0))),S68&amp;"Por favor no seleccionar los criterios de impacto",L57)</f>
        <v>0</v>
      </c>
      <c r="N57" s="530"/>
      <c r="O57" s="536"/>
      <c r="P57" s="530"/>
      <c r="Q57" s="192">
        <v>5</v>
      </c>
      <c r="R57" s="286"/>
      <c r="S57" s="222" t="str">
        <f t="shared" si="56"/>
        <v/>
      </c>
      <c r="T57" s="223"/>
      <c r="U57" s="223"/>
      <c r="V57" s="235" t="str">
        <f t="shared" si="53"/>
        <v/>
      </c>
      <c r="W57" s="223"/>
      <c r="X57" s="223"/>
      <c r="Y57" s="223"/>
      <c r="Z57" s="238" t="str">
        <f t="shared" si="57"/>
        <v/>
      </c>
      <c r="AA57" s="264" t="str">
        <f t="shared" si="1"/>
        <v/>
      </c>
      <c r="AB57" s="224" t="str">
        <f t="shared" si="54"/>
        <v/>
      </c>
      <c r="AC57" s="264" t="str">
        <f t="shared" si="3"/>
        <v/>
      </c>
      <c r="AD57" s="224" t="str">
        <f t="shared" si="58"/>
        <v/>
      </c>
      <c r="AE57" s="226" t="str">
        <f t="shared" ref="AE57:AE58" si="59">IFERROR(IF(OR(AND(AA57="Muy Baja",AC57="Leve"),AND(AA57="Muy Baja",AC57="Menor"),AND(AA57="Baja",AC57="Leve")),"Bajo",IF(OR(AND(AA57="Muy baja",AC57="Moderado"),AND(AA57="Baja",AC57="Menor"),AND(AA57="Baja",AC57="Moderado"),AND(AA57="Media",AC57="Leve"),AND(AA57="Media",AC57="Menor"),AND(AA57="Media",AC57="Moderado"),AND(AA57="Alta",AC57="Leve"),AND(AA57="Alta",AC57="Menor")),"Moderado",IF(OR(AND(AA57="Muy Baja",AC57="Mayor"),AND(AA57="Baja",AC57="Mayor"),AND(AA57="Media",AC57="Mayor"),AND(AA57="Alta",AC57="Moderado"),AND(AA57="Alta",AC57="Mayor"),AND(AA57="Muy Alta",AC57="Leve"),AND(AA57="Muy Alta",AC57="Menor"),AND(AA57="Muy Alta",AC57="Moderado"),AND(AA57="Muy Alta",AC57="Mayor")),"Alto",IF(OR(AND(AA57="Muy Baja",AC57="Catastrófico"),AND(AA57="Baja",AC57="Catastrófico"),AND(AA57="Media",AC57="Catastrófico"),AND(AA57="Alta",AC57="Catastrófico"),AND(AA57="Muy Alta",AC57="Catastrófico")),"Extremo","")))),"")</f>
        <v/>
      </c>
      <c r="AF57" s="227"/>
    </row>
    <row r="58" spans="1:32" ht="44.25" customHeight="1" thickBot="1" x14ac:dyDescent="0.35">
      <c r="A58" s="540"/>
      <c r="B58" s="525"/>
      <c r="C58" s="525"/>
      <c r="D58" s="552"/>
      <c r="E58" s="271"/>
      <c r="F58" s="289"/>
      <c r="G58" s="289"/>
      <c r="H58" s="528"/>
      <c r="I58" s="531"/>
      <c r="J58" s="537"/>
      <c r="K58" s="525"/>
      <c r="L58" s="534"/>
      <c r="M58" s="537">
        <f>IF(NOT(ISERROR(MATCH(L58,_xlfn.ANCHORARRAY(D67),0))),J69&amp;"Por favor no seleccionar los criterios de impacto",L58)</f>
        <v>0</v>
      </c>
      <c r="N58" s="531"/>
      <c r="O58" s="537"/>
      <c r="P58" s="531"/>
      <c r="Q58" s="193">
        <v>6</v>
      </c>
      <c r="R58" s="289"/>
      <c r="S58" s="228" t="str">
        <f t="shared" si="56"/>
        <v/>
      </c>
      <c r="T58" s="229"/>
      <c r="U58" s="229"/>
      <c r="V58" s="236" t="str">
        <f t="shared" si="53"/>
        <v/>
      </c>
      <c r="W58" s="229"/>
      <c r="X58" s="229"/>
      <c r="Y58" s="229"/>
      <c r="Z58" s="239" t="str">
        <f t="shared" si="57"/>
        <v/>
      </c>
      <c r="AA58" s="265" t="str">
        <f t="shared" si="1"/>
        <v/>
      </c>
      <c r="AB58" s="230" t="str">
        <f t="shared" si="54"/>
        <v/>
      </c>
      <c r="AC58" s="265" t="str">
        <f t="shared" si="3"/>
        <v/>
      </c>
      <c r="AD58" s="230" t="str">
        <f t="shared" si="58"/>
        <v/>
      </c>
      <c r="AE58" s="232" t="str">
        <f t="shared" si="59"/>
        <v/>
      </c>
      <c r="AF58" s="233"/>
    </row>
    <row r="59" spans="1:32" ht="44.25" customHeight="1" x14ac:dyDescent="0.3">
      <c r="A59" s="538">
        <v>10</v>
      </c>
      <c r="B59" s="523"/>
      <c r="C59" s="523"/>
      <c r="D59" s="550"/>
      <c r="E59" s="269"/>
      <c r="F59" s="288"/>
      <c r="G59" s="288"/>
      <c r="H59" s="526"/>
      <c r="I59" s="529" t="str">
        <f>IF(H59&lt;=0,"",IF(H59&lt;=2,"Muy Baja",IF(H59&lt;=24,"Baja",IF(H59&lt;=500,"Media",IF(H59&lt;=5000,"Alta","Muy Alta")))))</f>
        <v/>
      </c>
      <c r="J59" s="535" t="str">
        <f>IF(I59="","",IF(I59="Muy Baja",0.2,IF(I59="Baja",0.4,IF(I59="Media",0.6,IF(I59="Alta",0.8,IF(I59="Muy Alta",1,))))))</f>
        <v/>
      </c>
      <c r="K59" s="523"/>
      <c r="L59" s="532"/>
      <c r="M59" s="266">
        <f>IF(NOT(ISERROR(MATCH(L59,'Tabla Impacto'!$B$221:$B$223,0))),'Tabla Impacto'!$F$223&amp;"Por favor no seleccionar los criterios de impacto(Afectación Económica o presupuestal y Pérdida Reputacional)",L59)</f>
        <v>0</v>
      </c>
      <c r="N59" s="529" t="str">
        <f>IF(OR(M59='Tabla Impacto'!$C$11,M59='Tabla Impacto'!$D$11),"Leve",IF(OR(M59='Tabla Impacto'!$C$12,M59='Tabla Impacto'!$D$12),"Menor",IF(OR(M59='Tabla Impacto'!$C$13,M59='Tabla Impacto'!$D$13),"Moderado",IF(OR(M59='Tabla Impacto'!$C$14,M59='Tabla Impacto'!$D$14),"Mayor",IF(OR(M59='Tabla Impacto'!$C$15,M59='Tabla Impacto'!$D$15),"Catastrófico","")))))</f>
        <v/>
      </c>
      <c r="O59" s="535" t="str">
        <f>IF(N59="","",IF(N59="Leve",0.2,IF(N59="Menor",0.4,IF(N59="Moderado",0.6,IF(N59="Mayor",0.8,IF(N59="Catastrófico",1,))))))</f>
        <v/>
      </c>
      <c r="P59" s="529" t="str">
        <f>IF(OR(AND(I59="Muy Baja",N59="Leve"),AND(I59="Muy Baja",N59="Menor"),AND(I59="Baja",N59="Leve")),"Bajo",IF(OR(AND(I59="Muy baja",N59="Moderado"),AND(I59="Baja",N59="Menor"),AND(I59="Baja",N59="Moderado"),AND(I59="Media",N59="Leve"),AND(I59="Media",N59="Menor"),AND(I59="Media",N59="Moderado"),AND(I59="Alta",N59="Leve"),AND(I59="Alta",N59="Menor")),"Moderado",IF(OR(AND(I59="Muy Baja",N59="Mayor"),AND(I59="Baja",N59="Mayor"),AND(I59="Media",N59="Mayor"),AND(I59="Alta",N59="Moderado"),AND(I59="Alta",N59="Mayor"),AND(I59="Muy Alta",N59="Leve"),AND(I59="Muy Alta",N59="Menor"),AND(I59="Muy Alta",N59="Moderado"),AND(I59="Muy Alta",N59="Mayor")),"Alto",IF(OR(AND(I59="Muy Baja",N59="Catastrófico"),AND(I59="Baja",N59="Catastrófico"),AND(I59="Media",N59="Catastrófico"),AND(I59="Alta",N59="Catastrófico"),AND(I59="Muy Alta",N59="Catastrófico")),"Extremo",""))))</f>
        <v/>
      </c>
      <c r="Q59" s="191">
        <v>1</v>
      </c>
      <c r="R59" s="288"/>
      <c r="S59" s="216" t="str">
        <f>IF(OR(T59="Preventivo",T59="Detectivo"),"Probabilidad",IF(T59="Correctivo","Impacto",""))</f>
        <v/>
      </c>
      <c r="T59" s="217"/>
      <c r="U59" s="217"/>
      <c r="V59" s="234" t="str">
        <f>IF(AND(T59="Preventivo",U59="Automático"),"50%",IF(AND(T59="Preventivo",U59="Manual"),"40%",IF(AND(T59="Detectivo",U59="Automático"),"40%",IF(AND(T59="Detectivo",U59="Manual"),"30%",IF(AND(T59="Correctivo",U59="Automático"),"35%",IF(AND(T59="Correctivo",U59="Manual"),"25%",""))))))</f>
        <v/>
      </c>
      <c r="W59" s="217"/>
      <c r="X59" s="217"/>
      <c r="Y59" s="217"/>
      <c r="Z59" s="237" t="str">
        <f>IFERROR(IF(S59="Probabilidad",(J59-(+J59*V59)),IF(S59="Impacto",J59,"")),"")</f>
        <v/>
      </c>
      <c r="AA59" s="263" t="str">
        <f>IFERROR(IF(Z59="","",IF(Z59&lt;=0.2,"Muy Baja",IF(Z59&lt;=0.4,"Baja",IF(Z59&lt;=0.6,"Media",IF(Z59&lt;=0.8,"Alta","Muy Alta"))))),"")</f>
        <v/>
      </c>
      <c r="AB59" s="218" t="str">
        <f>+Z59</f>
        <v/>
      </c>
      <c r="AC59" s="263" t="str">
        <f>IFERROR(IF(AD59="","",IF(AD59&lt;=0.2,"Leve",IF(AD59&lt;=0.4,"Menor",IF(AD59&lt;=0.6,"Moderado",IF(AD59&lt;=0.8,"Mayor","Catastrófico"))))),"")</f>
        <v/>
      </c>
      <c r="AD59" s="218" t="str">
        <f>IFERROR(IF(S59="Impacto",(O59-(+O59*V59)),IF(S59="Probabilidad",O59,"")),"")</f>
        <v/>
      </c>
      <c r="AE59" s="220" t="str">
        <f>IFERROR(IF(OR(AND(AA59="Muy Baja",AC59="Leve"),AND(AA59="Muy Baja",AC59="Menor"),AND(AA59="Baja",AC59="Leve")),"Bajo",IF(OR(AND(AA59="Muy baja",AC59="Moderado"),AND(AA59="Baja",AC59="Menor"),AND(AA59="Baja",AC59="Moderado"),AND(AA59="Media",AC59="Leve"),AND(AA59="Media",AC59="Menor"),AND(AA59="Media",AC59="Moderado"),AND(AA59="Alta",AC59="Leve"),AND(AA59="Alta",AC59="Menor")),"Moderado",IF(OR(AND(AA59="Muy Baja",AC59="Mayor"),AND(AA59="Baja",AC59="Mayor"),AND(AA59="Media",AC59="Mayor"),AND(AA59="Alta",AC59="Moderado"),AND(AA59="Alta",AC59="Mayor"),AND(AA59="Muy Alta",AC59="Leve"),AND(AA59="Muy Alta",AC59="Menor"),AND(AA59="Muy Alta",AC59="Moderado"),AND(AA59="Muy Alta",AC59="Mayor")),"Alto",IF(OR(AND(AA59="Muy Baja",AC59="Catastrófico"),AND(AA59="Baja",AC59="Catastrófico"),AND(AA59="Media",AC59="Catastrófico"),AND(AA59="Alta",AC59="Catastrófico"),AND(AA59="Muy Alta",AC59="Catastrófico")),"Extremo","")))),"")</f>
        <v/>
      </c>
      <c r="AF59" s="221"/>
    </row>
    <row r="60" spans="1:32" ht="44.25" customHeight="1" x14ac:dyDescent="0.3">
      <c r="A60" s="539"/>
      <c r="B60" s="524"/>
      <c r="C60" s="524"/>
      <c r="D60" s="551"/>
      <c r="E60" s="270"/>
      <c r="F60" s="286"/>
      <c r="G60" s="286"/>
      <c r="H60" s="527"/>
      <c r="I60" s="530"/>
      <c r="J60" s="536"/>
      <c r="K60" s="524"/>
      <c r="L60" s="533"/>
      <c r="M60" s="267">
        <f>IF(NOT(ISERROR(MATCH(L60,_xlfn.ANCHORARRAY(D69),0))),J71&amp;"Por favor no seleccionar los criterios de impacto",L60)</f>
        <v>0</v>
      </c>
      <c r="N60" s="530"/>
      <c r="O60" s="536"/>
      <c r="P60" s="530"/>
      <c r="Q60" s="192">
        <v>2</v>
      </c>
      <c r="R60" s="286"/>
      <c r="S60" s="222" t="str">
        <f>IF(OR(T60="Preventivo",T60="Detectivo"),"Probabilidad",IF(T60="Correctivo","Impacto",""))</f>
        <v/>
      </c>
      <c r="T60" s="223"/>
      <c r="U60" s="223"/>
      <c r="V60" s="235" t="str">
        <f t="shared" ref="V60:V64" si="60">IF(AND(T60="Preventivo",U60="Automático"),"50%",IF(AND(T60="Preventivo",U60="Manual"),"40%",IF(AND(T60="Detectivo",U60="Automático"),"40%",IF(AND(T60="Detectivo",U60="Manual"),"30%",IF(AND(T60="Correctivo",U60="Automático"),"35%",IF(AND(T60="Correctivo",U60="Manual"),"25%",""))))))</f>
        <v/>
      </c>
      <c r="W60" s="223"/>
      <c r="X60" s="223"/>
      <c r="Y60" s="223"/>
      <c r="Z60" s="238" t="str">
        <f>IFERROR(IF(AND(S59="Probabilidad",S60="Probabilidad"),(AB59-(+AB59*V60)),IF(S60="Probabilidad",(J59-(+J59*V60)),IF(S60="Impacto",AB59,""))),"")</f>
        <v/>
      </c>
      <c r="AA60" s="264" t="str">
        <f t="shared" si="1"/>
        <v/>
      </c>
      <c r="AB60" s="224" t="str">
        <f t="shared" ref="AB60:AB64" si="61">+Z60</f>
        <v/>
      </c>
      <c r="AC60" s="264" t="str">
        <f t="shared" si="3"/>
        <v/>
      </c>
      <c r="AD60" s="224" t="str">
        <f>IFERROR(IF(AND(S59="Impacto",S60="Impacto"),(AD59-(+AD59*V60)),IF(S60="Impacto",(O59-(+O59*V60)),IF(S60="Probabilidad",AD59,""))),"")</f>
        <v/>
      </c>
      <c r="AE60" s="226" t="str">
        <f t="shared" ref="AE60:AE61" si="62">IFERROR(IF(OR(AND(AA60="Muy Baja",AC60="Leve"),AND(AA60="Muy Baja",AC60="Menor"),AND(AA60="Baja",AC60="Leve")),"Bajo",IF(OR(AND(AA60="Muy baja",AC60="Moderado"),AND(AA60="Baja",AC60="Menor"),AND(AA60="Baja",AC60="Moderado"),AND(AA60="Media",AC60="Leve"),AND(AA60="Media",AC60="Menor"),AND(AA60="Media",AC60="Moderado"),AND(AA60="Alta",AC60="Leve"),AND(AA60="Alta",AC60="Menor")),"Moderado",IF(OR(AND(AA60="Muy Baja",AC60="Mayor"),AND(AA60="Baja",AC60="Mayor"),AND(AA60="Media",AC60="Mayor"),AND(AA60="Alta",AC60="Moderado"),AND(AA60="Alta",AC60="Mayor"),AND(AA60="Muy Alta",AC60="Leve"),AND(AA60="Muy Alta",AC60="Menor"),AND(AA60="Muy Alta",AC60="Moderado"),AND(AA60="Muy Alta",AC60="Mayor")),"Alto",IF(OR(AND(AA60="Muy Baja",AC60="Catastrófico"),AND(AA60="Baja",AC60="Catastrófico"),AND(AA60="Media",AC60="Catastrófico"),AND(AA60="Alta",AC60="Catastrófico"),AND(AA60="Muy Alta",AC60="Catastrófico")),"Extremo","")))),"")</f>
        <v/>
      </c>
      <c r="AF60" s="227"/>
    </row>
    <row r="61" spans="1:32" ht="44.25" customHeight="1" x14ac:dyDescent="0.3">
      <c r="A61" s="539"/>
      <c r="B61" s="524"/>
      <c r="C61" s="524"/>
      <c r="D61" s="551"/>
      <c r="E61" s="270"/>
      <c r="F61" s="286"/>
      <c r="G61" s="286"/>
      <c r="H61" s="527"/>
      <c r="I61" s="530"/>
      <c r="J61" s="536"/>
      <c r="K61" s="524"/>
      <c r="L61" s="533"/>
      <c r="M61" s="267">
        <f>IF(NOT(ISERROR(MATCH(L61,_xlfn.ANCHORARRAY(D70),0))),J72&amp;"Por favor no seleccionar los criterios de impacto",L61)</f>
        <v>0</v>
      </c>
      <c r="N61" s="530"/>
      <c r="O61" s="536"/>
      <c r="P61" s="530"/>
      <c r="Q61" s="192">
        <v>3</v>
      </c>
      <c r="R61" s="287"/>
      <c r="S61" s="222" t="str">
        <f>IF(OR(T61="Preventivo",T61="Detectivo"),"Probabilidad",IF(T61="Correctivo","Impacto",""))</f>
        <v/>
      </c>
      <c r="T61" s="223"/>
      <c r="U61" s="223"/>
      <c r="V61" s="235" t="str">
        <f t="shared" si="60"/>
        <v/>
      </c>
      <c r="W61" s="223"/>
      <c r="X61" s="223"/>
      <c r="Y61" s="223"/>
      <c r="Z61" s="238" t="str">
        <f>IFERROR(IF(AND(S60="Probabilidad",S61="Probabilidad"),(AB60-(+AB60*V61)),IF(AND(S60="Impacto",S61="Probabilidad"),(AB59-(+AB59*V61)),IF(S61="Impacto",AB60,""))),"")</f>
        <v/>
      </c>
      <c r="AA61" s="264" t="str">
        <f t="shared" si="1"/>
        <v/>
      </c>
      <c r="AB61" s="224" t="str">
        <f t="shared" si="61"/>
        <v/>
      </c>
      <c r="AC61" s="264" t="str">
        <f t="shared" si="3"/>
        <v/>
      </c>
      <c r="AD61" s="224" t="str">
        <f>IFERROR(IF(AND(S60="Impacto",S61="Impacto"),(AD60-(+AD60*V61)),IF(AND(S60="Probabilidad",S61="Impacto"),(AD59-(+AD59*V61)),IF(S61="Probabilidad",AD60,""))),"")</f>
        <v/>
      </c>
      <c r="AE61" s="226" t="str">
        <f t="shared" si="62"/>
        <v/>
      </c>
      <c r="AF61" s="227"/>
    </row>
    <row r="62" spans="1:32" ht="44.25" customHeight="1" x14ac:dyDescent="0.3">
      <c r="A62" s="539"/>
      <c r="B62" s="524"/>
      <c r="C62" s="524"/>
      <c r="D62" s="551"/>
      <c r="E62" s="270"/>
      <c r="F62" s="286"/>
      <c r="G62" s="286"/>
      <c r="H62" s="527"/>
      <c r="I62" s="530"/>
      <c r="J62" s="536"/>
      <c r="K62" s="524"/>
      <c r="L62" s="533"/>
      <c r="M62" s="267">
        <f>IF(NOT(ISERROR(MATCH(L62,_xlfn.ANCHORARRAY(D71),0))),J73&amp;"Por favor no seleccionar los criterios de impacto",L62)</f>
        <v>0</v>
      </c>
      <c r="N62" s="530"/>
      <c r="O62" s="536"/>
      <c r="P62" s="530"/>
      <c r="Q62" s="192">
        <v>4</v>
      </c>
      <c r="R62" s="286"/>
      <c r="S62" s="222" t="str">
        <f t="shared" ref="S62:S64" si="63">IF(OR(T62="Preventivo",T62="Detectivo"),"Probabilidad",IF(T62="Correctivo","Impacto",""))</f>
        <v/>
      </c>
      <c r="T62" s="223"/>
      <c r="U62" s="223"/>
      <c r="V62" s="235" t="str">
        <f t="shared" si="60"/>
        <v/>
      </c>
      <c r="W62" s="223"/>
      <c r="X62" s="223"/>
      <c r="Y62" s="223"/>
      <c r="Z62" s="238" t="str">
        <f t="shared" ref="Z62:Z64" si="64">IFERROR(IF(AND(S61="Probabilidad",S62="Probabilidad"),(AB61-(+AB61*V62)),IF(AND(S61="Impacto",S62="Probabilidad"),(AB60-(+AB60*V62)),IF(S62="Impacto",AB61,""))),"")</f>
        <v/>
      </c>
      <c r="AA62" s="264" t="str">
        <f t="shared" si="1"/>
        <v/>
      </c>
      <c r="AB62" s="224" t="str">
        <f t="shared" si="61"/>
        <v/>
      </c>
      <c r="AC62" s="264" t="str">
        <f t="shared" si="3"/>
        <v/>
      </c>
      <c r="AD62" s="224" t="str">
        <f t="shared" ref="AD62:AD64" si="65">IFERROR(IF(AND(S61="Impacto",S62="Impacto"),(AD61-(+AD61*V62)),IF(AND(S61="Probabilidad",S62="Impacto"),(AD60-(+AD60*V62)),IF(S62="Probabilidad",AD61,""))),"")</f>
        <v/>
      </c>
      <c r="AE62" s="226" t="str">
        <f>IFERROR(IF(OR(AND(AA62="Muy Baja",AC62="Leve"),AND(AA62="Muy Baja",AC62="Menor"),AND(AA62="Baja",AC62="Leve")),"Bajo",IF(OR(AND(AA62="Muy baja",AC62="Moderado"),AND(AA62="Baja",AC62="Menor"),AND(AA62="Baja",AC62="Moderado"),AND(AA62="Media",AC62="Leve"),AND(AA62="Media",AC62="Menor"),AND(AA62="Media",AC62="Moderado"),AND(AA62="Alta",AC62="Leve"),AND(AA62="Alta",AC62="Menor")),"Moderado",IF(OR(AND(AA62="Muy Baja",AC62="Mayor"),AND(AA62="Baja",AC62="Mayor"),AND(AA62="Media",AC62="Mayor"),AND(AA62="Alta",AC62="Moderado"),AND(AA62="Alta",AC62="Mayor"),AND(AA62="Muy Alta",AC62="Leve"),AND(AA62="Muy Alta",AC62="Menor"),AND(AA62="Muy Alta",AC62="Moderado"),AND(AA62="Muy Alta",AC62="Mayor")),"Alto",IF(OR(AND(AA62="Muy Baja",AC62="Catastrófico"),AND(AA62="Baja",AC62="Catastrófico"),AND(AA62="Media",AC62="Catastrófico"),AND(AA62="Alta",AC62="Catastrófico"),AND(AA62="Muy Alta",AC62="Catastrófico")),"Extremo","")))),"")</f>
        <v/>
      </c>
      <c r="AF62" s="227"/>
    </row>
    <row r="63" spans="1:32" ht="44.25" customHeight="1" x14ac:dyDescent="0.3">
      <c r="A63" s="539"/>
      <c r="B63" s="524"/>
      <c r="C63" s="524"/>
      <c r="D63" s="551"/>
      <c r="E63" s="270"/>
      <c r="F63" s="286"/>
      <c r="G63" s="286"/>
      <c r="H63" s="527"/>
      <c r="I63" s="530"/>
      <c r="J63" s="536"/>
      <c r="K63" s="524"/>
      <c r="L63" s="533"/>
      <c r="M63" s="267">
        <f>IF(NOT(ISERROR(MATCH(L63,_xlfn.ANCHORARRAY(D72),0))),J74&amp;"Por favor no seleccionar los criterios de impacto",L63)</f>
        <v>0</v>
      </c>
      <c r="N63" s="530"/>
      <c r="O63" s="536"/>
      <c r="P63" s="530"/>
      <c r="Q63" s="192">
        <v>5</v>
      </c>
      <c r="R63" s="286"/>
      <c r="S63" s="222" t="str">
        <f t="shared" si="63"/>
        <v/>
      </c>
      <c r="T63" s="223"/>
      <c r="U63" s="223"/>
      <c r="V63" s="235" t="str">
        <f t="shared" si="60"/>
        <v/>
      </c>
      <c r="W63" s="223"/>
      <c r="X63" s="223"/>
      <c r="Y63" s="223"/>
      <c r="Z63" s="238" t="str">
        <f t="shared" si="64"/>
        <v/>
      </c>
      <c r="AA63" s="264" t="str">
        <f t="shared" si="1"/>
        <v/>
      </c>
      <c r="AB63" s="224" t="str">
        <f t="shared" si="61"/>
        <v/>
      </c>
      <c r="AC63" s="264" t="str">
        <f t="shared" si="3"/>
        <v/>
      </c>
      <c r="AD63" s="224" t="str">
        <f t="shared" si="65"/>
        <v/>
      </c>
      <c r="AE63" s="226" t="str">
        <f t="shared" ref="AE63:AE64" si="66">IFERROR(IF(OR(AND(AA63="Muy Baja",AC63="Leve"),AND(AA63="Muy Baja",AC63="Menor"),AND(AA63="Baja",AC63="Leve")),"Bajo",IF(OR(AND(AA63="Muy baja",AC63="Moderado"),AND(AA63="Baja",AC63="Menor"),AND(AA63="Baja",AC63="Moderado"),AND(AA63="Media",AC63="Leve"),AND(AA63="Media",AC63="Menor"),AND(AA63="Media",AC63="Moderado"),AND(AA63="Alta",AC63="Leve"),AND(AA63="Alta",AC63="Menor")),"Moderado",IF(OR(AND(AA63="Muy Baja",AC63="Mayor"),AND(AA63="Baja",AC63="Mayor"),AND(AA63="Media",AC63="Mayor"),AND(AA63="Alta",AC63="Moderado"),AND(AA63="Alta",AC63="Mayor"),AND(AA63="Muy Alta",AC63="Leve"),AND(AA63="Muy Alta",AC63="Menor"),AND(AA63="Muy Alta",AC63="Moderado"),AND(AA63="Muy Alta",AC63="Mayor")),"Alto",IF(OR(AND(AA63="Muy Baja",AC63="Catastrófico"),AND(AA63="Baja",AC63="Catastrófico"),AND(AA63="Media",AC63="Catastrófico"),AND(AA63="Alta",AC63="Catastrófico"),AND(AA63="Muy Alta",AC63="Catastrófico")),"Extremo","")))),"")</f>
        <v/>
      </c>
      <c r="AF63" s="227"/>
    </row>
    <row r="64" spans="1:32" ht="44.25" customHeight="1" thickBot="1" x14ac:dyDescent="0.35">
      <c r="A64" s="540"/>
      <c r="B64" s="525"/>
      <c r="C64" s="525"/>
      <c r="D64" s="552"/>
      <c r="E64" s="271"/>
      <c r="F64" s="289"/>
      <c r="G64" s="289"/>
      <c r="H64" s="528"/>
      <c r="I64" s="531"/>
      <c r="J64" s="537"/>
      <c r="K64" s="525"/>
      <c r="L64" s="534"/>
      <c r="M64" s="268">
        <f>IF(NOT(ISERROR(MATCH(L64,_xlfn.ANCHORARRAY(D73),0))),J75&amp;"Por favor no seleccionar los criterios de impacto",L64)</f>
        <v>0</v>
      </c>
      <c r="N64" s="531"/>
      <c r="O64" s="537"/>
      <c r="P64" s="531"/>
      <c r="Q64" s="193">
        <v>6</v>
      </c>
      <c r="R64" s="289"/>
      <c r="S64" s="228" t="str">
        <f t="shared" si="63"/>
        <v/>
      </c>
      <c r="T64" s="229"/>
      <c r="U64" s="229"/>
      <c r="V64" s="236" t="str">
        <f t="shared" si="60"/>
        <v/>
      </c>
      <c r="W64" s="229"/>
      <c r="X64" s="229"/>
      <c r="Y64" s="229"/>
      <c r="Z64" s="239" t="str">
        <f t="shared" si="64"/>
        <v/>
      </c>
      <c r="AA64" s="265" t="str">
        <f t="shared" si="1"/>
        <v/>
      </c>
      <c r="AB64" s="230" t="str">
        <f t="shared" si="61"/>
        <v/>
      </c>
      <c r="AC64" s="265" t="str">
        <f t="shared" si="3"/>
        <v/>
      </c>
      <c r="AD64" s="230" t="str">
        <f t="shared" si="65"/>
        <v/>
      </c>
      <c r="AE64" s="232" t="str">
        <f t="shared" si="66"/>
        <v/>
      </c>
      <c r="AF64" s="233"/>
    </row>
    <row r="65" spans="1:32" x14ac:dyDescent="0.3">
      <c r="A65" s="197"/>
      <c r="B65" s="197"/>
      <c r="C65" s="197"/>
      <c r="D65" s="4"/>
      <c r="E65" s="4"/>
      <c r="F65" s="198"/>
      <c r="G65" s="198"/>
      <c r="H65" s="4"/>
      <c r="I65" s="4"/>
      <c r="J65" s="4"/>
      <c r="K65" s="4"/>
      <c r="L65" s="4"/>
      <c r="M65" s="4"/>
      <c r="N65" s="4"/>
      <c r="O65" s="4"/>
      <c r="P65" s="4"/>
      <c r="Q65" s="4"/>
      <c r="R65" s="4"/>
      <c r="S65" s="4"/>
      <c r="T65" s="4"/>
      <c r="U65" s="4"/>
      <c r="V65" s="4"/>
      <c r="W65" s="4"/>
      <c r="X65" s="4"/>
      <c r="Y65" s="4"/>
      <c r="Z65" s="4"/>
      <c r="AA65" s="4"/>
      <c r="AB65" s="4"/>
      <c r="AC65" s="4"/>
      <c r="AD65" s="4"/>
      <c r="AE65" s="4"/>
      <c r="AF65" s="4"/>
    </row>
    <row r="66" spans="1:32" customFormat="1" ht="15"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row>
    <row r="67" spans="1:32" s="5" customFormat="1" ht="24.75" customHeight="1" x14ac:dyDescent="0.2">
      <c r="A67" s="481" t="s">
        <v>217</v>
      </c>
      <c r="B67" s="481"/>
      <c r="C67" s="489" t="s">
        <v>185</v>
      </c>
      <c r="D67" s="489"/>
      <c r="E67" s="489"/>
      <c r="F67" s="489"/>
      <c r="G67" s="481" t="s">
        <v>218</v>
      </c>
      <c r="H67" s="483" t="s">
        <v>315</v>
      </c>
      <c r="I67" s="484"/>
      <c r="J67" s="484"/>
      <c r="K67" s="484"/>
      <c r="L67" s="484"/>
      <c r="M67" s="484"/>
      <c r="N67" s="484"/>
      <c r="O67" s="484"/>
      <c r="P67" s="484"/>
      <c r="Q67" s="485"/>
      <c r="R67" s="196" t="s">
        <v>220</v>
      </c>
      <c r="S67" s="195"/>
      <c r="T67" s="482" t="s">
        <v>221</v>
      </c>
      <c r="U67" s="482"/>
      <c r="V67" s="482"/>
      <c r="W67" s="482"/>
      <c r="X67" s="482"/>
      <c r="Y67" s="482"/>
      <c r="Z67" s="482"/>
      <c r="AA67" s="482"/>
      <c r="AB67" s="482"/>
      <c r="AC67" s="482"/>
      <c r="AD67" s="482"/>
      <c r="AE67" s="482"/>
      <c r="AF67" s="482"/>
    </row>
    <row r="68" spans="1:32" s="5" customFormat="1" ht="24.75" customHeight="1" x14ac:dyDescent="0.2">
      <c r="A68" s="481"/>
      <c r="B68" s="481"/>
      <c r="C68" s="489"/>
      <c r="D68" s="489"/>
      <c r="E68" s="489"/>
      <c r="F68" s="489"/>
      <c r="G68" s="481"/>
      <c r="H68" s="486"/>
      <c r="I68" s="487"/>
      <c r="J68" s="487"/>
      <c r="K68" s="487"/>
      <c r="L68" s="487"/>
      <c r="M68" s="487"/>
      <c r="N68" s="487"/>
      <c r="O68" s="487"/>
      <c r="P68" s="487"/>
      <c r="Q68" s="488"/>
      <c r="R68" s="196" t="s">
        <v>316</v>
      </c>
      <c r="S68" s="195"/>
      <c r="T68" s="482" t="s">
        <v>223</v>
      </c>
      <c r="U68" s="482"/>
      <c r="V68" s="482"/>
      <c r="W68" s="482"/>
      <c r="X68" s="482"/>
      <c r="Y68" s="482"/>
      <c r="Z68" s="482"/>
      <c r="AA68" s="482"/>
      <c r="AB68" s="482"/>
      <c r="AC68" s="482"/>
      <c r="AD68" s="482"/>
      <c r="AE68" s="482"/>
      <c r="AF68" s="482"/>
    </row>
    <row r="69" spans="1:32" customFormat="1" ht="15" x14ac:dyDescent="0.25"/>
  </sheetData>
  <dataConsolidate/>
  <mergeCells count="168">
    <mergeCell ref="AF17:AF22"/>
    <mergeCell ref="AF23:AF28"/>
    <mergeCell ref="AF29:AF34"/>
    <mergeCell ref="AF35:AF40"/>
    <mergeCell ref="AF41:AF46"/>
    <mergeCell ref="A5:C5"/>
    <mergeCell ref="B53:B58"/>
    <mergeCell ref="A29:A34"/>
    <mergeCell ref="P35:P40"/>
    <mergeCell ref="A41:A46"/>
    <mergeCell ref="P41:P46"/>
    <mergeCell ref="A35:A40"/>
    <mergeCell ref="H35:H40"/>
    <mergeCell ref="I35:I40"/>
    <mergeCell ref="J35:J40"/>
    <mergeCell ref="H41:H46"/>
    <mergeCell ref="I41:I46"/>
    <mergeCell ref="J41:J46"/>
    <mergeCell ref="K29:K34"/>
    <mergeCell ref="D29:D34"/>
    <mergeCell ref="P29:P34"/>
    <mergeCell ref="H29:H34"/>
    <mergeCell ref="B10:B16"/>
    <mergeCell ref="B23:B28"/>
    <mergeCell ref="B29:B34"/>
    <mergeCell ref="B35:B40"/>
    <mergeCell ref="C35:C40"/>
    <mergeCell ref="B41:B46"/>
    <mergeCell ref="C29:C34"/>
    <mergeCell ref="A59:A64"/>
    <mergeCell ref="A47:A52"/>
    <mergeCell ref="B59:B64"/>
    <mergeCell ref="A23:A28"/>
    <mergeCell ref="A6:AF6"/>
    <mergeCell ref="D59:D64"/>
    <mergeCell ref="C59:C64"/>
    <mergeCell ref="H59:H64"/>
    <mergeCell ref="I59:I64"/>
    <mergeCell ref="H53:H58"/>
    <mergeCell ref="I53:I58"/>
    <mergeCell ref="J53:J58"/>
    <mergeCell ref="A53:A58"/>
    <mergeCell ref="K53:K58"/>
    <mergeCell ref="P47:P52"/>
    <mergeCell ref="J59:J64"/>
    <mergeCell ref="L59:L64"/>
    <mergeCell ref="N59:N64"/>
    <mergeCell ref="O59:O64"/>
    <mergeCell ref="P59:P64"/>
    <mergeCell ref="O53:O58"/>
    <mergeCell ref="P53:P58"/>
    <mergeCell ref="L53:L58"/>
    <mergeCell ref="M53:M58"/>
    <mergeCell ref="N53:N58"/>
    <mergeCell ref="K47:K52"/>
    <mergeCell ref="K59:K64"/>
    <mergeCell ref="B47:B52"/>
    <mergeCell ref="J47:J52"/>
    <mergeCell ref="L35:L40"/>
    <mergeCell ref="N35:N40"/>
    <mergeCell ref="O35:O40"/>
    <mergeCell ref="D53:D58"/>
    <mergeCell ref="C53:C58"/>
    <mergeCell ref="L47:L52"/>
    <mergeCell ref="N47:N52"/>
    <mergeCell ref="O47:O52"/>
    <mergeCell ref="D47:D52"/>
    <mergeCell ref="C47:C52"/>
    <mergeCell ref="H47:H52"/>
    <mergeCell ref="I47:I52"/>
    <mergeCell ref="K41:K46"/>
    <mergeCell ref="D41:D46"/>
    <mergeCell ref="C41:C46"/>
    <mergeCell ref="O41:O46"/>
    <mergeCell ref="L41:L46"/>
    <mergeCell ref="N41:N46"/>
    <mergeCell ref="K35:K40"/>
    <mergeCell ref="D35:D40"/>
    <mergeCell ref="I29:I34"/>
    <mergeCell ref="J29:J34"/>
    <mergeCell ref="L29:L34"/>
    <mergeCell ref="N29:N34"/>
    <mergeCell ref="O29:O34"/>
    <mergeCell ref="I23:I28"/>
    <mergeCell ref="J23:J28"/>
    <mergeCell ref="O17:O22"/>
    <mergeCell ref="P17:P22"/>
    <mergeCell ref="L23:L28"/>
    <mergeCell ref="N23:N28"/>
    <mergeCell ref="O23:O28"/>
    <mergeCell ref="P23:P28"/>
    <mergeCell ref="K23:K28"/>
    <mergeCell ref="A10:A16"/>
    <mergeCell ref="K10:K16"/>
    <mergeCell ref="D10:D16"/>
    <mergeCell ref="C10:C16"/>
    <mergeCell ref="L17:L22"/>
    <mergeCell ref="N17:N22"/>
    <mergeCell ref="A17:A22"/>
    <mergeCell ref="K17:K22"/>
    <mergeCell ref="D17:D22"/>
    <mergeCell ref="C17:C22"/>
    <mergeCell ref="H17:H22"/>
    <mergeCell ref="I17:I22"/>
    <mergeCell ref="J17:J22"/>
    <mergeCell ref="H10:H16"/>
    <mergeCell ref="I10:I16"/>
    <mergeCell ref="J10:J16"/>
    <mergeCell ref="B17:B22"/>
    <mergeCell ref="T8:Y8"/>
    <mergeCell ref="Z8:Z9"/>
    <mergeCell ref="AA8:AA9"/>
    <mergeCell ref="AB8:AB9"/>
    <mergeCell ref="D23:D28"/>
    <mergeCell ref="C23:C28"/>
    <mergeCell ref="H23:H28"/>
    <mergeCell ref="P10:P16"/>
    <mergeCell ref="L10:L16"/>
    <mergeCell ref="N10:N16"/>
    <mergeCell ref="O10:O16"/>
    <mergeCell ref="AF10:AF16"/>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B8:B9"/>
    <mergeCell ref="AC8:AC9"/>
    <mergeCell ref="AD8:AD9"/>
    <mergeCell ref="AE8:AE9"/>
    <mergeCell ref="AF8:AF9"/>
    <mergeCell ref="R8:R9"/>
    <mergeCell ref="S8:S9"/>
    <mergeCell ref="A67:B68"/>
    <mergeCell ref="T67:AF67"/>
    <mergeCell ref="T68:AF68"/>
    <mergeCell ref="G67:G68"/>
    <mergeCell ref="H67:Q68"/>
    <mergeCell ref="C67:F68"/>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s>
  <conditionalFormatting sqref="I10 AA10:AA64">
    <cfRule type="cellIs" dxfId="156" priority="439" operator="equal">
      <formula>"Alta"</formula>
    </cfRule>
    <cfRule type="cellIs" dxfId="155" priority="438" operator="equal">
      <formula>"Muy Alta"</formula>
    </cfRule>
    <cfRule type="cellIs" dxfId="154" priority="441" operator="equal">
      <formula>"Baja"</formula>
    </cfRule>
    <cfRule type="cellIs" dxfId="153" priority="442" operator="equal">
      <formula>"Muy Baja"</formula>
    </cfRule>
    <cfRule type="cellIs" dxfId="152" priority="440" operator="equal">
      <formula>"Media"</formula>
    </cfRule>
  </conditionalFormatting>
  <conditionalFormatting sqref="I17">
    <cfRule type="cellIs" dxfId="151" priority="177" operator="equal">
      <formula>"Muy Baja"</formula>
    </cfRule>
    <cfRule type="cellIs" dxfId="150" priority="173" operator="equal">
      <formula>"Muy Alta"</formula>
    </cfRule>
    <cfRule type="cellIs" dxfId="149" priority="174" operator="equal">
      <formula>"Alta"</formula>
    </cfRule>
    <cfRule type="cellIs" dxfId="148" priority="175" operator="equal">
      <formula>"Media"</formula>
    </cfRule>
    <cfRule type="cellIs" dxfId="147" priority="176" operator="equal">
      <formula>"Baja"</formula>
    </cfRule>
  </conditionalFormatting>
  <conditionalFormatting sqref="I23">
    <cfRule type="cellIs" dxfId="146" priority="26" operator="equal">
      <formula>"Media"</formula>
    </cfRule>
    <cfRule type="cellIs" dxfId="145" priority="24" operator="equal">
      <formula>"Muy Alta"</formula>
    </cfRule>
    <cfRule type="cellIs" dxfId="144" priority="25" operator="equal">
      <formula>"Alta"</formula>
    </cfRule>
    <cfRule type="cellIs" dxfId="143" priority="27" operator="equal">
      <formula>"Baja"</formula>
    </cfRule>
    <cfRule type="cellIs" dxfId="142" priority="28" operator="equal">
      <formula>"Muy Baja"</formula>
    </cfRule>
  </conditionalFormatting>
  <conditionalFormatting sqref="I29">
    <cfRule type="cellIs" dxfId="141" priority="39" operator="equal">
      <formula>"Muy Alta"</formula>
    </cfRule>
    <cfRule type="cellIs" dxfId="140" priority="40" operator="equal">
      <formula>"Alta"</formula>
    </cfRule>
    <cfRule type="cellIs" dxfId="139" priority="41" operator="equal">
      <formula>"Media"</formula>
    </cfRule>
    <cfRule type="cellIs" dxfId="138" priority="42" operator="equal">
      <formula>"Baja"</formula>
    </cfRule>
    <cfRule type="cellIs" dxfId="137" priority="43" operator="equal">
      <formula>"Muy Baja"</formula>
    </cfRule>
  </conditionalFormatting>
  <conditionalFormatting sqref="I35">
    <cfRule type="cellIs" dxfId="136" priority="85" operator="equal">
      <formula>"Alta"</formula>
    </cfRule>
    <cfRule type="cellIs" dxfId="135" priority="88" operator="equal">
      <formula>"Muy Baja"</formula>
    </cfRule>
    <cfRule type="cellIs" dxfId="134" priority="87" operator="equal">
      <formula>"Baja"</formula>
    </cfRule>
    <cfRule type="cellIs" dxfId="133" priority="86" operator="equal">
      <formula>"Media"</formula>
    </cfRule>
    <cfRule type="cellIs" dxfId="132" priority="84" operator="equal">
      <formula>"Muy Alta"</formula>
    </cfRule>
  </conditionalFormatting>
  <conditionalFormatting sqref="I41">
    <cfRule type="cellIs" dxfId="131" priority="55" operator="equal">
      <formula>"Alta"</formula>
    </cfRule>
    <cfRule type="cellIs" dxfId="130" priority="57" operator="equal">
      <formula>"Baja"</formula>
    </cfRule>
    <cfRule type="cellIs" dxfId="129" priority="58" operator="equal">
      <formula>"Muy Baja"</formula>
    </cfRule>
    <cfRule type="cellIs" dxfId="128" priority="56" operator="equal">
      <formula>"Media"</formula>
    </cfRule>
    <cfRule type="cellIs" dxfId="127" priority="54" operator="equal">
      <formula>"Muy Alta"</formula>
    </cfRule>
  </conditionalFormatting>
  <conditionalFormatting sqref="I47">
    <cfRule type="cellIs" dxfId="126" priority="102" operator="equal">
      <formula>"Baja"</formula>
    </cfRule>
    <cfRule type="cellIs" dxfId="125" priority="99" operator="equal">
      <formula>"Muy Alta"</formula>
    </cfRule>
    <cfRule type="cellIs" dxfId="124" priority="100" operator="equal">
      <formula>"Alta"</formula>
    </cfRule>
    <cfRule type="cellIs" dxfId="123" priority="103" operator="equal">
      <formula>"Muy Baja"</formula>
    </cfRule>
    <cfRule type="cellIs" dxfId="122" priority="101" operator="equal">
      <formula>"Media"</formula>
    </cfRule>
  </conditionalFormatting>
  <conditionalFormatting sqref="I53">
    <cfRule type="cellIs" dxfId="121" priority="254" operator="equal">
      <formula>"Muy Alta"</formula>
    </cfRule>
    <cfRule type="cellIs" dxfId="120" priority="255" operator="equal">
      <formula>"Alta"</formula>
    </cfRule>
    <cfRule type="cellIs" dxfId="119" priority="256" operator="equal">
      <formula>"Media"</formula>
    </cfRule>
    <cfRule type="cellIs" dxfId="118" priority="257" operator="equal">
      <formula>"Baja"</formula>
    </cfRule>
    <cfRule type="cellIs" dxfId="117" priority="258" operator="equal">
      <formula>"Muy Baja"</formula>
    </cfRule>
  </conditionalFormatting>
  <conditionalFormatting sqref="I59">
    <cfRule type="cellIs" dxfId="116" priority="233" operator="equal">
      <formula>"Media"</formula>
    </cfRule>
    <cfRule type="cellIs" dxfId="115" priority="232" operator="equal">
      <formula>"Alta"</formula>
    </cfRule>
    <cfRule type="cellIs" dxfId="114" priority="234" operator="equal">
      <formula>"Baja"</formula>
    </cfRule>
    <cfRule type="cellIs" dxfId="113" priority="231" operator="equal">
      <formula>"Muy Alta"</formula>
    </cfRule>
    <cfRule type="cellIs" dxfId="112" priority="235" operator="equal">
      <formula>"Muy Baja"</formula>
    </cfRule>
  </conditionalFormatting>
  <conditionalFormatting sqref="M10:M64">
    <cfRule type="containsText" dxfId="111" priority="19" operator="containsText" text="❌">
      <formula>NOT(ISERROR(SEARCH("❌",M10)))</formula>
    </cfRule>
  </conditionalFormatting>
  <conditionalFormatting sqref="N10 AC10:AC64 N53 N59">
    <cfRule type="cellIs" dxfId="110" priority="437" operator="equal">
      <formula>"Leve"</formula>
    </cfRule>
    <cfRule type="cellIs" dxfId="109" priority="436" operator="equal">
      <formula>"Menor"</formula>
    </cfRule>
    <cfRule type="cellIs" dxfId="108" priority="433" operator="equal">
      <formula>"Catastrófico"</formula>
    </cfRule>
    <cfRule type="cellIs" dxfId="107" priority="434" operator="equal">
      <formula>"Mayor"</formula>
    </cfRule>
    <cfRule type="cellIs" dxfId="106" priority="435" operator="equal">
      <formula>"Moderado"</formula>
    </cfRule>
  </conditionalFormatting>
  <conditionalFormatting sqref="N17">
    <cfRule type="cellIs" dxfId="105" priority="182" operator="equal">
      <formula>"Leve"</formula>
    </cfRule>
    <cfRule type="cellIs" dxfId="104" priority="181" operator="equal">
      <formula>"Menor"</formula>
    </cfRule>
    <cfRule type="cellIs" dxfId="103" priority="180" operator="equal">
      <formula>"Moderado"</formula>
    </cfRule>
    <cfRule type="cellIs" dxfId="102" priority="178" operator="equal">
      <formula>"Catastrófico"</formula>
    </cfRule>
    <cfRule type="cellIs" dxfId="101" priority="179" operator="equal">
      <formula>"Mayor"</formula>
    </cfRule>
  </conditionalFormatting>
  <conditionalFormatting sqref="N23">
    <cfRule type="cellIs" dxfId="100" priority="31" operator="equal">
      <formula>"Moderado"</formula>
    </cfRule>
    <cfRule type="cellIs" dxfId="99" priority="32" operator="equal">
      <formula>"Menor"</formula>
    </cfRule>
    <cfRule type="cellIs" dxfId="98" priority="33" operator="equal">
      <formula>"Leve"</formula>
    </cfRule>
    <cfRule type="cellIs" dxfId="97" priority="29" operator="equal">
      <formula>"Catastrófico"</formula>
    </cfRule>
    <cfRule type="cellIs" dxfId="96" priority="30" operator="equal">
      <formula>"Mayor"</formula>
    </cfRule>
  </conditionalFormatting>
  <conditionalFormatting sqref="N29">
    <cfRule type="cellIs" dxfId="95" priority="48" operator="equal">
      <formula>"Leve"</formula>
    </cfRule>
    <cfRule type="cellIs" dxfId="94" priority="45" operator="equal">
      <formula>"Mayor"</formula>
    </cfRule>
    <cfRule type="cellIs" dxfId="93" priority="44" operator="equal">
      <formula>"Catastrófico"</formula>
    </cfRule>
    <cfRule type="cellIs" dxfId="92" priority="46" operator="equal">
      <formula>"Moderado"</formula>
    </cfRule>
    <cfRule type="cellIs" dxfId="91" priority="47" operator="equal">
      <formula>"Menor"</formula>
    </cfRule>
  </conditionalFormatting>
  <conditionalFormatting sqref="N35">
    <cfRule type="cellIs" dxfId="90" priority="93" operator="equal">
      <formula>"Leve"</formula>
    </cfRule>
    <cfRule type="cellIs" dxfId="89" priority="92" operator="equal">
      <formula>"Menor"</formula>
    </cfRule>
    <cfRule type="cellIs" dxfId="88" priority="91" operator="equal">
      <formula>"Moderado"</formula>
    </cfRule>
    <cfRule type="cellIs" dxfId="87" priority="90" operator="equal">
      <formula>"Mayor"</formula>
    </cfRule>
    <cfRule type="cellIs" dxfId="86" priority="89" operator="equal">
      <formula>"Catastrófico"</formula>
    </cfRule>
  </conditionalFormatting>
  <conditionalFormatting sqref="N41">
    <cfRule type="cellIs" dxfId="85" priority="63" operator="equal">
      <formula>"Leve"</formula>
    </cfRule>
    <cfRule type="cellIs" dxfId="84" priority="62" operator="equal">
      <formula>"Menor"</formula>
    </cfRule>
    <cfRule type="cellIs" dxfId="83" priority="61" operator="equal">
      <formula>"Moderado"</formula>
    </cfRule>
    <cfRule type="cellIs" dxfId="82" priority="60" operator="equal">
      <formula>"Mayor"</formula>
    </cfRule>
    <cfRule type="cellIs" dxfId="81" priority="59" operator="equal">
      <formula>"Catastrófico"</formula>
    </cfRule>
  </conditionalFormatting>
  <conditionalFormatting sqref="N47">
    <cfRule type="cellIs" dxfId="80" priority="104" operator="equal">
      <formula>"Catastrófico"</formula>
    </cfRule>
    <cfRule type="cellIs" dxfId="79" priority="105" operator="equal">
      <formula>"Mayor"</formula>
    </cfRule>
    <cfRule type="cellIs" dxfId="78" priority="106" operator="equal">
      <formula>"Moderado"</formula>
    </cfRule>
    <cfRule type="cellIs" dxfId="77" priority="107" operator="equal">
      <formula>"Menor"</formula>
    </cfRule>
    <cfRule type="cellIs" dxfId="76" priority="108" operator="equal">
      <formula>"Leve"</formula>
    </cfRule>
  </conditionalFormatting>
  <conditionalFormatting sqref="P10 AE10:AE64">
    <cfRule type="cellIs" dxfId="75" priority="429" operator="equal">
      <formula>"Extremo"</formula>
    </cfRule>
    <cfRule type="cellIs" dxfId="74" priority="430" operator="equal">
      <formula>"Alto"</formula>
    </cfRule>
    <cfRule type="cellIs" dxfId="73" priority="431" operator="equal">
      <formula>"Moderado"</formula>
    </cfRule>
    <cfRule type="cellIs" dxfId="72" priority="432" operator="equal">
      <formula>"Bajo"</formula>
    </cfRule>
  </conditionalFormatting>
  <conditionalFormatting sqref="P17">
    <cfRule type="cellIs" dxfId="71" priority="169" operator="equal">
      <formula>"Extremo"</formula>
    </cfRule>
    <cfRule type="cellIs" dxfId="70" priority="171" operator="equal">
      <formula>"Moderado"</formula>
    </cfRule>
    <cfRule type="cellIs" dxfId="69" priority="172" operator="equal">
      <formula>"Bajo"</formula>
    </cfRule>
    <cfRule type="cellIs" dxfId="68" priority="170" operator="equal">
      <formula>"Alto"</formula>
    </cfRule>
  </conditionalFormatting>
  <conditionalFormatting sqref="P23">
    <cfRule type="cellIs" dxfId="67" priority="23" operator="equal">
      <formula>"Bajo"</formula>
    </cfRule>
    <cfRule type="cellIs" dxfId="66" priority="22" operator="equal">
      <formula>"Moderado"</formula>
    </cfRule>
    <cfRule type="cellIs" dxfId="65" priority="21" operator="equal">
      <formula>"Alto"</formula>
    </cfRule>
    <cfRule type="cellIs" dxfId="64" priority="20" operator="equal">
      <formula>"Extremo"</formula>
    </cfRule>
  </conditionalFormatting>
  <conditionalFormatting sqref="P29">
    <cfRule type="cellIs" dxfId="63" priority="38" operator="equal">
      <formula>"Bajo"</formula>
    </cfRule>
    <cfRule type="cellIs" dxfId="62" priority="35" operator="equal">
      <formula>"Extremo"</formula>
    </cfRule>
    <cfRule type="cellIs" dxfId="61" priority="37" operator="equal">
      <formula>"Moderado"</formula>
    </cfRule>
    <cfRule type="cellIs" dxfId="60" priority="36" operator="equal">
      <formula>"Alto"</formula>
    </cfRule>
  </conditionalFormatting>
  <conditionalFormatting sqref="P35">
    <cfRule type="cellIs" dxfId="59" priority="81" operator="equal">
      <formula>"Alto"</formula>
    </cfRule>
    <cfRule type="cellIs" dxfId="58" priority="83" operator="equal">
      <formula>"Bajo"</formula>
    </cfRule>
    <cfRule type="cellIs" dxfId="57" priority="82" operator="equal">
      <formula>"Moderado"</formula>
    </cfRule>
    <cfRule type="cellIs" dxfId="56" priority="80" operator="equal">
      <formula>"Extremo"</formula>
    </cfRule>
  </conditionalFormatting>
  <conditionalFormatting sqref="P41">
    <cfRule type="cellIs" dxfId="55" priority="51" operator="equal">
      <formula>"Alto"</formula>
    </cfRule>
    <cfRule type="cellIs" dxfId="54" priority="50" operator="equal">
      <formula>"Extremo"</formula>
    </cfRule>
    <cfRule type="cellIs" dxfId="53" priority="53" operator="equal">
      <formula>"Bajo"</formula>
    </cfRule>
    <cfRule type="cellIs" dxfId="52" priority="52" operator="equal">
      <formula>"Moderado"</formula>
    </cfRule>
  </conditionalFormatting>
  <conditionalFormatting sqref="P47">
    <cfRule type="cellIs" dxfId="51" priority="96" operator="equal">
      <formula>"Alto"</formula>
    </cfRule>
    <cfRule type="cellIs" dxfId="50" priority="95" operator="equal">
      <formula>"Extremo"</formula>
    </cfRule>
    <cfRule type="cellIs" dxfId="49" priority="97" operator="equal">
      <formula>"Moderado"</formula>
    </cfRule>
    <cfRule type="cellIs" dxfId="48" priority="98" operator="equal">
      <formula>"Bajo"</formula>
    </cfRule>
  </conditionalFormatting>
  <conditionalFormatting sqref="P53">
    <cfRule type="cellIs" dxfId="47" priority="250" operator="equal">
      <formula>"Extremo"</formula>
    </cfRule>
    <cfRule type="cellIs" dxfId="46" priority="251" operator="equal">
      <formula>"Alto"</formula>
    </cfRule>
    <cfRule type="cellIs" dxfId="45" priority="252" operator="equal">
      <formula>"Moderado"</formula>
    </cfRule>
    <cfRule type="cellIs" dxfId="44" priority="253" operator="equal">
      <formula>"Bajo"</formula>
    </cfRule>
  </conditionalFormatting>
  <conditionalFormatting sqref="P59">
    <cfRule type="cellIs" dxfId="43" priority="229" operator="equal">
      <formula>"Moderado"</formula>
    </cfRule>
    <cfRule type="cellIs" dxfId="42" priority="228" operator="equal">
      <formula>"Alto"</formula>
    </cfRule>
    <cfRule type="cellIs" dxfId="41" priority="227" operator="equal">
      <formula>"Extremo"</formula>
    </cfRule>
    <cfRule type="cellIs" dxfId="40" priority="230"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'Opciones Tratamiento'!$B$2:$B$5</xm:f>
          </x14:formula1>
          <xm:sqref>AF10 AF41 AF23 AF29 AF35 AF47:AF64 AF17</xm:sqref>
        </x14:dataValidation>
        <x14:dataValidation type="list" allowBlank="1" showInputMessage="1" showErrorMessage="1">
          <x14:formula1>
            <xm:f>FÓRMULAS!$B$55:$B$57</xm:f>
          </x14:formula1>
          <xm:sqref>B41 B17 B23 B35 B10 B47 B53 B59 B29</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L10:L64</xm:sqref>
        </x14:dataValidation>
        <x14:dataValidation type="list" allowBlank="1" showInputMessage="1" showErrorMessage="1">
          <x14:formula1>
            <xm:f>'Opciones Tratamiento'!$E$2:$E$4</xm:f>
          </x14:formula1>
          <xm:sqref>K10:K64</xm:sqref>
        </x14:dataValidation>
        <x14:dataValidation type="list" allowBlank="1" showInputMessage="1" showErrorMessage="1">
          <x14:formula1>
            <xm:f>'Opciones Tratamiento'!$B$13:$B$19</xm:f>
          </x14:formula1>
          <xm:sqref>C10:C64</xm:sqref>
        </x14:dataValidation>
        <x14:dataValidation type="list" allowBlank="1" showInputMessage="1" showErrorMessage="1">
          <x14:formula1>
            <xm:f>'Tabla Valoración controles'!$D$13:$D$14</xm:f>
          </x14:formula1>
          <xm:sqref>Y10:Y64</xm:sqref>
        </x14:dataValidation>
        <x14:dataValidation type="list" allowBlank="1" showInputMessage="1" showErrorMessage="1">
          <x14:formula1>
            <xm:f>'Tabla Valoración controles'!$D$11:$D$12</xm:f>
          </x14:formula1>
          <xm:sqref>X10:X64</xm:sqref>
        </x14:dataValidation>
        <x14:dataValidation type="list" allowBlank="1" showInputMessage="1" showErrorMessage="1">
          <x14:formula1>
            <xm:f>'Tabla Valoración controles'!$D$9:$D$10</xm:f>
          </x14:formula1>
          <xm:sqref>W10:W64</xm:sqref>
        </x14:dataValidation>
        <x14:dataValidation type="list" allowBlank="1" showInputMessage="1" showErrorMessage="1">
          <x14:formula1>
            <xm:f>'Tabla Valoración controles'!$D$7:$D$8</xm:f>
          </x14:formula1>
          <xm:sqref>U10:U64</xm:sqref>
        </x14:dataValidation>
        <x14:dataValidation type="list" allowBlank="1" showInputMessage="1" showErrorMessage="1">
          <x14:formula1>
            <xm:f>'Tabla Valoración controles'!$D$4:$D$6</xm:f>
          </x14:formula1>
          <xm:sqref>T10:T64</xm:sqref>
        </x14:dataValidation>
        <x14:dataValidation type="list" allowBlank="1" showInputMessage="1" showErrorMessage="1">
          <x14:formula1>
            <xm:f>'Opciones Tratamiento'!$G$13:$G$14</xm:f>
          </x14:formula1>
          <xm:sqref>E10:E64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theme="6" tint="-0.249977111117893"/>
  </sheetPr>
  <dimension ref="A1:U69"/>
  <sheetViews>
    <sheetView zoomScaleNormal="100" workbookViewId="0">
      <selection sqref="A1:C1"/>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0.5703125" style="1" customWidth="1"/>
    <col min="19" max="19" width="26.7109375" style="1" customWidth="1"/>
    <col min="20" max="20" width="22.5703125" style="1" customWidth="1"/>
    <col min="21" max="16384" width="11.42578125" style="1"/>
  </cols>
  <sheetData>
    <row r="1" spans="1:21"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194" t="s">
        <v>317</v>
      </c>
    </row>
    <row r="2" spans="1:21" ht="20.25" customHeight="1" x14ac:dyDescent="0.3">
      <c r="A2" s="571" t="str">
        <f>'Mapa de Riesgos'!A2</f>
        <v>F - PL - 13</v>
      </c>
      <c r="B2" s="571"/>
      <c r="C2" s="571"/>
      <c r="D2" s="570" t="str">
        <f>'Mapa de Riesgos'!D2</f>
        <v>MAPA DE RIESGOS INSTITUCIONAL</v>
      </c>
      <c r="E2" s="570"/>
      <c r="F2" s="570"/>
      <c r="G2" s="570"/>
      <c r="H2" s="570"/>
      <c r="I2" s="570"/>
      <c r="J2" s="570"/>
      <c r="K2" s="570"/>
      <c r="L2" s="570"/>
      <c r="M2" s="570"/>
      <c r="N2" s="570"/>
      <c r="O2" s="570"/>
      <c r="P2" s="570"/>
      <c r="Q2" s="570"/>
      <c r="R2" s="570"/>
      <c r="S2" s="570"/>
      <c r="T2" s="215" t="str">
        <f>'Mapa de Riesgos'!AE2</f>
        <v>VERSIÓN: 7.0</v>
      </c>
    </row>
    <row r="3" spans="1:21" x14ac:dyDescent="0.3">
      <c r="A3" s="200"/>
      <c r="B3" s="200"/>
      <c r="C3" s="200"/>
      <c r="D3" s="200"/>
      <c r="E3" s="200"/>
      <c r="F3" s="200"/>
      <c r="G3" s="200"/>
      <c r="H3" s="200"/>
      <c r="I3" s="200"/>
      <c r="J3" s="200"/>
      <c r="K3" s="200"/>
      <c r="L3" s="200"/>
      <c r="M3" s="200"/>
      <c r="N3" s="200"/>
      <c r="O3" s="200"/>
      <c r="P3" s="200"/>
      <c r="Q3" s="200"/>
      <c r="R3" s="200"/>
      <c r="S3" s="200"/>
      <c r="T3" s="200"/>
    </row>
    <row r="4" spans="1:21" ht="35.25" customHeight="1" x14ac:dyDescent="0.3">
      <c r="A4" s="491" t="s">
        <v>226</v>
      </c>
      <c r="B4" s="491"/>
      <c r="C4" s="491"/>
      <c r="D4" s="495" t="str">
        <f>'Mapa de Riesgos'!D4</f>
        <v>PLANEACIÓN INSTITUCIONAL</v>
      </c>
      <c r="E4" s="495"/>
      <c r="F4" s="495"/>
      <c r="G4" s="495"/>
      <c r="H4" s="495"/>
      <c r="I4" s="495"/>
      <c r="J4" s="492" t="s">
        <v>227</v>
      </c>
      <c r="K4" s="492"/>
      <c r="L4" s="492"/>
      <c r="M4" s="492"/>
      <c r="N4" s="493">
        <f>'Mapa de Riesgos'!R4</f>
        <v>2025</v>
      </c>
      <c r="O4" s="493"/>
      <c r="P4" s="493"/>
      <c r="Q4" s="493"/>
      <c r="R4" s="493"/>
      <c r="S4" s="493"/>
      <c r="T4" s="493"/>
    </row>
    <row r="5" spans="1:21" ht="35.25" customHeight="1" x14ac:dyDescent="0.3">
      <c r="A5" s="491" t="s">
        <v>228</v>
      </c>
      <c r="B5" s="491"/>
      <c r="C5" s="491"/>
      <c r="D5" s="495" t="str">
        <f>'Mapa de Riesgos'!D5</f>
        <v>Oficina de Planeación</v>
      </c>
      <c r="E5" s="495"/>
      <c r="F5" s="495"/>
      <c r="G5" s="495"/>
      <c r="H5" s="495"/>
      <c r="I5" s="495"/>
      <c r="J5" s="492" t="s">
        <v>230</v>
      </c>
      <c r="K5" s="492"/>
      <c r="L5" s="492"/>
      <c r="M5" s="492"/>
      <c r="N5" s="494" t="str">
        <f>'Mapa de Riesgos'!R5</f>
        <v>ERIKA DELGADO GOMEZ -JEFE OFICINA DE PLANEACIÓN</v>
      </c>
      <c r="O5" s="494"/>
      <c r="P5" s="494"/>
      <c r="Q5" s="494"/>
      <c r="R5" s="494"/>
      <c r="S5" s="494"/>
      <c r="T5" s="494"/>
    </row>
    <row r="6" spans="1:21" ht="17.25" thickBot="1" x14ac:dyDescent="0.35">
      <c r="A6" s="556"/>
      <c r="B6" s="556"/>
      <c r="C6" s="556"/>
      <c r="D6" s="556"/>
      <c r="E6" s="556"/>
      <c r="F6" s="556"/>
      <c r="G6" s="556"/>
      <c r="H6" s="556"/>
      <c r="I6" s="556"/>
      <c r="J6" s="556"/>
      <c r="K6" s="556"/>
      <c r="L6" s="556"/>
      <c r="M6" s="556"/>
      <c r="N6" s="556"/>
      <c r="O6" s="556"/>
      <c r="P6" s="556"/>
      <c r="Q6" s="556"/>
      <c r="R6" s="556"/>
      <c r="S6" s="556"/>
      <c r="T6" s="556"/>
    </row>
    <row r="7" spans="1:21" ht="59.25" customHeight="1" thickBot="1" x14ac:dyDescent="0.35">
      <c r="A7" s="580" t="str">
        <f>'Mapa de Riesgos'!A7</f>
        <v>IDENTIFICACIÓN DEL RIESGO</v>
      </c>
      <c r="B7" s="581"/>
      <c r="C7" s="581"/>
      <c r="D7" s="581"/>
      <c r="E7" s="581"/>
      <c r="F7" s="581"/>
      <c r="G7" s="582"/>
      <c r="H7" s="189" t="str">
        <f>'Mapa de Riesgos'!H7</f>
        <v>ANÁLISIS DEL RIESGO INHERENTE</v>
      </c>
      <c r="I7" s="583" t="str">
        <f>'Mapa de Riesgos'!Q7</f>
        <v>EVALUACIÓN DEL RIESGO - VALORACIÓN DE LOS CONTROLES</v>
      </c>
      <c r="J7" s="583"/>
      <c r="K7" s="583"/>
      <c r="L7" s="583"/>
      <c r="M7" s="583"/>
      <c r="N7" s="583"/>
      <c r="O7" s="583"/>
      <c r="P7" s="583" t="str">
        <f>'Mapa de Riesgos'!Z7</f>
        <v>EVALUACIÓN DEL RIESGO - NIVEL DEL RIESGO RESIDUAL</v>
      </c>
      <c r="Q7" s="584"/>
      <c r="R7" s="585" t="s">
        <v>318</v>
      </c>
      <c r="S7" s="586"/>
      <c r="T7" s="587"/>
    </row>
    <row r="8" spans="1:21" ht="16.5" customHeight="1" x14ac:dyDescent="0.3">
      <c r="A8" s="588" t="str">
        <f>'Mapa de Riesgos'!A8</f>
        <v>No. Riesgo</v>
      </c>
      <c r="B8" s="590" t="str">
        <f>'Mapa de Riesgos'!B8</f>
        <v>Categoría del Riesgo</v>
      </c>
      <c r="C8" s="590" t="str">
        <f>'Mapa de Riesgos'!C8</f>
        <v>Clasificación del Riesgo</v>
      </c>
      <c r="D8" s="591" t="str">
        <f>'Mapa de Riesgos'!D8</f>
        <v>Descripción del Riesgo</v>
      </c>
      <c r="E8" s="597" t="str">
        <f>'Mapa de Riesgos'!E8</f>
        <v>Factores</v>
      </c>
      <c r="F8" s="590" t="str">
        <f>'Mapa de Riesgos'!F8</f>
        <v>Causas</v>
      </c>
      <c r="G8" s="592" t="str">
        <f>'Mapa de Riesgos'!G8</f>
        <v>Consecuencias</v>
      </c>
      <c r="H8" s="594" t="str">
        <f>'Mapa de Riesgos'!P8</f>
        <v>Zona de Riesgo Inherente</v>
      </c>
      <c r="I8" s="596" t="str">
        <f>'Mapa de Riesgos'!Q8</f>
        <v>No. Control</v>
      </c>
      <c r="J8" s="590" t="str">
        <f>'Mapa de Riesgos'!R8</f>
        <v>Descripción del Control</v>
      </c>
      <c r="K8" s="598" t="s">
        <v>247</v>
      </c>
      <c r="L8" s="598"/>
      <c r="M8" s="598"/>
      <c r="N8" s="598"/>
      <c r="O8" s="598"/>
      <c r="P8" s="590" t="str">
        <f>'Mapa de Riesgos'!AE8</f>
        <v>Zona de Riesgo Final</v>
      </c>
      <c r="Q8" s="592" t="str">
        <f>'Mapa de Riesgos'!AF8</f>
        <v>Tratamiento</v>
      </c>
      <c r="R8" s="594" t="s">
        <v>319</v>
      </c>
      <c r="S8" s="590" t="s">
        <v>320</v>
      </c>
      <c r="T8" s="592" t="s">
        <v>321</v>
      </c>
    </row>
    <row r="9" spans="1:21" s="183" customFormat="1" ht="94.5" customHeight="1" x14ac:dyDescent="0.25">
      <c r="A9" s="589"/>
      <c r="B9" s="512"/>
      <c r="C9" s="512"/>
      <c r="D9" s="514"/>
      <c r="E9" s="591"/>
      <c r="F9" s="512"/>
      <c r="G9" s="593"/>
      <c r="H9" s="595"/>
      <c r="I9" s="515"/>
      <c r="J9" s="512"/>
      <c r="K9" s="190" t="str">
        <f>'Mapa de Riesgos'!T9</f>
        <v>Tipo</v>
      </c>
      <c r="L9" s="190" t="str">
        <f>'Mapa de Riesgos'!U9</f>
        <v>Implementación</v>
      </c>
      <c r="M9" s="190" t="str">
        <f>'Mapa de Riesgos'!W9</f>
        <v>Documentación</v>
      </c>
      <c r="N9" s="190" t="str">
        <f>'Mapa de Riesgos'!X9</f>
        <v>Frecuencia</v>
      </c>
      <c r="O9" s="190" t="str">
        <f>'Mapa de Riesgos'!Y9</f>
        <v>Evidencia</v>
      </c>
      <c r="P9" s="512"/>
      <c r="Q9" s="593"/>
      <c r="R9" s="595"/>
      <c r="S9" s="512"/>
      <c r="T9" s="593"/>
    </row>
    <row r="10" spans="1:21" s="184" customFormat="1" ht="105.75" customHeight="1" x14ac:dyDescent="0.25">
      <c r="A10" s="601">
        <f>'Mapa de Riesgos'!A10</f>
        <v>1</v>
      </c>
      <c r="B10" s="603" t="str">
        <f>'Mapa de Riesgos'!B10</f>
        <v>GESTIÓN</v>
      </c>
      <c r="C10" s="603" t="str">
        <f>'Mapa de Riesgos'!C10</f>
        <v>Ejecución y Administración de procesos</v>
      </c>
      <c r="D10" s="605" t="str">
        <f>'Mapa de Riesgos'!D10</f>
        <v>Ejecución parcial de las metas establecidas en los indicadores de los Planes de Acción Anuales del Plan Estratégico de Desarrollo Institucional de la Oficina de Planeación.</v>
      </c>
      <c r="E10" s="280" t="str">
        <f>'Mapa de Riesgos'!E10</f>
        <v>Factores Internos (Debilidades)</v>
      </c>
      <c r="F10" s="281" t="str">
        <f>'Mapa de Riesgos'!F10</f>
        <v>1. Recursos insuficientes para la ejecución de los indicadores y actividades planeadas.</v>
      </c>
      <c r="G10" s="282" t="str">
        <f>'Mapa de Riesgos'!G10</f>
        <v>1. Incumplimiento de la gestión  del proceso y de la institución.</v>
      </c>
      <c r="H10" s="599" t="str">
        <f>'Mapa de Riesgos'!P10</f>
        <v>Bajo</v>
      </c>
      <c r="I10" s="240">
        <f>'Mapa de Riesgos'!Q10</f>
        <v>1</v>
      </c>
      <c r="J10" s="302" t="str">
        <f>'Mapa de Riesgos'!R10</f>
        <v xml:space="preserve">Elaboración de cronogramas con las tareas a desarrollar de los indicadores a cargo de la Oficina de Planeación. </v>
      </c>
      <c r="K10" s="241" t="str">
        <f>'Mapa de Riesgos'!T10</f>
        <v>Preventivo</v>
      </c>
      <c r="L10" s="241" t="str">
        <f>'Mapa de Riesgos'!U10</f>
        <v>Manual</v>
      </c>
      <c r="M10" s="241" t="str">
        <f>'Mapa de Riesgos'!W10</f>
        <v>Documentado</v>
      </c>
      <c r="N10" s="241" t="str">
        <f>'Mapa de Riesgos'!X10</f>
        <v>Continua</v>
      </c>
      <c r="O10" s="241" t="str">
        <f>'Mapa de Riesgos'!Y10</f>
        <v>Con Registro</v>
      </c>
      <c r="P10" s="226" t="str">
        <f>'Mapa de Riesgos'!AE10</f>
        <v>Bajo</v>
      </c>
      <c r="Q10" s="566" t="str">
        <f>'Mapa de Riesgos'!AF10</f>
        <v>Reducir (mitigar)</v>
      </c>
      <c r="R10" s="304" t="s">
        <v>322</v>
      </c>
      <c r="S10" s="291" t="s">
        <v>229</v>
      </c>
      <c r="T10" s="244" t="s">
        <v>323</v>
      </c>
    </row>
    <row r="11" spans="1:21" ht="64.5" x14ac:dyDescent="0.3">
      <c r="A11" s="601"/>
      <c r="B11" s="603"/>
      <c r="C11" s="603"/>
      <c r="D11" s="605"/>
      <c r="E11" s="280" t="str">
        <f>'Mapa de Riesgos'!E11</f>
        <v>Factores Internos (Debilidades)</v>
      </c>
      <c r="F11" s="281" t="str">
        <f>'Mapa de Riesgos'!F11</f>
        <v xml:space="preserve">2. Cambio constante de políticas y directrices institucionales. </v>
      </c>
      <c r="G11" s="282" t="str">
        <f>'Mapa de Riesgos'!G11</f>
        <v>2. Inconformismo de las partes interesadas.</v>
      </c>
      <c r="H11" s="599"/>
      <c r="I11" s="240">
        <f>'Mapa de Riesgos'!Q11</f>
        <v>2</v>
      </c>
      <c r="J11" s="302" t="str">
        <f>'Mapa de Riesgos'!R11</f>
        <v>Verificación periódica en el cumplimiento de los cronogramas</v>
      </c>
      <c r="K11" s="241" t="str">
        <f>'Mapa de Riesgos'!T11</f>
        <v>Preventivo</v>
      </c>
      <c r="L11" s="241" t="str">
        <f>'Mapa de Riesgos'!U11</f>
        <v>Manual</v>
      </c>
      <c r="M11" s="241" t="str">
        <f>'Mapa de Riesgos'!W11</f>
        <v>Documentado</v>
      </c>
      <c r="N11" s="241" t="str">
        <f>'Mapa de Riesgos'!X11</f>
        <v>Continua</v>
      </c>
      <c r="O11" s="241" t="str">
        <f>'Mapa de Riesgos'!Y11</f>
        <v>Con Registro</v>
      </c>
      <c r="P11" s="226" t="str">
        <f>'Mapa de Riesgos'!AE11</f>
        <v>Bajo</v>
      </c>
      <c r="Q11" s="567"/>
      <c r="R11" s="304" t="s">
        <v>322</v>
      </c>
      <c r="S11" s="291" t="s">
        <v>229</v>
      </c>
      <c r="T11" s="244" t="s">
        <v>323</v>
      </c>
      <c r="U11" s="293"/>
    </row>
    <row r="12" spans="1:21" ht="49.5" x14ac:dyDescent="0.3">
      <c r="A12" s="601"/>
      <c r="B12" s="603"/>
      <c r="C12" s="603"/>
      <c r="D12" s="605"/>
      <c r="E12" s="280" t="str">
        <f>'Mapa de Riesgos'!E12</f>
        <v>Factores Internos (Debilidades)</v>
      </c>
      <c r="F12" s="281" t="str">
        <f>'Mapa de Riesgos'!F12</f>
        <v xml:space="preserve">3. Inadecuada planificación de las actividades que conlleven al cumplimiento de las metas. </v>
      </c>
      <c r="G12" s="282" t="str">
        <f>'Mapa de Riesgos'!G12</f>
        <v>3. Insatisfacción de los usuarios.</v>
      </c>
      <c r="H12" s="599"/>
      <c r="I12" s="240">
        <f>'Mapa de Riesgos'!Q12</f>
        <v>3</v>
      </c>
      <c r="J12" s="302">
        <f>'Mapa de Riesgos'!R12</f>
        <v>0</v>
      </c>
      <c r="K12" s="241">
        <f>'Mapa de Riesgos'!T12</f>
        <v>0</v>
      </c>
      <c r="L12" s="241">
        <f>'Mapa de Riesgos'!U12</f>
        <v>0</v>
      </c>
      <c r="M12" s="241">
        <f>'Mapa de Riesgos'!W12</f>
        <v>0</v>
      </c>
      <c r="N12" s="241">
        <f>'Mapa de Riesgos'!X12</f>
        <v>0</v>
      </c>
      <c r="O12" s="241">
        <f>'Mapa de Riesgos'!Y12</f>
        <v>0</v>
      </c>
      <c r="P12" s="226" t="str">
        <f>'Mapa de Riesgos'!AE12</f>
        <v/>
      </c>
      <c r="Q12" s="567"/>
      <c r="R12" s="304"/>
      <c r="S12" s="291"/>
      <c r="T12" s="244"/>
    </row>
    <row r="13" spans="1:21" ht="33" x14ac:dyDescent="0.3">
      <c r="A13" s="601"/>
      <c r="B13" s="603"/>
      <c r="C13" s="603"/>
      <c r="D13" s="605"/>
      <c r="E13" s="280">
        <f>'Mapa de Riesgos'!E13</f>
        <v>0</v>
      </c>
      <c r="F13" s="281">
        <f>'Mapa de Riesgos'!F13</f>
        <v>0</v>
      </c>
      <c r="G13" s="282" t="str">
        <f>'Mapa de Riesgos'!G13</f>
        <v>4. Resultados negativos en la evaluación de la gestión.</v>
      </c>
      <c r="H13" s="599"/>
      <c r="I13" s="240">
        <f>'Mapa de Riesgos'!Q13</f>
        <v>4</v>
      </c>
      <c r="J13" s="302">
        <f>'Mapa de Riesgos'!R13</f>
        <v>0</v>
      </c>
      <c r="K13" s="241">
        <f>'Mapa de Riesgos'!T13</f>
        <v>0</v>
      </c>
      <c r="L13" s="241">
        <f>'Mapa de Riesgos'!U13</f>
        <v>0</v>
      </c>
      <c r="M13" s="241">
        <f>'Mapa de Riesgos'!W13</f>
        <v>0</v>
      </c>
      <c r="N13" s="241">
        <f>'Mapa de Riesgos'!X13</f>
        <v>0</v>
      </c>
      <c r="O13" s="241">
        <f>'Mapa de Riesgos'!Y13</f>
        <v>0</v>
      </c>
      <c r="P13" s="226" t="str">
        <f>'Mapa de Riesgos'!AE13</f>
        <v/>
      </c>
      <c r="Q13" s="567"/>
      <c r="R13" s="304"/>
      <c r="S13" s="291"/>
      <c r="T13" s="244"/>
    </row>
    <row r="14" spans="1:21" x14ac:dyDescent="0.3">
      <c r="A14" s="601"/>
      <c r="B14" s="603"/>
      <c r="C14" s="603"/>
      <c r="D14" s="605"/>
      <c r="E14" s="280">
        <f>'Mapa de Riesgos'!E14</f>
        <v>0</v>
      </c>
      <c r="F14" s="281">
        <f>'Mapa de Riesgos'!F14</f>
        <v>0</v>
      </c>
      <c r="G14" s="282">
        <f>'Mapa de Riesgos'!G14</f>
        <v>0</v>
      </c>
      <c r="H14" s="599"/>
      <c r="I14" s="240">
        <f>'Mapa de Riesgos'!Q14</f>
        <v>5</v>
      </c>
      <c r="J14" s="302">
        <f>'Mapa de Riesgos'!R14</f>
        <v>0</v>
      </c>
      <c r="K14" s="241">
        <f>'Mapa de Riesgos'!T14</f>
        <v>0</v>
      </c>
      <c r="L14" s="241">
        <f>'Mapa de Riesgos'!U14</f>
        <v>0</v>
      </c>
      <c r="M14" s="241">
        <f>'Mapa de Riesgos'!W14</f>
        <v>0</v>
      </c>
      <c r="N14" s="241">
        <f>'Mapa de Riesgos'!X14</f>
        <v>0</v>
      </c>
      <c r="O14" s="241">
        <f>'Mapa de Riesgos'!Y14</f>
        <v>0</v>
      </c>
      <c r="P14" s="226">
        <f>'Mapa de Riesgos'!AE14</f>
        <v>0</v>
      </c>
      <c r="Q14" s="567"/>
      <c r="R14" s="304"/>
      <c r="S14" s="291"/>
      <c r="T14" s="244"/>
    </row>
    <row r="15" spans="1:21" x14ac:dyDescent="0.3">
      <c r="A15" s="601"/>
      <c r="B15" s="603"/>
      <c r="C15" s="603"/>
      <c r="D15" s="605"/>
      <c r="E15" s="280">
        <f>'Mapa de Riesgos'!E15</f>
        <v>0</v>
      </c>
      <c r="F15" s="281">
        <f>'Mapa de Riesgos'!F15</f>
        <v>0</v>
      </c>
      <c r="G15" s="282">
        <f>'Mapa de Riesgos'!G15</f>
        <v>0</v>
      </c>
      <c r="H15" s="599"/>
      <c r="I15" s="240">
        <f>'Mapa de Riesgos'!Q15</f>
        <v>6</v>
      </c>
      <c r="J15" s="302">
        <f>'Mapa de Riesgos'!R15</f>
        <v>0</v>
      </c>
      <c r="K15" s="241">
        <f>'Mapa de Riesgos'!T15</f>
        <v>0</v>
      </c>
      <c r="L15" s="241">
        <f>'Mapa de Riesgos'!U15</f>
        <v>0</v>
      </c>
      <c r="M15" s="241">
        <f>'Mapa de Riesgos'!W15</f>
        <v>0</v>
      </c>
      <c r="N15" s="241">
        <f>'Mapa de Riesgos'!X15</f>
        <v>0</v>
      </c>
      <c r="O15" s="241">
        <f>'Mapa de Riesgos'!Y15</f>
        <v>0</v>
      </c>
      <c r="P15" s="226" t="str">
        <f>'Mapa de Riesgos'!AE15</f>
        <v/>
      </c>
      <c r="Q15" s="567"/>
      <c r="R15" s="305"/>
      <c r="S15" s="292"/>
      <c r="T15" s="244"/>
    </row>
    <row r="16" spans="1:21" ht="49.5" customHeight="1" thickBot="1" x14ac:dyDescent="0.35">
      <c r="A16" s="602"/>
      <c r="B16" s="604"/>
      <c r="C16" s="604"/>
      <c r="D16" s="606"/>
      <c r="E16" s="283">
        <f>'Mapa de Riesgos'!E16</f>
        <v>0</v>
      </c>
      <c r="F16" s="284">
        <f>'Mapa de Riesgos'!F16</f>
        <v>0</v>
      </c>
      <c r="G16" s="285">
        <f>'Mapa de Riesgos'!G16</f>
        <v>0</v>
      </c>
      <c r="H16" s="600"/>
      <c r="I16" s="245">
        <f>'Mapa de Riesgos'!Q16</f>
        <v>7</v>
      </c>
      <c r="J16" s="303">
        <f>'Mapa de Riesgos'!R16</f>
        <v>0</v>
      </c>
      <c r="K16" s="246">
        <f>'Mapa de Riesgos'!T16</f>
        <v>0</v>
      </c>
      <c r="L16" s="246">
        <f>'Mapa de Riesgos'!U16</f>
        <v>0</v>
      </c>
      <c r="M16" s="246">
        <f>'Mapa de Riesgos'!W16</f>
        <v>0</v>
      </c>
      <c r="N16" s="246">
        <f>'Mapa de Riesgos'!X16</f>
        <v>0</v>
      </c>
      <c r="O16" s="246">
        <f>'Mapa de Riesgos'!Y16</f>
        <v>0</v>
      </c>
      <c r="P16" s="232" t="str">
        <f>'Mapa de Riesgos'!AE16</f>
        <v/>
      </c>
      <c r="Q16" s="568"/>
      <c r="R16" s="306"/>
      <c r="S16" s="248"/>
      <c r="T16" s="249"/>
    </row>
    <row r="17" spans="1:20" ht="66" x14ac:dyDescent="0.3">
      <c r="A17" s="601">
        <f>'Mapa de Riesgos'!A17</f>
        <v>2</v>
      </c>
      <c r="B17" s="603" t="str">
        <f>'Mapa de Riesgos'!B17</f>
        <v>GESTIÓN</v>
      </c>
      <c r="C17" s="603" t="str">
        <f>'Mapa de Riesgos'!C17</f>
        <v>Ejecución y Administración de procesos</v>
      </c>
      <c r="D17" s="605" t="str">
        <f>'Mapa de Riesgos'!D17</f>
        <v>Seguimiento inadecuado al cumplimiento de  metas propuestas en los planes de acción.</v>
      </c>
      <c r="E17" s="280" t="str">
        <f>'Mapa de Riesgos'!E17</f>
        <v>Factores Internos (Debilidades)</v>
      </c>
      <c r="F17" s="281" t="str">
        <f>'Mapa de Riesgos'!F17</f>
        <v>1. Inadecuada planificación.</v>
      </c>
      <c r="G17" s="282" t="str">
        <f>'Mapa de Riesgos'!G17</f>
        <v>1. Pérdida de recursos.</v>
      </c>
      <c r="H17" s="599" t="str">
        <f>'Mapa de Riesgos'!P17</f>
        <v>Moderado</v>
      </c>
      <c r="I17" s="240">
        <f>'Mapa de Riesgos'!Q17</f>
        <v>1</v>
      </c>
      <c r="J17" s="302" t="str">
        <f>'Mapa de Riesgos'!R17</f>
        <v>Elaboración de los Planes de Acción derivados del Plan Estratégico de Desarrollo Institucional.</v>
      </c>
      <c r="K17" s="241" t="str">
        <f>'Mapa de Riesgos'!T17</f>
        <v>Preventivo</v>
      </c>
      <c r="L17" s="241" t="str">
        <f>'Mapa de Riesgos'!U17</f>
        <v>Manual</v>
      </c>
      <c r="M17" s="241" t="str">
        <f>'Mapa de Riesgos'!W17</f>
        <v>Documentado</v>
      </c>
      <c r="N17" s="241" t="str">
        <f>'Mapa de Riesgos'!X17</f>
        <v>Continua</v>
      </c>
      <c r="O17" s="241" t="str">
        <f>'Mapa de Riesgos'!Y17</f>
        <v>Con Registro</v>
      </c>
      <c r="P17" s="226" t="str">
        <f>'Mapa de Riesgos'!AE17</f>
        <v>Moderado</v>
      </c>
      <c r="Q17" s="569" t="str">
        <f>'Mapa de Riesgos'!AF17</f>
        <v>Reducir (mitigar)</v>
      </c>
      <c r="R17" s="304" t="s">
        <v>324</v>
      </c>
      <c r="S17" s="243" t="s">
        <v>229</v>
      </c>
      <c r="T17" s="244" t="s">
        <v>323</v>
      </c>
    </row>
    <row r="18" spans="1:20" ht="66" x14ac:dyDescent="0.3">
      <c r="A18" s="601"/>
      <c r="B18" s="603"/>
      <c r="C18" s="603"/>
      <c r="D18" s="605"/>
      <c r="E18" s="280" t="str">
        <f>'Mapa de Riesgos'!E18</f>
        <v>Factores Internos (Debilidades)</v>
      </c>
      <c r="F18" s="281" t="str">
        <f>'Mapa de Riesgos'!F18</f>
        <v>2. Revisión inadecuada de la información reportada por los responsables de cada proceso.</v>
      </c>
      <c r="G18" s="282" t="str">
        <f>'Mapa de Riesgos'!G18</f>
        <v>2. Inversión poco eficaz y eficiente de recursos.</v>
      </c>
      <c r="H18" s="599"/>
      <c r="I18" s="240">
        <f>'Mapa de Riesgos'!Q18</f>
        <v>2</v>
      </c>
      <c r="J18" s="302" t="str">
        <f>'Mapa de Riesgos'!R18</f>
        <v>Ejecución de Cronogramas de Seguimiento.</v>
      </c>
      <c r="K18" s="241" t="str">
        <f>'Mapa de Riesgos'!T18</f>
        <v>Preventivo</v>
      </c>
      <c r="L18" s="241" t="str">
        <f>'Mapa de Riesgos'!U18</f>
        <v>Manual</v>
      </c>
      <c r="M18" s="241" t="str">
        <f>'Mapa de Riesgos'!W18</f>
        <v>Documentado</v>
      </c>
      <c r="N18" s="241" t="str">
        <f>'Mapa de Riesgos'!X18</f>
        <v>Continua</v>
      </c>
      <c r="O18" s="241" t="str">
        <f>'Mapa de Riesgos'!Y18</f>
        <v>Con Registro</v>
      </c>
      <c r="P18" s="226" t="str">
        <f>'Mapa de Riesgos'!AE18</f>
        <v>Moderado</v>
      </c>
      <c r="Q18" s="567"/>
      <c r="R18" s="304" t="s">
        <v>325</v>
      </c>
      <c r="S18" s="243" t="s">
        <v>229</v>
      </c>
      <c r="T18" s="244" t="s">
        <v>323</v>
      </c>
    </row>
    <row r="19" spans="1:20" ht="72.75" x14ac:dyDescent="0.3">
      <c r="A19" s="601"/>
      <c r="B19" s="603"/>
      <c r="C19" s="603"/>
      <c r="D19" s="605"/>
      <c r="E19" s="280" t="str">
        <f>'Mapa de Riesgos'!E19</f>
        <v>Factores Internos (Debilidades)</v>
      </c>
      <c r="F19" s="281" t="str">
        <f>'Mapa de Riesgos'!F19</f>
        <v>3. Falta de recursos.</v>
      </c>
      <c r="G19" s="282" t="str">
        <f>'Mapa de Riesgos'!G19</f>
        <v>3. Pérdida de imagen institucional.</v>
      </c>
      <c r="H19" s="599"/>
      <c r="I19" s="240">
        <f>'Mapa de Riesgos'!Q19</f>
        <v>3</v>
      </c>
      <c r="J19" s="302" t="str">
        <f>'Mapa de Riesgos'!R19</f>
        <v>Generación de reportes con Herramienta  Tecnológica disponible.</v>
      </c>
      <c r="K19" s="241" t="str">
        <f>'Mapa de Riesgos'!T19</f>
        <v>Preventivo</v>
      </c>
      <c r="L19" s="241" t="str">
        <f>'Mapa de Riesgos'!U19</f>
        <v>Automático</v>
      </c>
      <c r="M19" s="241" t="str">
        <f>'Mapa de Riesgos'!W19</f>
        <v>Sin Documentar</v>
      </c>
      <c r="N19" s="241" t="str">
        <f>'Mapa de Riesgos'!X19</f>
        <v>Continua</v>
      </c>
      <c r="O19" s="241" t="str">
        <f>'Mapa de Riesgos'!Y19</f>
        <v>Con Registro</v>
      </c>
      <c r="P19" s="226" t="str">
        <f>'Mapa de Riesgos'!AE19</f>
        <v>Moderado</v>
      </c>
      <c r="Q19" s="567"/>
      <c r="R19" s="326"/>
      <c r="S19" s="243"/>
      <c r="T19" s="244"/>
    </row>
    <row r="20" spans="1:20" ht="72.75" x14ac:dyDescent="0.3">
      <c r="A20" s="601"/>
      <c r="B20" s="603"/>
      <c r="C20" s="603"/>
      <c r="D20" s="605"/>
      <c r="E20" s="280">
        <f>'Mapa de Riesgos'!E20</f>
        <v>0</v>
      </c>
      <c r="F20" s="281" t="str">
        <f>'Mapa de Riesgos'!F20</f>
        <v>4. Entrega de información incompleta e inoportuna por parte de los responsables de cada proceso.</v>
      </c>
      <c r="G20" s="282" t="str">
        <f>'Mapa de Riesgos'!G20</f>
        <v>4. Imposibilidad de mejoras por parte de los procesos.</v>
      </c>
      <c r="H20" s="599"/>
      <c r="I20" s="240">
        <f>'Mapa de Riesgos'!Q20</f>
        <v>4</v>
      </c>
      <c r="J20" s="302" t="str">
        <f>'Mapa de Riesgos'!R20</f>
        <v xml:space="preserve">Revisión detallada de las evidencias validando la información reportada por el proceso. </v>
      </c>
      <c r="K20" s="241" t="str">
        <f>'Mapa de Riesgos'!T20</f>
        <v>Preventivo</v>
      </c>
      <c r="L20" s="241" t="str">
        <f>'Mapa de Riesgos'!U20</f>
        <v>Manual</v>
      </c>
      <c r="M20" s="241" t="str">
        <f>'Mapa de Riesgos'!W20</f>
        <v>Sin Documentar</v>
      </c>
      <c r="N20" s="241" t="str">
        <f>'Mapa de Riesgos'!X20</f>
        <v>Continua</v>
      </c>
      <c r="O20" s="241" t="str">
        <f>'Mapa de Riesgos'!Y20</f>
        <v>Con Registro</v>
      </c>
      <c r="P20" s="226" t="str">
        <f>'Mapa de Riesgos'!AE20</f>
        <v>Moderado</v>
      </c>
      <c r="Q20" s="567"/>
      <c r="R20" s="305"/>
      <c r="S20" s="243"/>
      <c r="T20" s="244"/>
    </row>
    <row r="21" spans="1:20" ht="48" customHeight="1" x14ac:dyDescent="0.3">
      <c r="A21" s="601"/>
      <c r="B21" s="603"/>
      <c r="C21" s="603"/>
      <c r="D21" s="605"/>
      <c r="E21" s="280">
        <f>'Mapa de Riesgos'!E21</f>
        <v>0</v>
      </c>
      <c r="F21" s="281">
        <f>'Mapa de Riesgos'!F21</f>
        <v>0</v>
      </c>
      <c r="G21" s="282" t="str">
        <f>'Mapa de Riesgos'!G21</f>
        <v>5. Pérdida de visibilidad regional y nacional.</v>
      </c>
      <c r="H21" s="599"/>
      <c r="I21" s="240">
        <f>'Mapa de Riesgos'!Q21</f>
        <v>5</v>
      </c>
      <c r="J21" s="302" t="str">
        <f>'Mapa de Riesgos'!R21</f>
        <v>Presentación de informes de gestión ante el Comité Institucional de Gestión y Desempeño y Consejo Directivo, y de la gestión institucional en audiencia pública de rendición de cuentas y ante la Asamblea Departamental.</v>
      </c>
      <c r="K21" s="241" t="str">
        <f>'Mapa de Riesgos'!T21</f>
        <v>Preventivo</v>
      </c>
      <c r="L21" s="241" t="str">
        <f>'Mapa de Riesgos'!U21</f>
        <v>Manual</v>
      </c>
      <c r="M21" s="241" t="str">
        <f>'Mapa de Riesgos'!W21</f>
        <v>Documentado</v>
      </c>
      <c r="N21" s="241" t="str">
        <f>'Mapa de Riesgos'!X21</f>
        <v>Continua</v>
      </c>
      <c r="O21" s="241" t="str">
        <f>'Mapa de Riesgos'!Y21</f>
        <v>Con Registro</v>
      </c>
      <c r="P21" s="226" t="str">
        <f>'Mapa de Riesgos'!AE21</f>
        <v>Moderado</v>
      </c>
      <c r="Q21" s="567"/>
      <c r="R21" s="304"/>
      <c r="S21" s="243"/>
      <c r="T21" s="244"/>
    </row>
    <row r="22" spans="1:20" ht="48" customHeight="1" thickBot="1" x14ac:dyDescent="0.35">
      <c r="A22" s="602"/>
      <c r="B22" s="604"/>
      <c r="C22" s="604"/>
      <c r="D22" s="606"/>
      <c r="E22" s="283">
        <f>'Mapa de Riesgos'!E22</f>
        <v>0</v>
      </c>
      <c r="F22" s="284">
        <f>'Mapa de Riesgos'!F22</f>
        <v>0</v>
      </c>
      <c r="G22" s="285" t="str">
        <f>'Mapa de Riesgos'!G22</f>
        <v xml:space="preserve">6. Investigaciones administrativas por entes de control. </v>
      </c>
      <c r="H22" s="600"/>
      <c r="I22" s="245">
        <f>'Mapa de Riesgos'!Q22</f>
        <v>6</v>
      </c>
      <c r="J22" s="303">
        <f>'Mapa de Riesgos'!R22</f>
        <v>0</v>
      </c>
      <c r="K22" s="246">
        <f>'Mapa de Riesgos'!T22</f>
        <v>0</v>
      </c>
      <c r="L22" s="246">
        <f>'Mapa de Riesgos'!U22</f>
        <v>0</v>
      </c>
      <c r="M22" s="246">
        <f>'Mapa de Riesgos'!W22</f>
        <v>0</v>
      </c>
      <c r="N22" s="246">
        <f>'Mapa de Riesgos'!X22</f>
        <v>0</v>
      </c>
      <c r="O22" s="246">
        <f>'Mapa de Riesgos'!Y22</f>
        <v>0</v>
      </c>
      <c r="P22" s="232" t="str">
        <f>'Mapa de Riesgos'!AE22</f>
        <v/>
      </c>
      <c r="Q22" s="568"/>
      <c r="R22" s="306"/>
      <c r="S22" s="248"/>
      <c r="T22" s="249"/>
    </row>
    <row r="23" spans="1:20" ht="64.5" x14ac:dyDescent="0.3">
      <c r="A23" s="601">
        <f>'Mapa de Riesgos'!A23</f>
        <v>3</v>
      </c>
      <c r="B23" s="603" t="str">
        <f>'Mapa de Riesgos'!B23</f>
        <v>GESTIÓN</v>
      </c>
      <c r="C23" s="603" t="str">
        <f>'Mapa de Riesgos'!C23</f>
        <v>Ejecución y Administración de procesos</v>
      </c>
      <c r="D23" s="605" t="str">
        <f>'Mapa de Riesgos'!D23</f>
        <v>Revisión inadecuada de los requisitos documentales de formulación y viabilización de los proyectos, por parte del equipo de trabajo del Banco de Proyectos.</v>
      </c>
      <c r="E23" s="280" t="str">
        <f>'Mapa de Riesgos'!E23</f>
        <v>Factores Internos (Debilidades)</v>
      </c>
      <c r="F23" s="281" t="str">
        <f>'Mapa de Riesgos'!F23</f>
        <v>1. Error humano.</v>
      </c>
      <c r="G23" s="282" t="str">
        <f>'Mapa de Riesgos'!G23</f>
        <v>1. Sanciones Disciplinarias y/o penales.</v>
      </c>
      <c r="H23" s="599" t="str">
        <f>'Mapa de Riesgos'!P23</f>
        <v>Alto</v>
      </c>
      <c r="I23" s="240">
        <f>'Mapa de Riesgos'!Q23</f>
        <v>1</v>
      </c>
      <c r="J23" s="302" t="str">
        <f>'Mapa de Riesgos'!R23</f>
        <v>Verificación lista de chequeo para  requisitos documentales de los proyectos</v>
      </c>
      <c r="K23" s="241" t="str">
        <f>'Mapa de Riesgos'!T23</f>
        <v>Preventivo</v>
      </c>
      <c r="L23" s="241" t="str">
        <f>'Mapa de Riesgos'!U23</f>
        <v>Manual</v>
      </c>
      <c r="M23" s="241" t="str">
        <f>'Mapa de Riesgos'!W23</f>
        <v>Documentado</v>
      </c>
      <c r="N23" s="241" t="str">
        <f>'Mapa de Riesgos'!X23</f>
        <v>Continua</v>
      </c>
      <c r="O23" s="241" t="str">
        <f>'Mapa de Riesgos'!Y23</f>
        <v>Con Registro</v>
      </c>
      <c r="P23" s="226" t="str">
        <f>'Mapa de Riesgos'!AE23</f>
        <v>Alto</v>
      </c>
      <c r="Q23" s="569" t="str">
        <f>'Mapa de Riesgos'!AF23</f>
        <v>Reducir (mitigar)</v>
      </c>
      <c r="R23" s="304" t="s">
        <v>326</v>
      </c>
      <c r="S23" s="291" t="s">
        <v>229</v>
      </c>
      <c r="T23" s="244" t="s">
        <v>323</v>
      </c>
    </row>
    <row r="24" spans="1:20" ht="49.5" x14ac:dyDescent="0.3">
      <c r="A24" s="601"/>
      <c r="B24" s="603"/>
      <c r="C24" s="603"/>
      <c r="D24" s="605"/>
      <c r="E24" s="280" t="str">
        <f>'Mapa de Riesgos'!E24</f>
        <v>Factores Internos (Debilidades)</v>
      </c>
      <c r="F24" s="281" t="str">
        <f>'Mapa de Riesgos'!F24</f>
        <v>2. Desconocimiento del proceso de revisión de los proyectos.</v>
      </c>
      <c r="G24" s="282" t="str">
        <f>'Mapa de Riesgos'!G24</f>
        <v>2. Demoras en las etapas de elaboración del proyecto y contractual.</v>
      </c>
      <c r="H24" s="599"/>
      <c r="I24" s="240">
        <f>'Mapa de Riesgos'!Q24</f>
        <v>2</v>
      </c>
      <c r="J24" s="302">
        <f>'Mapa de Riesgos'!R24</f>
        <v>0</v>
      </c>
      <c r="K24" s="241">
        <f>'Mapa de Riesgos'!T24</f>
        <v>0</v>
      </c>
      <c r="L24" s="241">
        <f>'Mapa de Riesgos'!U24</f>
        <v>0</v>
      </c>
      <c r="M24" s="241">
        <f>'Mapa de Riesgos'!W24</f>
        <v>0</v>
      </c>
      <c r="N24" s="241">
        <f>'Mapa de Riesgos'!X24</f>
        <v>0</v>
      </c>
      <c r="O24" s="241">
        <f>'Mapa de Riesgos'!Y24</f>
        <v>0</v>
      </c>
      <c r="P24" s="226" t="str">
        <f>'Mapa de Riesgos'!AE24</f>
        <v/>
      </c>
      <c r="Q24" s="567"/>
      <c r="R24" s="304"/>
      <c r="S24" s="291"/>
      <c r="T24" s="244"/>
    </row>
    <row r="25" spans="1:20" ht="72.75" customHeight="1" x14ac:dyDescent="0.3">
      <c r="A25" s="601"/>
      <c r="B25" s="603"/>
      <c r="C25" s="603"/>
      <c r="D25" s="605"/>
      <c r="E25" s="280">
        <f>'Mapa de Riesgos'!E25</f>
        <v>0</v>
      </c>
      <c r="F25" s="281">
        <f>'Mapa de Riesgos'!F25</f>
        <v>0</v>
      </c>
      <c r="G25" s="282" t="str">
        <f>'Mapa de Riesgos'!G25</f>
        <v>3. Reprocesos.</v>
      </c>
      <c r="H25" s="599"/>
      <c r="I25" s="240">
        <f>'Mapa de Riesgos'!Q25</f>
        <v>3</v>
      </c>
      <c r="J25" s="302">
        <f>'Mapa de Riesgos'!R25</f>
        <v>0</v>
      </c>
      <c r="K25" s="241">
        <f>'Mapa de Riesgos'!T25</f>
        <v>0</v>
      </c>
      <c r="L25" s="241">
        <f>'Mapa de Riesgos'!U25</f>
        <v>0</v>
      </c>
      <c r="M25" s="241">
        <f>'Mapa de Riesgos'!W25</f>
        <v>0</v>
      </c>
      <c r="N25" s="241">
        <f>'Mapa de Riesgos'!X25</f>
        <v>0</v>
      </c>
      <c r="O25" s="241">
        <f>'Mapa de Riesgos'!Y25</f>
        <v>0</v>
      </c>
      <c r="P25" s="226" t="str">
        <f>'Mapa de Riesgos'!AE25</f>
        <v/>
      </c>
      <c r="Q25" s="567"/>
      <c r="R25" s="304"/>
      <c r="S25" s="291"/>
      <c r="T25" s="244"/>
    </row>
    <row r="26" spans="1:20" x14ac:dyDescent="0.3">
      <c r="A26" s="601"/>
      <c r="B26" s="603"/>
      <c r="C26" s="603"/>
      <c r="D26" s="605"/>
      <c r="E26" s="280">
        <f>'Mapa de Riesgos'!E26</f>
        <v>0</v>
      </c>
      <c r="F26" s="281">
        <f>'Mapa de Riesgos'!F26</f>
        <v>0</v>
      </c>
      <c r="G26" s="282" t="str">
        <f>'Mapa de Riesgos'!G26</f>
        <v>4. Hallazgos en auditorías.</v>
      </c>
      <c r="H26" s="599"/>
      <c r="I26" s="240">
        <f>'Mapa de Riesgos'!Q26</f>
        <v>4</v>
      </c>
      <c r="J26" s="302">
        <f>'Mapa de Riesgos'!R26</f>
        <v>0</v>
      </c>
      <c r="K26" s="241">
        <f>'Mapa de Riesgos'!T26</f>
        <v>0</v>
      </c>
      <c r="L26" s="241">
        <f>'Mapa de Riesgos'!U26</f>
        <v>0</v>
      </c>
      <c r="M26" s="241">
        <f>'Mapa de Riesgos'!W26</f>
        <v>0</v>
      </c>
      <c r="N26" s="241">
        <f>'Mapa de Riesgos'!X26</f>
        <v>0</v>
      </c>
      <c r="O26" s="241">
        <f>'Mapa de Riesgos'!Y26</f>
        <v>0</v>
      </c>
      <c r="P26" s="226" t="str">
        <f>'Mapa de Riesgos'!AE26</f>
        <v/>
      </c>
      <c r="Q26" s="567"/>
      <c r="R26" s="304"/>
      <c r="S26" s="291"/>
      <c r="T26" s="244"/>
    </row>
    <row r="27" spans="1:20" ht="42" customHeight="1" x14ac:dyDescent="0.3">
      <c r="A27" s="601"/>
      <c r="B27" s="603"/>
      <c r="C27" s="603"/>
      <c r="D27" s="605"/>
      <c r="E27" s="280">
        <f>'Mapa de Riesgos'!E27</f>
        <v>0</v>
      </c>
      <c r="F27" s="281">
        <f>'Mapa de Riesgos'!F27</f>
        <v>0</v>
      </c>
      <c r="G27" s="282">
        <f>'Mapa de Riesgos'!G27</f>
        <v>0</v>
      </c>
      <c r="H27" s="599"/>
      <c r="I27" s="240">
        <f>'Mapa de Riesgos'!Q27</f>
        <v>5</v>
      </c>
      <c r="J27" s="302">
        <f>'Mapa de Riesgos'!R27</f>
        <v>0</v>
      </c>
      <c r="K27" s="241">
        <f>'Mapa de Riesgos'!T27</f>
        <v>0</v>
      </c>
      <c r="L27" s="241">
        <f>'Mapa de Riesgos'!U27</f>
        <v>0</v>
      </c>
      <c r="M27" s="241">
        <f>'Mapa de Riesgos'!W27</f>
        <v>0</v>
      </c>
      <c r="N27" s="241">
        <f>'Mapa de Riesgos'!X27</f>
        <v>0</v>
      </c>
      <c r="O27" s="241">
        <f>'Mapa de Riesgos'!Y27</f>
        <v>0</v>
      </c>
      <c r="P27" s="226" t="str">
        <f>'Mapa de Riesgos'!AE27</f>
        <v/>
      </c>
      <c r="Q27" s="567"/>
      <c r="R27" s="304"/>
      <c r="S27" s="243"/>
      <c r="T27" s="244"/>
    </row>
    <row r="28" spans="1:20" ht="42" customHeight="1" thickBot="1" x14ac:dyDescent="0.35">
      <c r="A28" s="602"/>
      <c r="B28" s="604"/>
      <c r="C28" s="604"/>
      <c r="D28" s="606"/>
      <c r="E28" s="283">
        <f>'Mapa de Riesgos'!E28</f>
        <v>0</v>
      </c>
      <c r="F28" s="284">
        <f>'Mapa de Riesgos'!F28</f>
        <v>0</v>
      </c>
      <c r="G28" s="285">
        <f>'Mapa de Riesgos'!G28</f>
        <v>0</v>
      </c>
      <c r="H28" s="600"/>
      <c r="I28" s="245">
        <f>'Mapa de Riesgos'!Q28</f>
        <v>6</v>
      </c>
      <c r="J28" s="303">
        <f>'Mapa de Riesgos'!R28</f>
        <v>0</v>
      </c>
      <c r="K28" s="246">
        <f>'Mapa de Riesgos'!T28</f>
        <v>0</v>
      </c>
      <c r="L28" s="246">
        <f>'Mapa de Riesgos'!U28</f>
        <v>0</v>
      </c>
      <c r="M28" s="246">
        <f>'Mapa de Riesgos'!W28</f>
        <v>0</v>
      </c>
      <c r="N28" s="246">
        <f>'Mapa de Riesgos'!X28</f>
        <v>0</v>
      </c>
      <c r="O28" s="246">
        <f>'Mapa de Riesgos'!Y28</f>
        <v>0</v>
      </c>
      <c r="P28" s="232" t="str">
        <f>'Mapa de Riesgos'!AE28</f>
        <v/>
      </c>
      <c r="Q28" s="568"/>
      <c r="R28" s="306"/>
      <c r="S28" s="248"/>
      <c r="T28" s="249"/>
    </row>
    <row r="29" spans="1:20" ht="99" x14ac:dyDescent="0.3">
      <c r="A29" s="601">
        <f>'Mapa de Riesgos'!A29</f>
        <v>4</v>
      </c>
      <c r="B29" s="603" t="str">
        <f>'Mapa de Riesgos'!B29</f>
        <v>SEGURIDAD DE LA INFORMACIÓN</v>
      </c>
      <c r="C29" s="603" t="str">
        <f>'Mapa de Riesgos'!C29</f>
        <v>Usuarios, productos y practicas , organizacionales</v>
      </c>
      <c r="D29" s="605" t="str">
        <f>'Mapa de Riesgos'!D29</f>
        <v>Daño en activos de información: comunicaciones, informes, estadísticas, registros, entre otros.</v>
      </c>
      <c r="E29" s="280" t="str">
        <f>'Mapa de Riesgos'!E29</f>
        <v>Factores Internos (Debilidades)</v>
      </c>
      <c r="F29" s="281" t="str">
        <f>'Mapa de Riesgos'!F29</f>
        <v>1. Uso mal intencionado de la información contenida en los equipos de cómputo y en el correo institucional de la Oficina de Planeación, por parte de usuarios de la información o piratas informáticos.</v>
      </c>
      <c r="G29" s="282" t="str">
        <f>'Mapa de Riesgos'!G29</f>
        <v>1. Pérdida de información de la institución y del proceso de Planeación</v>
      </c>
      <c r="H29" s="599" t="str">
        <f>'Mapa de Riesgos'!P29</f>
        <v>Bajo</v>
      </c>
      <c r="I29" s="240">
        <f>'Mapa de Riesgos'!Q29</f>
        <v>1</v>
      </c>
      <c r="J29" s="302" t="str">
        <f>'Mapa de Riesgos'!R29</f>
        <v>Uso de ONE DRIVE para las copias de seguridad de información.</v>
      </c>
      <c r="K29" s="241" t="str">
        <f>'Mapa de Riesgos'!T29</f>
        <v>Preventivo</v>
      </c>
      <c r="L29" s="241" t="str">
        <f>'Mapa de Riesgos'!U29</f>
        <v>Manual</v>
      </c>
      <c r="M29" s="241" t="str">
        <f>'Mapa de Riesgos'!W29</f>
        <v>Sin Documentar</v>
      </c>
      <c r="N29" s="241" t="str">
        <f>'Mapa de Riesgos'!X29</f>
        <v>Continua</v>
      </c>
      <c r="O29" s="241" t="str">
        <f>'Mapa de Riesgos'!Y29</f>
        <v>Con Registro</v>
      </c>
      <c r="P29" s="226" t="str">
        <f>'Mapa de Riesgos'!AE29</f>
        <v>Bajo</v>
      </c>
      <c r="Q29" s="569" t="str">
        <f>'Mapa de Riesgos'!AF29</f>
        <v>Reducir (mitigar)</v>
      </c>
      <c r="R29" s="290" t="s">
        <v>327</v>
      </c>
      <c r="S29" s="243" t="s">
        <v>229</v>
      </c>
      <c r="T29" s="244" t="s">
        <v>323</v>
      </c>
    </row>
    <row r="30" spans="1:20" ht="82.5" x14ac:dyDescent="0.3">
      <c r="A30" s="601"/>
      <c r="B30" s="603"/>
      <c r="C30" s="603"/>
      <c r="D30" s="605"/>
      <c r="E30" s="280" t="str">
        <f>'Mapa de Riesgos'!E30</f>
        <v>Factores Internos (Debilidades)</v>
      </c>
      <c r="F30" s="281" t="str">
        <f>'Mapa de Riesgos'!F30</f>
        <v>2. Inadecuado manejo de contraseñas y datos de acceso al correo electrónico y medios de almacenamiento de información de la Oficina de Planeación.</v>
      </c>
      <c r="G30" s="282" t="str">
        <f>'Mapa de Riesgos'!G30</f>
        <v>2. Reproceso en la recopilación de la información</v>
      </c>
      <c r="H30" s="599"/>
      <c r="I30" s="240">
        <f>'Mapa de Riesgos'!Q30</f>
        <v>2</v>
      </c>
      <c r="J30" s="302">
        <f>'Mapa de Riesgos'!R30</f>
        <v>0</v>
      </c>
      <c r="K30" s="241">
        <f>'Mapa de Riesgos'!T30</f>
        <v>0</v>
      </c>
      <c r="L30" s="241">
        <f>'Mapa de Riesgos'!U30</f>
        <v>0</v>
      </c>
      <c r="M30" s="241">
        <f>'Mapa de Riesgos'!W30</f>
        <v>0</v>
      </c>
      <c r="N30" s="241">
        <f>'Mapa de Riesgos'!X30</f>
        <v>0</v>
      </c>
      <c r="O30" s="241">
        <f>'Mapa de Riesgos'!Y30</f>
        <v>0</v>
      </c>
      <c r="P30" s="226" t="str">
        <f>'Mapa de Riesgos'!AE30</f>
        <v/>
      </c>
      <c r="Q30" s="567"/>
      <c r="R30" s="290"/>
      <c r="S30" s="243"/>
      <c r="T30" s="244"/>
    </row>
    <row r="31" spans="1:20" ht="33" x14ac:dyDescent="0.3">
      <c r="A31" s="601"/>
      <c r="B31" s="603"/>
      <c r="C31" s="603"/>
      <c r="D31" s="605"/>
      <c r="E31" s="280">
        <f>'Mapa de Riesgos'!E31</f>
        <v>0</v>
      </c>
      <c r="F31" s="281">
        <f>'Mapa de Riesgos'!F31</f>
        <v>0</v>
      </c>
      <c r="G31" s="282" t="str">
        <f>'Mapa de Riesgos'!G31</f>
        <v>3. Afectación de la imagen institucional</v>
      </c>
      <c r="H31" s="599"/>
      <c r="I31" s="240">
        <f>'Mapa de Riesgos'!Q31</f>
        <v>3</v>
      </c>
      <c r="J31" s="302">
        <f>'Mapa de Riesgos'!R31</f>
        <v>0</v>
      </c>
      <c r="K31" s="241">
        <f>'Mapa de Riesgos'!T31</f>
        <v>0</v>
      </c>
      <c r="L31" s="241">
        <f>'Mapa de Riesgos'!U31</f>
        <v>0</v>
      </c>
      <c r="M31" s="241">
        <f>'Mapa de Riesgos'!W31</f>
        <v>0</v>
      </c>
      <c r="N31" s="241">
        <f>'Mapa de Riesgos'!X31</f>
        <v>0</v>
      </c>
      <c r="O31" s="241">
        <f>'Mapa de Riesgos'!Y31</f>
        <v>0</v>
      </c>
      <c r="P31" s="226" t="str">
        <f>'Mapa de Riesgos'!AE31</f>
        <v/>
      </c>
      <c r="Q31" s="567"/>
      <c r="R31" s="290"/>
      <c r="S31" s="243"/>
      <c r="T31" s="244"/>
    </row>
    <row r="32" spans="1:20" ht="43.5" customHeight="1" x14ac:dyDescent="0.3">
      <c r="A32" s="601"/>
      <c r="B32" s="603"/>
      <c r="C32" s="603"/>
      <c r="D32" s="605"/>
      <c r="E32" s="280">
        <f>'Mapa de Riesgos'!E32</f>
        <v>0</v>
      </c>
      <c r="F32" s="281">
        <f>'Mapa de Riesgos'!F32</f>
        <v>0</v>
      </c>
      <c r="G32" s="282">
        <f>'Mapa de Riesgos'!G32</f>
        <v>0</v>
      </c>
      <c r="H32" s="599"/>
      <c r="I32" s="240">
        <f>'Mapa de Riesgos'!Q32</f>
        <v>4</v>
      </c>
      <c r="J32" s="302">
        <f>'Mapa de Riesgos'!R32</f>
        <v>0</v>
      </c>
      <c r="K32" s="241">
        <f>'Mapa de Riesgos'!T32</f>
        <v>0</v>
      </c>
      <c r="L32" s="241">
        <f>'Mapa de Riesgos'!U32</f>
        <v>0</v>
      </c>
      <c r="M32" s="241">
        <f>'Mapa de Riesgos'!W32</f>
        <v>0</v>
      </c>
      <c r="N32" s="241">
        <f>'Mapa de Riesgos'!X32</f>
        <v>0</v>
      </c>
      <c r="O32" s="241">
        <f>'Mapa de Riesgos'!Y32</f>
        <v>0</v>
      </c>
      <c r="P32" s="226" t="str">
        <f>'Mapa de Riesgos'!AE32</f>
        <v/>
      </c>
      <c r="Q32" s="567"/>
      <c r="R32" s="290"/>
      <c r="S32" s="243"/>
      <c r="T32" s="244"/>
    </row>
    <row r="33" spans="1:20" ht="43.5" customHeight="1" x14ac:dyDescent="0.3">
      <c r="A33" s="601"/>
      <c r="B33" s="603"/>
      <c r="C33" s="603"/>
      <c r="D33" s="605"/>
      <c r="E33" s="280">
        <f>'Mapa de Riesgos'!E33</f>
        <v>0</v>
      </c>
      <c r="F33" s="281">
        <f>'Mapa de Riesgos'!F33</f>
        <v>0</v>
      </c>
      <c r="G33" s="282">
        <f>'Mapa de Riesgos'!G33</f>
        <v>0</v>
      </c>
      <c r="H33" s="599"/>
      <c r="I33" s="240">
        <f>'Mapa de Riesgos'!Q33</f>
        <v>5</v>
      </c>
      <c r="J33" s="302">
        <f>'Mapa de Riesgos'!R33</f>
        <v>0</v>
      </c>
      <c r="K33" s="241">
        <f>'Mapa de Riesgos'!T33</f>
        <v>0</v>
      </c>
      <c r="L33" s="241">
        <f>'Mapa de Riesgos'!U33</f>
        <v>0</v>
      </c>
      <c r="M33" s="241">
        <f>'Mapa de Riesgos'!W33</f>
        <v>0</v>
      </c>
      <c r="N33" s="241">
        <f>'Mapa de Riesgos'!X33</f>
        <v>0</v>
      </c>
      <c r="O33" s="241">
        <f>'Mapa de Riesgos'!Y33</f>
        <v>0</v>
      </c>
      <c r="P33" s="226" t="str">
        <f>'Mapa de Riesgos'!AE33</f>
        <v/>
      </c>
      <c r="Q33" s="567"/>
      <c r="R33" s="304"/>
      <c r="S33" s="243"/>
      <c r="T33" s="244"/>
    </row>
    <row r="34" spans="1:20" ht="43.5" customHeight="1" thickBot="1" x14ac:dyDescent="0.35">
      <c r="A34" s="602"/>
      <c r="B34" s="604"/>
      <c r="C34" s="604"/>
      <c r="D34" s="606"/>
      <c r="E34" s="283">
        <f>'Mapa de Riesgos'!E34</f>
        <v>0</v>
      </c>
      <c r="F34" s="284">
        <f>'Mapa de Riesgos'!F34</f>
        <v>0</v>
      </c>
      <c r="G34" s="285">
        <f>'Mapa de Riesgos'!G34</f>
        <v>0</v>
      </c>
      <c r="H34" s="600"/>
      <c r="I34" s="245">
        <f>'Mapa de Riesgos'!Q34</f>
        <v>6</v>
      </c>
      <c r="J34" s="303">
        <f>'Mapa de Riesgos'!R34</f>
        <v>0</v>
      </c>
      <c r="K34" s="246">
        <f>'Mapa de Riesgos'!T34</f>
        <v>0</v>
      </c>
      <c r="L34" s="246">
        <f>'Mapa de Riesgos'!U34</f>
        <v>0</v>
      </c>
      <c r="M34" s="246">
        <f>'Mapa de Riesgos'!W34</f>
        <v>0</v>
      </c>
      <c r="N34" s="246">
        <f>'Mapa de Riesgos'!X34</f>
        <v>0</v>
      </c>
      <c r="O34" s="246">
        <f>'Mapa de Riesgos'!Y34</f>
        <v>0</v>
      </c>
      <c r="P34" s="232" t="str">
        <f>'Mapa de Riesgos'!AE34</f>
        <v/>
      </c>
      <c r="Q34" s="568"/>
      <c r="R34" s="306"/>
      <c r="S34" s="248"/>
      <c r="T34" s="249"/>
    </row>
    <row r="35" spans="1:20" ht="43.5" customHeight="1" x14ac:dyDescent="0.3">
      <c r="A35" s="601">
        <f>'Mapa de Riesgos'!A35</f>
        <v>6</v>
      </c>
      <c r="B35" s="603">
        <f>'Mapa de Riesgos'!B35</f>
        <v>0</v>
      </c>
      <c r="C35" s="603">
        <f>'Mapa de Riesgos'!C35</f>
        <v>0</v>
      </c>
      <c r="D35" s="605">
        <f>'Mapa de Riesgos'!D35</f>
        <v>0</v>
      </c>
      <c r="E35" s="280">
        <f>'Mapa de Riesgos'!E35</f>
        <v>0</v>
      </c>
      <c r="F35" s="281">
        <f>'Mapa de Riesgos'!F35</f>
        <v>0</v>
      </c>
      <c r="G35" s="282">
        <f>'Mapa de Riesgos'!G35</f>
        <v>0</v>
      </c>
      <c r="H35" s="599" t="str">
        <f>'Mapa de Riesgos'!P35</f>
        <v/>
      </c>
      <c r="I35" s="240">
        <f>'Mapa de Riesgos'!Q35</f>
        <v>1</v>
      </c>
      <c r="J35" s="302">
        <f>'Mapa de Riesgos'!R35</f>
        <v>0</v>
      </c>
      <c r="K35" s="241">
        <f>'Mapa de Riesgos'!T35</f>
        <v>0</v>
      </c>
      <c r="L35" s="241">
        <f>'Mapa de Riesgos'!U35</f>
        <v>0</v>
      </c>
      <c r="M35" s="241">
        <f>'Mapa de Riesgos'!W35</f>
        <v>0</v>
      </c>
      <c r="N35" s="241">
        <f>'Mapa de Riesgos'!X35</f>
        <v>0</v>
      </c>
      <c r="O35" s="241">
        <f>'Mapa de Riesgos'!Y35</f>
        <v>0</v>
      </c>
      <c r="P35" s="226" t="str">
        <f>'Mapa de Riesgos'!AE35</f>
        <v/>
      </c>
      <c r="Q35" s="242">
        <f>'Mapa de Riesgos'!AF35</f>
        <v>0</v>
      </c>
      <c r="R35" s="304"/>
      <c r="S35" s="243"/>
      <c r="T35" s="244"/>
    </row>
    <row r="36" spans="1:20" ht="43.5" customHeight="1" x14ac:dyDescent="0.3">
      <c r="A36" s="601"/>
      <c r="B36" s="603"/>
      <c r="C36" s="603"/>
      <c r="D36" s="605"/>
      <c r="E36" s="280">
        <f>'Mapa de Riesgos'!E36</f>
        <v>0</v>
      </c>
      <c r="F36" s="281">
        <f>'Mapa de Riesgos'!F36</f>
        <v>0</v>
      </c>
      <c r="G36" s="282">
        <f>'Mapa de Riesgos'!G36</f>
        <v>0</v>
      </c>
      <c r="H36" s="599"/>
      <c r="I36" s="240">
        <f>'Mapa de Riesgos'!Q36</f>
        <v>2</v>
      </c>
      <c r="J36" s="302">
        <f>'Mapa de Riesgos'!R36</f>
        <v>0</v>
      </c>
      <c r="K36" s="241">
        <f>'Mapa de Riesgos'!T36</f>
        <v>0</v>
      </c>
      <c r="L36" s="241">
        <f>'Mapa de Riesgos'!U36</f>
        <v>0</v>
      </c>
      <c r="M36" s="241">
        <f>'Mapa de Riesgos'!W36</f>
        <v>0</v>
      </c>
      <c r="N36" s="241">
        <f>'Mapa de Riesgos'!X36</f>
        <v>0</v>
      </c>
      <c r="O36" s="241">
        <f>'Mapa de Riesgos'!Y36</f>
        <v>0</v>
      </c>
      <c r="P36" s="226" t="str">
        <f>'Mapa de Riesgos'!AE36</f>
        <v/>
      </c>
      <c r="Q36" s="242">
        <f>'Mapa de Riesgos'!AF36</f>
        <v>0</v>
      </c>
      <c r="R36" s="304"/>
      <c r="S36" s="243"/>
      <c r="T36" s="244"/>
    </row>
    <row r="37" spans="1:20" ht="43.5" customHeight="1" x14ac:dyDescent="0.3">
      <c r="A37" s="601"/>
      <c r="B37" s="603"/>
      <c r="C37" s="603"/>
      <c r="D37" s="605"/>
      <c r="E37" s="280">
        <f>'Mapa de Riesgos'!E37</f>
        <v>0</v>
      </c>
      <c r="F37" s="281">
        <f>'Mapa de Riesgos'!F37</f>
        <v>0</v>
      </c>
      <c r="G37" s="282">
        <f>'Mapa de Riesgos'!G37</f>
        <v>0</v>
      </c>
      <c r="H37" s="599"/>
      <c r="I37" s="240">
        <f>'Mapa de Riesgos'!Q37</f>
        <v>3</v>
      </c>
      <c r="J37" s="302">
        <f>'Mapa de Riesgos'!R37</f>
        <v>0</v>
      </c>
      <c r="K37" s="241">
        <f>'Mapa de Riesgos'!T37</f>
        <v>0</v>
      </c>
      <c r="L37" s="241">
        <f>'Mapa de Riesgos'!U37</f>
        <v>0</v>
      </c>
      <c r="M37" s="241">
        <f>'Mapa de Riesgos'!W37</f>
        <v>0</v>
      </c>
      <c r="N37" s="241">
        <f>'Mapa de Riesgos'!X37</f>
        <v>0</v>
      </c>
      <c r="O37" s="241">
        <f>'Mapa de Riesgos'!Y37</f>
        <v>0</v>
      </c>
      <c r="P37" s="226" t="str">
        <f>'Mapa de Riesgos'!AE37</f>
        <v/>
      </c>
      <c r="Q37" s="242">
        <f>'Mapa de Riesgos'!AF37</f>
        <v>0</v>
      </c>
      <c r="R37" s="304"/>
      <c r="S37" s="243"/>
      <c r="T37" s="244"/>
    </row>
    <row r="38" spans="1:20" ht="43.5" customHeight="1" x14ac:dyDescent="0.3">
      <c r="A38" s="601"/>
      <c r="B38" s="603"/>
      <c r="C38" s="603"/>
      <c r="D38" s="605"/>
      <c r="E38" s="280">
        <f>'Mapa de Riesgos'!E38</f>
        <v>0</v>
      </c>
      <c r="F38" s="281">
        <f>'Mapa de Riesgos'!F38</f>
        <v>0</v>
      </c>
      <c r="G38" s="282">
        <f>'Mapa de Riesgos'!G38</f>
        <v>0</v>
      </c>
      <c r="H38" s="599"/>
      <c r="I38" s="240">
        <f>'Mapa de Riesgos'!Q38</f>
        <v>4</v>
      </c>
      <c r="J38" s="302">
        <f>'Mapa de Riesgos'!R38</f>
        <v>0</v>
      </c>
      <c r="K38" s="241">
        <f>'Mapa de Riesgos'!T38</f>
        <v>0</v>
      </c>
      <c r="L38" s="241">
        <f>'Mapa de Riesgos'!U38</f>
        <v>0</v>
      </c>
      <c r="M38" s="241">
        <f>'Mapa de Riesgos'!W38</f>
        <v>0</v>
      </c>
      <c r="N38" s="241">
        <f>'Mapa de Riesgos'!X38</f>
        <v>0</v>
      </c>
      <c r="O38" s="241">
        <f>'Mapa de Riesgos'!Y38</f>
        <v>0</v>
      </c>
      <c r="P38" s="226" t="str">
        <f>'Mapa de Riesgos'!AE38</f>
        <v/>
      </c>
      <c r="Q38" s="242">
        <f>'Mapa de Riesgos'!AF38</f>
        <v>0</v>
      </c>
      <c r="R38" s="304"/>
      <c r="S38" s="243"/>
      <c r="T38" s="244"/>
    </row>
    <row r="39" spans="1:20" ht="43.5" customHeight="1" x14ac:dyDescent="0.3">
      <c r="A39" s="601"/>
      <c r="B39" s="603"/>
      <c r="C39" s="603"/>
      <c r="D39" s="605"/>
      <c r="E39" s="280">
        <f>'Mapa de Riesgos'!E39</f>
        <v>0</v>
      </c>
      <c r="F39" s="281">
        <f>'Mapa de Riesgos'!F39</f>
        <v>0</v>
      </c>
      <c r="G39" s="282">
        <f>'Mapa de Riesgos'!G39</f>
        <v>0</v>
      </c>
      <c r="H39" s="599"/>
      <c r="I39" s="240">
        <f>'Mapa de Riesgos'!Q39</f>
        <v>5</v>
      </c>
      <c r="J39" s="302">
        <f>'Mapa de Riesgos'!R39</f>
        <v>0</v>
      </c>
      <c r="K39" s="241">
        <f>'Mapa de Riesgos'!T39</f>
        <v>0</v>
      </c>
      <c r="L39" s="241">
        <f>'Mapa de Riesgos'!U39</f>
        <v>0</v>
      </c>
      <c r="M39" s="241">
        <f>'Mapa de Riesgos'!W39</f>
        <v>0</v>
      </c>
      <c r="N39" s="241">
        <f>'Mapa de Riesgos'!X39</f>
        <v>0</v>
      </c>
      <c r="O39" s="241">
        <f>'Mapa de Riesgos'!Y39</f>
        <v>0</v>
      </c>
      <c r="P39" s="226" t="str">
        <f>'Mapa de Riesgos'!AE39</f>
        <v/>
      </c>
      <c r="Q39" s="242">
        <f>'Mapa de Riesgos'!AF39</f>
        <v>0</v>
      </c>
      <c r="R39" s="304"/>
      <c r="S39" s="243"/>
      <c r="T39" s="244"/>
    </row>
    <row r="40" spans="1:20" ht="43.5" customHeight="1" thickBot="1" x14ac:dyDescent="0.35">
      <c r="A40" s="602"/>
      <c r="B40" s="604"/>
      <c r="C40" s="604"/>
      <c r="D40" s="606"/>
      <c r="E40" s="283">
        <f>'Mapa de Riesgos'!E40</f>
        <v>0</v>
      </c>
      <c r="F40" s="284">
        <f>'Mapa de Riesgos'!F40</f>
        <v>0</v>
      </c>
      <c r="G40" s="285">
        <f>'Mapa de Riesgos'!G40</f>
        <v>0</v>
      </c>
      <c r="H40" s="600"/>
      <c r="I40" s="245">
        <f>'Mapa de Riesgos'!Q40</f>
        <v>6</v>
      </c>
      <c r="J40" s="303">
        <f>'Mapa de Riesgos'!R40</f>
        <v>0</v>
      </c>
      <c r="K40" s="246">
        <f>'Mapa de Riesgos'!T40</f>
        <v>0</v>
      </c>
      <c r="L40" s="246">
        <f>'Mapa de Riesgos'!U40</f>
        <v>0</v>
      </c>
      <c r="M40" s="246">
        <f>'Mapa de Riesgos'!W40</f>
        <v>0</v>
      </c>
      <c r="N40" s="246">
        <f>'Mapa de Riesgos'!X40</f>
        <v>0</v>
      </c>
      <c r="O40" s="246">
        <f>'Mapa de Riesgos'!Y40</f>
        <v>0</v>
      </c>
      <c r="P40" s="232" t="str">
        <f>'Mapa de Riesgos'!AE40</f>
        <v/>
      </c>
      <c r="Q40" s="247">
        <f>'Mapa de Riesgos'!AF40</f>
        <v>0</v>
      </c>
      <c r="R40" s="306"/>
      <c r="S40" s="248"/>
      <c r="T40" s="249"/>
    </row>
    <row r="41" spans="1:20" ht="43.5" customHeight="1" x14ac:dyDescent="0.3">
      <c r="A41" s="601">
        <f>'Mapa de Riesgos'!A41</f>
        <v>7</v>
      </c>
      <c r="B41" s="603">
        <f>'Mapa de Riesgos'!B41</f>
        <v>0</v>
      </c>
      <c r="C41" s="603">
        <f>'Mapa de Riesgos'!C41</f>
        <v>0</v>
      </c>
      <c r="D41" s="605">
        <f>'Mapa de Riesgos'!D41</f>
        <v>0</v>
      </c>
      <c r="E41" s="280">
        <f>'Mapa de Riesgos'!E41</f>
        <v>0</v>
      </c>
      <c r="F41" s="281">
        <f>'Mapa de Riesgos'!F41</f>
        <v>0</v>
      </c>
      <c r="G41" s="282">
        <f>'Mapa de Riesgos'!G41</f>
        <v>0</v>
      </c>
      <c r="H41" s="599">
        <f>'Mapa de Riesgos'!P41</f>
        <v>0</v>
      </c>
      <c r="I41" s="240">
        <f>'Mapa de Riesgos'!Q41</f>
        <v>0</v>
      </c>
      <c r="J41" s="302">
        <f>'Mapa de Riesgos'!R41</f>
        <v>0</v>
      </c>
      <c r="K41" s="241">
        <f>'Mapa de Riesgos'!T41</f>
        <v>0</v>
      </c>
      <c r="L41" s="241">
        <f>'Mapa de Riesgos'!U41</f>
        <v>0</v>
      </c>
      <c r="M41" s="241">
        <f>'Mapa de Riesgos'!W41</f>
        <v>0</v>
      </c>
      <c r="N41" s="241">
        <f>'Mapa de Riesgos'!X41</f>
        <v>0</v>
      </c>
      <c r="O41" s="241">
        <f>'Mapa de Riesgos'!Y41</f>
        <v>0</v>
      </c>
      <c r="P41" s="226" t="str">
        <f>'Mapa de Riesgos'!AE41</f>
        <v/>
      </c>
      <c r="Q41" s="242">
        <f>'Mapa de Riesgos'!AF41</f>
        <v>0</v>
      </c>
      <c r="R41" s="304"/>
      <c r="S41" s="243"/>
      <c r="T41" s="244"/>
    </row>
    <row r="42" spans="1:20" ht="43.5" customHeight="1" x14ac:dyDescent="0.3">
      <c r="A42" s="601"/>
      <c r="B42" s="603"/>
      <c r="C42" s="603"/>
      <c r="D42" s="605"/>
      <c r="E42" s="280">
        <f>'Mapa de Riesgos'!E42</f>
        <v>0</v>
      </c>
      <c r="F42" s="281">
        <f>'Mapa de Riesgos'!F42</f>
        <v>0</v>
      </c>
      <c r="G42" s="282">
        <f>'Mapa de Riesgos'!G42</f>
        <v>0</v>
      </c>
      <c r="H42" s="599"/>
      <c r="I42" s="240">
        <f>'Mapa de Riesgos'!Q42</f>
        <v>0</v>
      </c>
      <c r="J42" s="302">
        <f>'Mapa de Riesgos'!R42</f>
        <v>0</v>
      </c>
      <c r="K42" s="241">
        <f>'Mapa de Riesgos'!T42</f>
        <v>0</v>
      </c>
      <c r="L42" s="241">
        <f>'Mapa de Riesgos'!U42</f>
        <v>0</v>
      </c>
      <c r="M42" s="241">
        <f>'Mapa de Riesgos'!W42</f>
        <v>0</v>
      </c>
      <c r="N42" s="241">
        <f>'Mapa de Riesgos'!X42</f>
        <v>0</v>
      </c>
      <c r="O42" s="241">
        <f>'Mapa de Riesgos'!Y42</f>
        <v>0</v>
      </c>
      <c r="P42" s="226" t="str">
        <f>'Mapa de Riesgos'!AE42</f>
        <v/>
      </c>
      <c r="Q42" s="242">
        <f>'Mapa de Riesgos'!AF42</f>
        <v>0</v>
      </c>
      <c r="R42" s="304"/>
      <c r="S42" s="243"/>
      <c r="T42" s="244"/>
    </row>
    <row r="43" spans="1:20" ht="43.5" customHeight="1" x14ac:dyDescent="0.3">
      <c r="A43" s="601"/>
      <c r="B43" s="603"/>
      <c r="C43" s="603"/>
      <c r="D43" s="605"/>
      <c r="E43" s="280">
        <f>'Mapa de Riesgos'!E43</f>
        <v>0</v>
      </c>
      <c r="F43" s="281">
        <f>'Mapa de Riesgos'!F43</f>
        <v>0</v>
      </c>
      <c r="G43" s="282">
        <f>'Mapa de Riesgos'!G43</f>
        <v>0</v>
      </c>
      <c r="H43" s="599"/>
      <c r="I43" s="240">
        <f>'Mapa de Riesgos'!Q43</f>
        <v>0</v>
      </c>
      <c r="J43" s="302">
        <f>'Mapa de Riesgos'!R43</f>
        <v>0</v>
      </c>
      <c r="K43" s="241">
        <f>'Mapa de Riesgos'!T43</f>
        <v>0</v>
      </c>
      <c r="L43" s="241">
        <f>'Mapa de Riesgos'!U43</f>
        <v>0</v>
      </c>
      <c r="M43" s="241">
        <f>'Mapa de Riesgos'!W43</f>
        <v>0</v>
      </c>
      <c r="N43" s="241">
        <f>'Mapa de Riesgos'!X43</f>
        <v>0</v>
      </c>
      <c r="O43" s="241">
        <f>'Mapa de Riesgos'!Y43</f>
        <v>0</v>
      </c>
      <c r="P43" s="226" t="str">
        <f>'Mapa de Riesgos'!AE43</f>
        <v/>
      </c>
      <c r="Q43" s="242">
        <f>'Mapa de Riesgos'!AF43</f>
        <v>0</v>
      </c>
      <c r="R43" s="304"/>
      <c r="S43" s="243"/>
      <c r="T43" s="244"/>
    </row>
    <row r="44" spans="1:20" ht="43.5" customHeight="1" x14ac:dyDescent="0.3">
      <c r="A44" s="601"/>
      <c r="B44" s="603"/>
      <c r="C44" s="603"/>
      <c r="D44" s="605"/>
      <c r="E44" s="280">
        <f>'Mapa de Riesgos'!E44</f>
        <v>0</v>
      </c>
      <c r="F44" s="281">
        <f>'Mapa de Riesgos'!F44</f>
        <v>0</v>
      </c>
      <c r="G44" s="282">
        <f>'Mapa de Riesgos'!G44</f>
        <v>0</v>
      </c>
      <c r="H44" s="599"/>
      <c r="I44" s="240">
        <f>'Mapa de Riesgos'!Q44</f>
        <v>0</v>
      </c>
      <c r="J44" s="302">
        <f>'Mapa de Riesgos'!R44</f>
        <v>0</v>
      </c>
      <c r="K44" s="241">
        <f>'Mapa de Riesgos'!T44</f>
        <v>0</v>
      </c>
      <c r="L44" s="241">
        <f>'Mapa de Riesgos'!U44</f>
        <v>0</v>
      </c>
      <c r="M44" s="241">
        <f>'Mapa de Riesgos'!W44</f>
        <v>0</v>
      </c>
      <c r="N44" s="241">
        <f>'Mapa de Riesgos'!X44</f>
        <v>0</v>
      </c>
      <c r="O44" s="241">
        <f>'Mapa de Riesgos'!Y44</f>
        <v>0</v>
      </c>
      <c r="P44" s="226" t="str">
        <f>'Mapa de Riesgos'!AE44</f>
        <v/>
      </c>
      <c r="Q44" s="242">
        <f>'Mapa de Riesgos'!AF44</f>
        <v>0</v>
      </c>
      <c r="R44" s="304"/>
      <c r="S44" s="243"/>
      <c r="T44" s="244"/>
    </row>
    <row r="45" spans="1:20" ht="43.5" customHeight="1" x14ac:dyDescent="0.3">
      <c r="A45" s="601"/>
      <c r="B45" s="603"/>
      <c r="C45" s="603"/>
      <c r="D45" s="605"/>
      <c r="E45" s="280">
        <f>'Mapa de Riesgos'!E45</f>
        <v>0</v>
      </c>
      <c r="F45" s="281">
        <f>'Mapa de Riesgos'!F45</f>
        <v>0</v>
      </c>
      <c r="G45" s="282">
        <f>'Mapa de Riesgos'!G45</f>
        <v>0</v>
      </c>
      <c r="H45" s="599"/>
      <c r="I45" s="240">
        <f>'Mapa de Riesgos'!Q45</f>
        <v>0</v>
      </c>
      <c r="J45" s="302">
        <f>'Mapa de Riesgos'!R45</f>
        <v>0</v>
      </c>
      <c r="K45" s="241">
        <f>'Mapa de Riesgos'!T45</f>
        <v>0</v>
      </c>
      <c r="L45" s="241">
        <f>'Mapa de Riesgos'!U45</f>
        <v>0</v>
      </c>
      <c r="M45" s="241">
        <f>'Mapa de Riesgos'!W45</f>
        <v>0</v>
      </c>
      <c r="N45" s="241">
        <f>'Mapa de Riesgos'!X45</f>
        <v>0</v>
      </c>
      <c r="O45" s="241">
        <f>'Mapa de Riesgos'!Y45</f>
        <v>0</v>
      </c>
      <c r="P45" s="226" t="str">
        <f>'Mapa de Riesgos'!AE45</f>
        <v/>
      </c>
      <c r="Q45" s="242">
        <f>'Mapa de Riesgos'!AF45</f>
        <v>0</v>
      </c>
      <c r="R45" s="304"/>
      <c r="S45" s="243"/>
      <c r="T45" s="244"/>
    </row>
    <row r="46" spans="1:20" ht="43.5" customHeight="1" thickBot="1" x14ac:dyDescent="0.35">
      <c r="A46" s="602"/>
      <c r="B46" s="604"/>
      <c r="C46" s="604"/>
      <c r="D46" s="606"/>
      <c r="E46" s="283">
        <f>'Mapa de Riesgos'!E46</f>
        <v>0</v>
      </c>
      <c r="F46" s="284">
        <f>'Mapa de Riesgos'!F46</f>
        <v>0</v>
      </c>
      <c r="G46" s="285">
        <f>'Mapa de Riesgos'!G46</f>
        <v>0</v>
      </c>
      <c r="H46" s="600"/>
      <c r="I46" s="245">
        <f>'Mapa de Riesgos'!Q46</f>
        <v>0</v>
      </c>
      <c r="J46" s="303">
        <f>'Mapa de Riesgos'!R46</f>
        <v>0</v>
      </c>
      <c r="K46" s="246">
        <f>'Mapa de Riesgos'!T46</f>
        <v>0</v>
      </c>
      <c r="L46" s="246">
        <f>'Mapa de Riesgos'!U46</f>
        <v>0</v>
      </c>
      <c r="M46" s="246">
        <f>'Mapa de Riesgos'!W46</f>
        <v>0</v>
      </c>
      <c r="N46" s="246">
        <f>'Mapa de Riesgos'!X46</f>
        <v>0</v>
      </c>
      <c r="O46" s="246">
        <f>'Mapa de Riesgos'!Y46</f>
        <v>0</v>
      </c>
      <c r="P46" s="232" t="str">
        <f>'Mapa de Riesgos'!AE46</f>
        <v/>
      </c>
      <c r="Q46" s="247">
        <f>'Mapa de Riesgos'!AF46</f>
        <v>0</v>
      </c>
      <c r="R46" s="306"/>
      <c r="S46" s="248"/>
      <c r="T46" s="249"/>
    </row>
    <row r="47" spans="1:20" ht="43.5" customHeight="1" x14ac:dyDescent="0.3">
      <c r="A47" s="601">
        <f>'Mapa de Riesgos'!A47</f>
        <v>8</v>
      </c>
      <c r="B47" s="603">
        <f>'Mapa de Riesgos'!B47</f>
        <v>0</v>
      </c>
      <c r="C47" s="603">
        <f>'Mapa de Riesgos'!C47</f>
        <v>0</v>
      </c>
      <c r="D47" s="605">
        <f>'Mapa de Riesgos'!D47</f>
        <v>0</v>
      </c>
      <c r="E47" s="280">
        <f>'Mapa de Riesgos'!E47</f>
        <v>0</v>
      </c>
      <c r="F47" s="281">
        <f>'Mapa de Riesgos'!F47</f>
        <v>0</v>
      </c>
      <c r="G47" s="282">
        <f>'Mapa de Riesgos'!G47</f>
        <v>0</v>
      </c>
      <c r="H47" s="599">
        <f>'Mapa de Riesgos'!P47</f>
        <v>0</v>
      </c>
      <c r="I47" s="240">
        <f>'Mapa de Riesgos'!Q47</f>
        <v>1</v>
      </c>
      <c r="J47" s="302">
        <f>'Mapa de Riesgos'!R47</f>
        <v>0</v>
      </c>
      <c r="K47" s="241">
        <f>'Mapa de Riesgos'!T47</f>
        <v>0</v>
      </c>
      <c r="L47" s="241">
        <f>'Mapa de Riesgos'!U47</f>
        <v>0</v>
      </c>
      <c r="M47" s="241">
        <f>'Mapa de Riesgos'!W47</f>
        <v>0</v>
      </c>
      <c r="N47" s="241">
        <f>'Mapa de Riesgos'!X47</f>
        <v>0</v>
      </c>
      <c r="O47" s="241">
        <f>'Mapa de Riesgos'!Y47</f>
        <v>0</v>
      </c>
      <c r="P47" s="226" t="str">
        <f>'Mapa de Riesgos'!AE47</f>
        <v/>
      </c>
      <c r="Q47" s="242">
        <f>'Mapa de Riesgos'!AF47</f>
        <v>0</v>
      </c>
      <c r="R47" s="304"/>
      <c r="S47" s="243"/>
      <c r="T47" s="244"/>
    </row>
    <row r="48" spans="1:20" ht="43.5" customHeight="1" x14ac:dyDescent="0.3">
      <c r="A48" s="601"/>
      <c r="B48" s="603"/>
      <c r="C48" s="603"/>
      <c r="D48" s="605"/>
      <c r="E48" s="280">
        <f>'Mapa de Riesgos'!E48</f>
        <v>0</v>
      </c>
      <c r="F48" s="281">
        <f>'Mapa de Riesgos'!F48</f>
        <v>0</v>
      </c>
      <c r="G48" s="282">
        <f>'Mapa de Riesgos'!G48</f>
        <v>0</v>
      </c>
      <c r="H48" s="599"/>
      <c r="I48" s="240">
        <f>'Mapa de Riesgos'!Q48</f>
        <v>2</v>
      </c>
      <c r="J48" s="302">
        <f>'Mapa de Riesgos'!R48</f>
        <v>0</v>
      </c>
      <c r="K48" s="241">
        <f>'Mapa de Riesgos'!T48</f>
        <v>0</v>
      </c>
      <c r="L48" s="241">
        <f>'Mapa de Riesgos'!U48</f>
        <v>0</v>
      </c>
      <c r="M48" s="241">
        <f>'Mapa de Riesgos'!W48</f>
        <v>0</v>
      </c>
      <c r="N48" s="241">
        <f>'Mapa de Riesgos'!X48</f>
        <v>0</v>
      </c>
      <c r="O48" s="241">
        <f>'Mapa de Riesgos'!Y48</f>
        <v>0</v>
      </c>
      <c r="P48" s="226" t="str">
        <f>'Mapa de Riesgos'!AE48</f>
        <v/>
      </c>
      <c r="Q48" s="242">
        <f>'Mapa de Riesgos'!AF48</f>
        <v>0</v>
      </c>
      <c r="R48" s="304"/>
      <c r="S48" s="243"/>
      <c r="T48" s="244"/>
    </row>
    <row r="49" spans="1:20" ht="43.5" customHeight="1" x14ac:dyDescent="0.3">
      <c r="A49" s="601"/>
      <c r="B49" s="603"/>
      <c r="C49" s="603"/>
      <c r="D49" s="605"/>
      <c r="E49" s="280">
        <f>'Mapa de Riesgos'!E49</f>
        <v>0</v>
      </c>
      <c r="F49" s="281">
        <f>'Mapa de Riesgos'!F49</f>
        <v>0</v>
      </c>
      <c r="G49" s="282">
        <f>'Mapa de Riesgos'!G49</f>
        <v>0</v>
      </c>
      <c r="H49" s="599"/>
      <c r="I49" s="240">
        <f>'Mapa de Riesgos'!Q49</f>
        <v>3</v>
      </c>
      <c r="J49" s="302">
        <f>'Mapa de Riesgos'!R49</f>
        <v>0</v>
      </c>
      <c r="K49" s="241">
        <f>'Mapa de Riesgos'!T49</f>
        <v>0</v>
      </c>
      <c r="L49" s="241">
        <f>'Mapa de Riesgos'!U49</f>
        <v>0</v>
      </c>
      <c r="M49" s="241">
        <f>'Mapa de Riesgos'!W49</f>
        <v>0</v>
      </c>
      <c r="N49" s="241">
        <f>'Mapa de Riesgos'!X49</f>
        <v>0</v>
      </c>
      <c r="O49" s="241">
        <f>'Mapa de Riesgos'!Y49</f>
        <v>0</v>
      </c>
      <c r="P49" s="226" t="str">
        <f>'Mapa de Riesgos'!AE49</f>
        <v/>
      </c>
      <c r="Q49" s="242">
        <f>'Mapa de Riesgos'!AF49</f>
        <v>0</v>
      </c>
      <c r="R49" s="304"/>
      <c r="S49" s="243"/>
      <c r="T49" s="244"/>
    </row>
    <row r="50" spans="1:20" ht="43.5" customHeight="1" x14ac:dyDescent="0.3">
      <c r="A50" s="601"/>
      <c r="B50" s="603"/>
      <c r="C50" s="603"/>
      <c r="D50" s="605"/>
      <c r="E50" s="280">
        <f>'Mapa de Riesgos'!E50</f>
        <v>0</v>
      </c>
      <c r="F50" s="281">
        <f>'Mapa de Riesgos'!F50</f>
        <v>0</v>
      </c>
      <c r="G50" s="282">
        <f>'Mapa de Riesgos'!G50</f>
        <v>0</v>
      </c>
      <c r="H50" s="599"/>
      <c r="I50" s="240">
        <f>'Mapa de Riesgos'!Q50</f>
        <v>4</v>
      </c>
      <c r="J50" s="302">
        <f>'Mapa de Riesgos'!R50</f>
        <v>0</v>
      </c>
      <c r="K50" s="241">
        <f>'Mapa de Riesgos'!T50</f>
        <v>0</v>
      </c>
      <c r="L50" s="241">
        <f>'Mapa de Riesgos'!U50</f>
        <v>0</v>
      </c>
      <c r="M50" s="241">
        <f>'Mapa de Riesgos'!W50</f>
        <v>0</v>
      </c>
      <c r="N50" s="241">
        <f>'Mapa de Riesgos'!X50</f>
        <v>0</v>
      </c>
      <c r="O50" s="241">
        <f>'Mapa de Riesgos'!Y50</f>
        <v>0</v>
      </c>
      <c r="P50" s="226" t="str">
        <f>'Mapa de Riesgos'!AE50</f>
        <v/>
      </c>
      <c r="Q50" s="242">
        <f>'Mapa de Riesgos'!AF50</f>
        <v>0</v>
      </c>
      <c r="R50" s="304"/>
      <c r="S50" s="243"/>
      <c r="T50" s="244"/>
    </row>
    <row r="51" spans="1:20" ht="43.5" customHeight="1" x14ac:dyDescent="0.3">
      <c r="A51" s="601"/>
      <c r="B51" s="603"/>
      <c r="C51" s="603"/>
      <c r="D51" s="605"/>
      <c r="E51" s="280">
        <f>'Mapa de Riesgos'!E51</f>
        <v>0</v>
      </c>
      <c r="F51" s="281">
        <f>'Mapa de Riesgos'!F51</f>
        <v>0</v>
      </c>
      <c r="G51" s="282">
        <f>'Mapa de Riesgos'!G51</f>
        <v>0</v>
      </c>
      <c r="H51" s="599"/>
      <c r="I51" s="240">
        <f>'Mapa de Riesgos'!Q51</f>
        <v>5</v>
      </c>
      <c r="J51" s="302">
        <f>'Mapa de Riesgos'!R51</f>
        <v>0</v>
      </c>
      <c r="K51" s="241">
        <f>'Mapa de Riesgos'!T51</f>
        <v>0</v>
      </c>
      <c r="L51" s="241">
        <f>'Mapa de Riesgos'!U51</f>
        <v>0</v>
      </c>
      <c r="M51" s="241">
        <f>'Mapa de Riesgos'!W51</f>
        <v>0</v>
      </c>
      <c r="N51" s="241">
        <f>'Mapa de Riesgos'!X51</f>
        <v>0</v>
      </c>
      <c r="O51" s="241">
        <f>'Mapa de Riesgos'!Y51</f>
        <v>0</v>
      </c>
      <c r="P51" s="226" t="str">
        <f>'Mapa de Riesgos'!AE51</f>
        <v/>
      </c>
      <c r="Q51" s="242">
        <f>'Mapa de Riesgos'!AF51</f>
        <v>0</v>
      </c>
      <c r="R51" s="304"/>
      <c r="S51" s="243"/>
      <c r="T51" s="244"/>
    </row>
    <row r="52" spans="1:20" ht="43.5" customHeight="1" thickBot="1" x14ac:dyDescent="0.35">
      <c r="A52" s="602"/>
      <c r="B52" s="604"/>
      <c r="C52" s="604"/>
      <c r="D52" s="606"/>
      <c r="E52" s="283">
        <f>'Mapa de Riesgos'!E52</f>
        <v>0</v>
      </c>
      <c r="F52" s="284">
        <f>'Mapa de Riesgos'!F52</f>
        <v>0</v>
      </c>
      <c r="G52" s="285">
        <f>'Mapa de Riesgos'!G52</f>
        <v>0</v>
      </c>
      <c r="H52" s="600"/>
      <c r="I52" s="245">
        <f>'Mapa de Riesgos'!Q52</f>
        <v>6</v>
      </c>
      <c r="J52" s="303">
        <f>'Mapa de Riesgos'!R52</f>
        <v>0</v>
      </c>
      <c r="K52" s="246">
        <f>'Mapa de Riesgos'!T52</f>
        <v>0</v>
      </c>
      <c r="L52" s="246">
        <f>'Mapa de Riesgos'!U52</f>
        <v>0</v>
      </c>
      <c r="M52" s="246">
        <f>'Mapa de Riesgos'!W52</f>
        <v>0</v>
      </c>
      <c r="N52" s="246">
        <f>'Mapa de Riesgos'!X52</f>
        <v>0</v>
      </c>
      <c r="O52" s="246">
        <f>'Mapa de Riesgos'!Y52</f>
        <v>0</v>
      </c>
      <c r="P52" s="232" t="str">
        <f>'Mapa de Riesgos'!AE52</f>
        <v/>
      </c>
      <c r="Q52" s="247">
        <f>'Mapa de Riesgos'!AF52</f>
        <v>0</v>
      </c>
      <c r="R52" s="306"/>
      <c r="S52" s="248"/>
      <c r="T52" s="249"/>
    </row>
    <row r="53" spans="1:20" ht="43.5" customHeight="1" x14ac:dyDescent="0.3">
      <c r="A53" s="601">
        <f>'Mapa de Riesgos'!A53</f>
        <v>9</v>
      </c>
      <c r="B53" s="603">
        <f>'Mapa de Riesgos'!B53</f>
        <v>0</v>
      </c>
      <c r="C53" s="603">
        <f>'Mapa de Riesgos'!C53</f>
        <v>0</v>
      </c>
      <c r="D53" s="605">
        <f>'Mapa de Riesgos'!D53</f>
        <v>0</v>
      </c>
      <c r="E53" s="280">
        <f>'Mapa de Riesgos'!E53</f>
        <v>0</v>
      </c>
      <c r="F53" s="281">
        <f>'Mapa de Riesgos'!F53</f>
        <v>0</v>
      </c>
      <c r="G53" s="282">
        <f>'Mapa de Riesgos'!G53</f>
        <v>0</v>
      </c>
      <c r="H53" s="599" t="str">
        <f>'Mapa de Riesgos'!P53</f>
        <v/>
      </c>
      <c r="I53" s="240">
        <f>'Mapa de Riesgos'!Q53</f>
        <v>1</v>
      </c>
      <c r="J53" s="302">
        <f>'Mapa de Riesgos'!R53</f>
        <v>0</v>
      </c>
      <c r="K53" s="241">
        <f>'Mapa de Riesgos'!T53</f>
        <v>0</v>
      </c>
      <c r="L53" s="241">
        <f>'Mapa de Riesgos'!U53</f>
        <v>0</v>
      </c>
      <c r="M53" s="241">
        <f>'Mapa de Riesgos'!W53</f>
        <v>0</v>
      </c>
      <c r="N53" s="241">
        <f>'Mapa de Riesgos'!X53</f>
        <v>0</v>
      </c>
      <c r="O53" s="241">
        <f>'Mapa de Riesgos'!Y53</f>
        <v>0</v>
      </c>
      <c r="P53" s="226" t="str">
        <f>'Mapa de Riesgos'!AE53</f>
        <v/>
      </c>
      <c r="Q53" s="242">
        <f>'Mapa de Riesgos'!AF53</f>
        <v>0</v>
      </c>
      <c r="R53" s="304"/>
      <c r="S53" s="243"/>
      <c r="T53" s="244"/>
    </row>
    <row r="54" spans="1:20" ht="43.5" customHeight="1" x14ac:dyDescent="0.3">
      <c r="A54" s="601"/>
      <c r="B54" s="603"/>
      <c r="C54" s="603"/>
      <c r="D54" s="605"/>
      <c r="E54" s="280">
        <f>'Mapa de Riesgos'!E54</f>
        <v>0</v>
      </c>
      <c r="F54" s="281">
        <f>'Mapa de Riesgos'!F54</f>
        <v>0</v>
      </c>
      <c r="G54" s="282">
        <f>'Mapa de Riesgos'!G54</f>
        <v>0</v>
      </c>
      <c r="H54" s="599"/>
      <c r="I54" s="240">
        <f>'Mapa de Riesgos'!Q54</f>
        <v>2</v>
      </c>
      <c r="J54" s="302">
        <f>'Mapa de Riesgos'!R54</f>
        <v>0</v>
      </c>
      <c r="K54" s="241">
        <f>'Mapa de Riesgos'!T54</f>
        <v>0</v>
      </c>
      <c r="L54" s="241">
        <f>'Mapa de Riesgos'!U54</f>
        <v>0</v>
      </c>
      <c r="M54" s="241">
        <f>'Mapa de Riesgos'!W54</f>
        <v>0</v>
      </c>
      <c r="N54" s="241">
        <f>'Mapa de Riesgos'!X54</f>
        <v>0</v>
      </c>
      <c r="O54" s="241">
        <f>'Mapa de Riesgos'!Y54</f>
        <v>0</v>
      </c>
      <c r="P54" s="226" t="str">
        <f>'Mapa de Riesgos'!AE54</f>
        <v/>
      </c>
      <c r="Q54" s="242">
        <f>'Mapa de Riesgos'!AF54</f>
        <v>0</v>
      </c>
      <c r="R54" s="304"/>
      <c r="S54" s="243"/>
      <c r="T54" s="244"/>
    </row>
    <row r="55" spans="1:20" ht="43.5" customHeight="1" x14ac:dyDescent="0.3">
      <c r="A55" s="601"/>
      <c r="B55" s="603"/>
      <c r="C55" s="603"/>
      <c r="D55" s="605"/>
      <c r="E55" s="280">
        <f>'Mapa de Riesgos'!E55</f>
        <v>0</v>
      </c>
      <c r="F55" s="281">
        <f>'Mapa de Riesgos'!F55</f>
        <v>0</v>
      </c>
      <c r="G55" s="282">
        <f>'Mapa de Riesgos'!G55</f>
        <v>0</v>
      </c>
      <c r="H55" s="599"/>
      <c r="I55" s="240">
        <f>'Mapa de Riesgos'!Q55</f>
        <v>3</v>
      </c>
      <c r="J55" s="302">
        <f>'Mapa de Riesgos'!R55</f>
        <v>0</v>
      </c>
      <c r="K55" s="241">
        <f>'Mapa de Riesgos'!T55</f>
        <v>0</v>
      </c>
      <c r="L55" s="241">
        <f>'Mapa de Riesgos'!U55</f>
        <v>0</v>
      </c>
      <c r="M55" s="241">
        <f>'Mapa de Riesgos'!W55</f>
        <v>0</v>
      </c>
      <c r="N55" s="241">
        <f>'Mapa de Riesgos'!X55</f>
        <v>0</v>
      </c>
      <c r="O55" s="241">
        <f>'Mapa de Riesgos'!Y55</f>
        <v>0</v>
      </c>
      <c r="P55" s="226" t="str">
        <f>'Mapa de Riesgos'!AE55</f>
        <v/>
      </c>
      <c r="Q55" s="242">
        <f>'Mapa de Riesgos'!AF55</f>
        <v>0</v>
      </c>
      <c r="R55" s="304"/>
      <c r="S55" s="243"/>
      <c r="T55" s="244"/>
    </row>
    <row r="56" spans="1:20" ht="43.5" customHeight="1" x14ac:dyDescent="0.3">
      <c r="A56" s="601"/>
      <c r="B56" s="603"/>
      <c r="C56" s="603"/>
      <c r="D56" s="605"/>
      <c r="E56" s="280">
        <f>'Mapa de Riesgos'!E56</f>
        <v>0</v>
      </c>
      <c r="F56" s="281">
        <f>'Mapa de Riesgos'!F56</f>
        <v>0</v>
      </c>
      <c r="G56" s="282">
        <f>'Mapa de Riesgos'!G56</f>
        <v>0</v>
      </c>
      <c r="H56" s="599"/>
      <c r="I56" s="240">
        <f>'Mapa de Riesgos'!Q56</f>
        <v>4</v>
      </c>
      <c r="J56" s="302">
        <f>'Mapa de Riesgos'!R56</f>
        <v>0</v>
      </c>
      <c r="K56" s="241">
        <f>'Mapa de Riesgos'!T56</f>
        <v>0</v>
      </c>
      <c r="L56" s="241">
        <f>'Mapa de Riesgos'!U56</f>
        <v>0</v>
      </c>
      <c r="M56" s="241">
        <f>'Mapa de Riesgos'!W56</f>
        <v>0</v>
      </c>
      <c r="N56" s="241">
        <f>'Mapa de Riesgos'!X56</f>
        <v>0</v>
      </c>
      <c r="O56" s="241">
        <f>'Mapa de Riesgos'!Y56</f>
        <v>0</v>
      </c>
      <c r="P56" s="226" t="str">
        <f>'Mapa de Riesgos'!AE56</f>
        <v/>
      </c>
      <c r="Q56" s="242">
        <f>'Mapa de Riesgos'!AF56</f>
        <v>0</v>
      </c>
      <c r="R56" s="304"/>
      <c r="S56" s="243"/>
      <c r="T56" s="244"/>
    </row>
    <row r="57" spans="1:20" ht="43.5" customHeight="1" x14ac:dyDescent="0.3">
      <c r="A57" s="601"/>
      <c r="B57" s="603"/>
      <c r="C57" s="603"/>
      <c r="D57" s="605"/>
      <c r="E57" s="280">
        <f>'Mapa de Riesgos'!E57</f>
        <v>0</v>
      </c>
      <c r="F57" s="281">
        <f>'Mapa de Riesgos'!F57</f>
        <v>0</v>
      </c>
      <c r="G57" s="282">
        <f>'Mapa de Riesgos'!G57</f>
        <v>0</v>
      </c>
      <c r="H57" s="599"/>
      <c r="I57" s="240">
        <f>'Mapa de Riesgos'!Q57</f>
        <v>5</v>
      </c>
      <c r="J57" s="302">
        <f>'Mapa de Riesgos'!R57</f>
        <v>0</v>
      </c>
      <c r="K57" s="241">
        <f>'Mapa de Riesgos'!T57</f>
        <v>0</v>
      </c>
      <c r="L57" s="241">
        <f>'Mapa de Riesgos'!U57</f>
        <v>0</v>
      </c>
      <c r="M57" s="241">
        <f>'Mapa de Riesgos'!W57</f>
        <v>0</v>
      </c>
      <c r="N57" s="241">
        <f>'Mapa de Riesgos'!X57</f>
        <v>0</v>
      </c>
      <c r="O57" s="241">
        <f>'Mapa de Riesgos'!Y57</f>
        <v>0</v>
      </c>
      <c r="P57" s="226" t="str">
        <f>'Mapa de Riesgos'!AE57</f>
        <v/>
      </c>
      <c r="Q57" s="242">
        <f>'Mapa de Riesgos'!AF57</f>
        <v>0</v>
      </c>
      <c r="R57" s="304"/>
      <c r="S57" s="243"/>
      <c r="T57" s="244"/>
    </row>
    <row r="58" spans="1:20" ht="43.5" customHeight="1" thickBot="1" x14ac:dyDescent="0.35">
      <c r="A58" s="602"/>
      <c r="B58" s="604"/>
      <c r="C58" s="604"/>
      <c r="D58" s="606"/>
      <c r="E58" s="283">
        <f>'Mapa de Riesgos'!E58</f>
        <v>0</v>
      </c>
      <c r="F58" s="284">
        <f>'Mapa de Riesgos'!F58</f>
        <v>0</v>
      </c>
      <c r="G58" s="285">
        <f>'Mapa de Riesgos'!G58</f>
        <v>0</v>
      </c>
      <c r="H58" s="600"/>
      <c r="I58" s="245">
        <f>'Mapa de Riesgos'!Q58</f>
        <v>6</v>
      </c>
      <c r="J58" s="303">
        <f>'Mapa de Riesgos'!R58</f>
        <v>0</v>
      </c>
      <c r="K58" s="246">
        <f>'Mapa de Riesgos'!T58</f>
        <v>0</v>
      </c>
      <c r="L58" s="246">
        <f>'Mapa de Riesgos'!U58</f>
        <v>0</v>
      </c>
      <c r="M58" s="246">
        <f>'Mapa de Riesgos'!W58</f>
        <v>0</v>
      </c>
      <c r="N58" s="246">
        <f>'Mapa de Riesgos'!X58</f>
        <v>0</v>
      </c>
      <c r="O58" s="246">
        <f>'Mapa de Riesgos'!Y58</f>
        <v>0</v>
      </c>
      <c r="P58" s="232" t="str">
        <f>'Mapa de Riesgos'!AE58</f>
        <v/>
      </c>
      <c r="Q58" s="247">
        <f>'Mapa de Riesgos'!AF58</f>
        <v>0</v>
      </c>
      <c r="R58" s="306"/>
      <c r="S58" s="248"/>
      <c r="T58" s="249"/>
    </row>
    <row r="59" spans="1:20" ht="43.5" customHeight="1" x14ac:dyDescent="0.3">
      <c r="A59" s="601">
        <f>'Mapa de Riesgos'!A59</f>
        <v>10</v>
      </c>
      <c r="B59" s="603">
        <f>'Mapa de Riesgos'!B59</f>
        <v>0</v>
      </c>
      <c r="C59" s="603">
        <f>'Mapa de Riesgos'!C59</f>
        <v>0</v>
      </c>
      <c r="D59" s="605">
        <f>'Mapa de Riesgos'!D59</f>
        <v>0</v>
      </c>
      <c r="E59" s="280">
        <f>'Mapa de Riesgos'!E59</f>
        <v>0</v>
      </c>
      <c r="F59" s="281">
        <f>'Mapa de Riesgos'!F59</f>
        <v>0</v>
      </c>
      <c r="G59" s="282">
        <f>'Mapa de Riesgos'!G59</f>
        <v>0</v>
      </c>
      <c r="H59" s="599" t="str">
        <f>'Mapa de Riesgos'!P59</f>
        <v/>
      </c>
      <c r="I59" s="240">
        <f>'Mapa de Riesgos'!Q59</f>
        <v>1</v>
      </c>
      <c r="J59" s="302">
        <f>'Mapa de Riesgos'!R59</f>
        <v>0</v>
      </c>
      <c r="K59" s="241">
        <f>'Mapa de Riesgos'!T59</f>
        <v>0</v>
      </c>
      <c r="L59" s="241">
        <f>'Mapa de Riesgos'!U59</f>
        <v>0</v>
      </c>
      <c r="M59" s="241">
        <f>'Mapa de Riesgos'!W59</f>
        <v>0</v>
      </c>
      <c r="N59" s="241">
        <f>'Mapa de Riesgos'!X59</f>
        <v>0</v>
      </c>
      <c r="O59" s="241">
        <f>'Mapa de Riesgos'!Y59</f>
        <v>0</v>
      </c>
      <c r="P59" s="226" t="str">
        <f>'Mapa de Riesgos'!AE59</f>
        <v/>
      </c>
      <c r="Q59" s="242">
        <f>'Mapa de Riesgos'!AF59</f>
        <v>0</v>
      </c>
      <c r="R59" s="304"/>
      <c r="S59" s="243"/>
      <c r="T59" s="244"/>
    </row>
    <row r="60" spans="1:20" ht="43.5" customHeight="1" x14ac:dyDescent="0.3">
      <c r="A60" s="601"/>
      <c r="B60" s="603"/>
      <c r="C60" s="603"/>
      <c r="D60" s="605"/>
      <c r="E60" s="280">
        <f>'Mapa de Riesgos'!E60</f>
        <v>0</v>
      </c>
      <c r="F60" s="281">
        <f>'Mapa de Riesgos'!F60</f>
        <v>0</v>
      </c>
      <c r="G60" s="282">
        <f>'Mapa de Riesgos'!G60</f>
        <v>0</v>
      </c>
      <c r="H60" s="599"/>
      <c r="I60" s="240">
        <f>'Mapa de Riesgos'!Q60</f>
        <v>2</v>
      </c>
      <c r="J60" s="302">
        <f>'Mapa de Riesgos'!R60</f>
        <v>0</v>
      </c>
      <c r="K60" s="241">
        <f>'Mapa de Riesgos'!T60</f>
        <v>0</v>
      </c>
      <c r="L60" s="241">
        <f>'Mapa de Riesgos'!U60</f>
        <v>0</v>
      </c>
      <c r="M60" s="241">
        <f>'Mapa de Riesgos'!W60</f>
        <v>0</v>
      </c>
      <c r="N60" s="241">
        <f>'Mapa de Riesgos'!X60</f>
        <v>0</v>
      </c>
      <c r="O60" s="241">
        <f>'Mapa de Riesgos'!Y60</f>
        <v>0</v>
      </c>
      <c r="P60" s="226" t="str">
        <f>'Mapa de Riesgos'!AE60</f>
        <v/>
      </c>
      <c r="Q60" s="242">
        <f>'Mapa de Riesgos'!AF60</f>
        <v>0</v>
      </c>
      <c r="R60" s="304"/>
      <c r="S60" s="243"/>
      <c r="T60" s="244"/>
    </row>
    <row r="61" spans="1:20" ht="43.5" customHeight="1" x14ac:dyDescent="0.3">
      <c r="A61" s="601"/>
      <c r="B61" s="603"/>
      <c r="C61" s="603"/>
      <c r="D61" s="605"/>
      <c r="E61" s="280">
        <f>'Mapa de Riesgos'!E61</f>
        <v>0</v>
      </c>
      <c r="F61" s="281">
        <f>'Mapa de Riesgos'!F61</f>
        <v>0</v>
      </c>
      <c r="G61" s="282">
        <f>'Mapa de Riesgos'!G61</f>
        <v>0</v>
      </c>
      <c r="H61" s="599"/>
      <c r="I61" s="240">
        <f>'Mapa de Riesgos'!Q61</f>
        <v>3</v>
      </c>
      <c r="J61" s="302">
        <f>'Mapa de Riesgos'!R61</f>
        <v>0</v>
      </c>
      <c r="K61" s="241">
        <f>'Mapa de Riesgos'!T61</f>
        <v>0</v>
      </c>
      <c r="L61" s="241">
        <f>'Mapa de Riesgos'!U61</f>
        <v>0</v>
      </c>
      <c r="M61" s="241">
        <f>'Mapa de Riesgos'!W61</f>
        <v>0</v>
      </c>
      <c r="N61" s="241">
        <f>'Mapa de Riesgos'!X61</f>
        <v>0</v>
      </c>
      <c r="O61" s="241">
        <f>'Mapa de Riesgos'!Y61</f>
        <v>0</v>
      </c>
      <c r="P61" s="226" t="str">
        <f>'Mapa de Riesgos'!AE61</f>
        <v/>
      </c>
      <c r="Q61" s="242">
        <f>'Mapa de Riesgos'!AF61</f>
        <v>0</v>
      </c>
      <c r="R61" s="304"/>
      <c r="S61" s="243"/>
      <c r="T61" s="244"/>
    </row>
    <row r="62" spans="1:20" ht="43.5" customHeight="1" x14ac:dyDescent="0.3">
      <c r="A62" s="601"/>
      <c r="B62" s="603"/>
      <c r="C62" s="603"/>
      <c r="D62" s="605"/>
      <c r="E62" s="280">
        <f>'Mapa de Riesgos'!E62</f>
        <v>0</v>
      </c>
      <c r="F62" s="281">
        <f>'Mapa de Riesgos'!F62</f>
        <v>0</v>
      </c>
      <c r="G62" s="282">
        <f>'Mapa de Riesgos'!G62</f>
        <v>0</v>
      </c>
      <c r="H62" s="599"/>
      <c r="I62" s="240">
        <f>'Mapa de Riesgos'!Q62</f>
        <v>4</v>
      </c>
      <c r="J62" s="302">
        <f>'Mapa de Riesgos'!R62</f>
        <v>0</v>
      </c>
      <c r="K62" s="241">
        <f>'Mapa de Riesgos'!T62</f>
        <v>0</v>
      </c>
      <c r="L62" s="241">
        <f>'Mapa de Riesgos'!U62</f>
        <v>0</v>
      </c>
      <c r="M62" s="241">
        <f>'Mapa de Riesgos'!W62</f>
        <v>0</v>
      </c>
      <c r="N62" s="241">
        <f>'Mapa de Riesgos'!X62</f>
        <v>0</v>
      </c>
      <c r="O62" s="241">
        <f>'Mapa de Riesgos'!Y62</f>
        <v>0</v>
      </c>
      <c r="P62" s="226" t="str">
        <f>'Mapa de Riesgos'!AE62</f>
        <v/>
      </c>
      <c r="Q62" s="242">
        <f>'Mapa de Riesgos'!AF62</f>
        <v>0</v>
      </c>
      <c r="R62" s="304"/>
      <c r="S62" s="243"/>
      <c r="T62" s="244"/>
    </row>
    <row r="63" spans="1:20" ht="43.5" customHeight="1" x14ac:dyDescent="0.3">
      <c r="A63" s="601"/>
      <c r="B63" s="603"/>
      <c r="C63" s="603"/>
      <c r="D63" s="605"/>
      <c r="E63" s="280">
        <f>'Mapa de Riesgos'!E63</f>
        <v>0</v>
      </c>
      <c r="F63" s="281">
        <f>'Mapa de Riesgos'!F63</f>
        <v>0</v>
      </c>
      <c r="G63" s="282">
        <f>'Mapa de Riesgos'!G63</f>
        <v>0</v>
      </c>
      <c r="H63" s="599"/>
      <c r="I63" s="240">
        <f>'Mapa de Riesgos'!Q63</f>
        <v>5</v>
      </c>
      <c r="J63" s="302">
        <f>'Mapa de Riesgos'!R63</f>
        <v>0</v>
      </c>
      <c r="K63" s="241">
        <f>'Mapa de Riesgos'!T63</f>
        <v>0</v>
      </c>
      <c r="L63" s="241">
        <f>'Mapa de Riesgos'!U63</f>
        <v>0</v>
      </c>
      <c r="M63" s="241">
        <f>'Mapa de Riesgos'!W63</f>
        <v>0</v>
      </c>
      <c r="N63" s="241">
        <f>'Mapa de Riesgos'!X63</f>
        <v>0</v>
      </c>
      <c r="O63" s="241">
        <f>'Mapa de Riesgos'!Y63</f>
        <v>0</v>
      </c>
      <c r="P63" s="226" t="str">
        <f>'Mapa de Riesgos'!AE63</f>
        <v/>
      </c>
      <c r="Q63" s="242">
        <f>'Mapa de Riesgos'!AF63</f>
        <v>0</v>
      </c>
      <c r="R63" s="304"/>
      <c r="S63" s="243"/>
      <c r="T63" s="244"/>
    </row>
    <row r="64" spans="1:20" ht="43.5" customHeight="1" thickBot="1" x14ac:dyDescent="0.35">
      <c r="A64" s="602"/>
      <c r="B64" s="604"/>
      <c r="C64" s="604"/>
      <c r="D64" s="606"/>
      <c r="E64" s="283">
        <f>'Mapa de Riesgos'!E64</f>
        <v>0</v>
      </c>
      <c r="F64" s="284">
        <f>'Mapa de Riesgos'!F64</f>
        <v>0</v>
      </c>
      <c r="G64" s="285">
        <f>'Mapa de Riesgos'!G64</f>
        <v>0</v>
      </c>
      <c r="H64" s="600"/>
      <c r="I64" s="245">
        <f>'Mapa de Riesgos'!Q64</f>
        <v>6</v>
      </c>
      <c r="J64" s="303">
        <f>'Mapa de Riesgos'!R64</f>
        <v>0</v>
      </c>
      <c r="K64" s="246">
        <f>'Mapa de Riesgos'!T64</f>
        <v>0</v>
      </c>
      <c r="L64" s="246">
        <f>'Mapa de Riesgos'!U64</f>
        <v>0</v>
      </c>
      <c r="M64" s="246">
        <f>'Mapa de Riesgos'!W64</f>
        <v>0</v>
      </c>
      <c r="N64" s="246">
        <f>'Mapa de Riesgos'!X64</f>
        <v>0</v>
      </c>
      <c r="O64" s="246">
        <f>'Mapa de Riesgos'!Y64</f>
        <v>0</v>
      </c>
      <c r="P64" s="232" t="str">
        <f>'Mapa de Riesgos'!AE64</f>
        <v/>
      </c>
      <c r="Q64" s="247">
        <f>'Mapa de Riesgos'!AF64</f>
        <v>0</v>
      </c>
      <c r="R64" s="306"/>
      <c r="S64" s="248"/>
      <c r="T64" s="249"/>
    </row>
    <row r="65" spans="1:20" x14ac:dyDescent="0.3">
      <c r="A65" s="197"/>
      <c r="B65" s="197"/>
      <c r="C65" s="197"/>
      <c r="D65" s="4"/>
      <c r="E65" s="4"/>
      <c r="F65" s="198"/>
      <c r="G65" s="198"/>
      <c r="H65" s="4"/>
      <c r="I65" s="4"/>
      <c r="J65" s="4"/>
      <c r="K65" s="4"/>
      <c r="L65" s="4"/>
      <c r="M65" s="4"/>
      <c r="N65" s="4"/>
      <c r="O65" s="4"/>
      <c r="P65" s="4"/>
      <c r="Q65" s="4"/>
      <c r="R65" s="4"/>
    </row>
    <row r="66" spans="1:20" customFormat="1" ht="15" x14ac:dyDescent="0.25">
      <c r="A66" s="73"/>
      <c r="B66" s="73"/>
      <c r="C66" s="73"/>
      <c r="D66" s="73"/>
      <c r="E66" s="73"/>
      <c r="F66" s="73"/>
      <c r="G66" s="73"/>
      <c r="H66" s="73"/>
      <c r="I66" s="73"/>
      <c r="J66" s="73"/>
      <c r="K66" s="73"/>
      <c r="L66" s="73"/>
      <c r="M66" s="73"/>
      <c r="N66" s="73"/>
      <c r="O66" s="73"/>
      <c r="P66" s="73"/>
      <c r="Q66" s="73"/>
      <c r="R66" s="73"/>
    </row>
    <row r="67" spans="1:20" s="5" customFormat="1" ht="24.75" customHeight="1" x14ac:dyDescent="0.2">
      <c r="A67" s="481" t="s">
        <v>217</v>
      </c>
      <c r="B67" s="481"/>
      <c r="C67" s="482" t="s">
        <v>185</v>
      </c>
      <c r="D67" s="482"/>
      <c r="E67" s="482"/>
      <c r="F67" s="482"/>
      <c r="G67" s="572" t="s">
        <v>218</v>
      </c>
      <c r="H67" s="574" t="str">
        <f>'Mapa de Riesgos'!H67</f>
        <v>SISTEMA INTEGRADO DE GESTIÓN SIG</v>
      </c>
      <c r="I67" s="575"/>
      <c r="J67" s="575"/>
      <c r="K67" s="575"/>
      <c r="L67" s="575"/>
      <c r="M67" s="575"/>
      <c r="N67" s="575"/>
      <c r="O67" s="576"/>
      <c r="P67" s="481" t="s">
        <v>220</v>
      </c>
      <c r="Q67" s="481"/>
      <c r="R67" s="482" t="str">
        <f>'Mapa de Riesgos'!T67</f>
        <v>LÍDER DEL SISTEMA INTEGRADO DE GESTIÓN</v>
      </c>
      <c r="S67" s="482"/>
      <c r="T67" s="482"/>
    </row>
    <row r="68" spans="1:20" s="5" customFormat="1" ht="24.75" customHeight="1" x14ac:dyDescent="0.2">
      <c r="A68" s="481"/>
      <c r="B68" s="481"/>
      <c r="C68" s="482"/>
      <c r="D68" s="482"/>
      <c r="E68" s="482"/>
      <c r="F68" s="482"/>
      <c r="G68" s="573"/>
      <c r="H68" s="577"/>
      <c r="I68" s="578"/>
      <c r="J68" s="578"/>
      <c r="K68" s="578"/>
      <c r="L68" s="578"/>
      <c r="M68" s="578"/>
      <c r="N68" s="578"/>
      <c r="O68" s="579"/>
      <c r="P68" s="481" t="s">
        <v>316</v>
      </c>
      <c r="Q68" s="481"/>
      <c r="R68" s="482" t="str">
        <f>'Mapa de Riesgos'!T68</f>
        <v>ABRIL DE 2022</v>
      </c>
      <c r="S68" s="482"/>
      <c r="T68" s="482"/>
    </row>
    <row r="69" spans="1:20" customFormat="1" ht="15" x14ac:dyDescent="0.25"/>
  </sheetData>
  <dataConsolidate/>
  <mergeCells count="90">
    <mergeCell ref="H59:H64"/>
    <mergeCell ref="A59:A64"/>
    <mergeCell ref="B59:B64"/>
    <mergeCell ref="C59:C64"/>
    <mergeCell ref="D59:D64"/>
    <mergeCell ref="H47:H52"/>
    <mergeCell ref="A53:A58"/>
    <mergeCell ref="B53:B58"/>
    <mergeCell ref="C53:C58"/>
    <mergeCell ref="D53:D58"/>
    <mergeCell ref="H53:H58"/>
    <mergeCell ref="A47:A52"/>
    <mergeCell ref="B47:B52"/>
    <mergeCell ref="C47:C52"/>
    <mergeCell ref="D47:D52"/>
    <mergeCell ref="H35:H40"/>
    <mergeCell ref="A41:A46"/>
    <mergeCell ref="B41:B46"/>
    <mergeCell ref="C41:C46"/>
    <mergeCell ref="D41:D46"/>
    <mergeCell ref="H41:H46"/>
    <mergeCell ref="A35:A40"/>
    <mergeCell ref="B35:B40"/>
    <mergeCell ref="C35:C40"/>
    <mergeCell ref="D35:D40"/>
    <mergeCell ref="H23:H28"/>
    <mergeCell ref="A29:A34"/>
    <mergeCell ref="B29:B34"/>
    <mergeCell ref="C29:C34"/>
    <mergeCell ref="D29:D34"/>
    <mergeCell ref="H29:H34"/>
    <mergeCell ref="A23:A28"/>
    <mergeCell ref="B23:B28"/>
    <mergeCell ref="C23:C28"/>
    <mergeCell ref="D23:D28"/>
    <mergeCell ref="H17:H22"/>
    <mergeCell ref="A17:A22"/>
    <mergeCell ref="B17:B22"/>
    <mergeCell ref="C17:C22"/>
    <mergeCell ref="D17:D22"/>
    <mergeCell ref="H10:H16"/>
    <mergeCell ref="A10:A16"/>
    <mergeCell ref="B10:B16"/>
    <mergeCell ref="C10:C16"/>
    <mergeCell ref="D10:D16"/>
    <mergeCell ref="C8:C9"/>
    <mergeCell ref="D8:D9"/>
    <mergeCell ref="J8:J9"/>
    <mergeCell ref="F8:F9"/>
    <mergeCell ref="G8:G9"/>
    <mergeCell ref="H8:H9"/>
    <mergeCell ref="I8:I9"/>
    <mergeCell ref="E8:E9"/>
    <mergeCell ref="A1:C1"/>
    <mergeCell ref="A2:C2"/>
    <mergeCell ref="P67:Q67"/>
    <mergeCell ref="P68:Q68"/>
    <mergeCell ref="R67:T67"/>
    <mergeCell ref="R68:T68"/>
    <mergeCell ref="C67:F68"/>
    <mergeCell ref="G67:G68"/>
    <mergeCell ref="H67:O68"/>
    <mergeCell ref="A67:B68"/>
    <mergeCell ref="A7:G7"/>
    <mergeCell ref="I7:O7"/>
    <mergeCell ref="P7:Q7"/>
    <mergeCell ref="R7:T7"/>
    <mergeCell ref="A8:A9"/>
    <mergeCell ref="B8:B9"/>
    <mergeCell ref="A5:C5"/>
    <mergeCell ref="J5:M5"/>
    <mergeCell ref="A6:T6"/>
    <mergeCell ref="A4:C4"/>
    <mergeCell ref="J4:M4"/>
    <mergeCell ref="Q10:Q16"/>
    <mergeCell ref="Q17:Q22"/>
    <mergeCell ref="Q23:Q28"/>
    <mergeCell ref="Q29:Q34"/>
    <mergeCell ref="D1:S1"/>
    <mergeCell ref="D2:S2"/>
    <mergeCell ref="D4:I4"/>
    <mergeCell ref="D5:I5"/>
    <mergeCell ref="N4:T4"/>
    <mergeCell ref="N5:T5"/>
    <mergeCell ref="T8:T9"/>
    <mergeCell ref="K8:O8"/>
    <mergeCell ref="P8:P9"/>
    <mergeCell ref="Q8:Q9"/>
    <mergeCell ref="R8:R9"/>
    <mergeCell ref="S8:S9"/>
  </mergeCells>
  <conditionalFormatting sqref="H10 P10:P64">
    <cfRule type="cellIs" dxfId="39" priority="502" operator="equal">
      <formula>"Bajo"</formula>
    </cfRule>
    <cfRule type="cellIs" dxfId="38" priority="501" operator="equal">
      <formula>"Moderado"</formula>
    </cfRule>
    <cfRule type="cellIs" dxfId="37" priority="500" operator="equal">
      <formula>"Alto"</formula>
    </cfRule>
    <cfRule type="cellIs" dxfId="36" priority="499" operator="equal">
      <formula>"Extremo"</formula>
    </cfRule>
  </conditionalFormatting>
  <conditionalFormatting sqref="H17">
    <cfRule type="cellIs" dxfId="35" priority="256" operator="equal">
      <formula>"Bajo"</formula>
    </cfRule>
    <cfRule type="cellIs" dxfId="34" priority="255" operator="equal">
      <formula>"Moderado"</formula>
    </cfRule>
    <cfRule type="cellIs" dxfId="33" priority="254" operator="equal">
      <formula>"Alto"</formula>
    </cfRule>
    <cfRule type="cellIs" dxfId="32" priority="253" operator="equal">
      <formula>"Extremo"</formula>
    </cfRule>
  </conditionalFormatting>
  <conditionalFormatting sqref="H23">
    <cfRule type="cellIs" dxfId="31" priority="200" operator="equal">
      <formula>"Bajo"</formula>
    </cfRule>
    <cfRule type="cellIs" dxfId="30" priority="199" operator="equal">
      <formula>"Moderado"</formula>
    </cfRule>
    <cfRule type="cellIs" dxfId="29" priority="198" operator="equal">
      <formula>"Alto"</formula>
    </cfRule>
    <cfRule type="cellIs" dxfId="28" priority="197" operator="equal">
      <formula>"Extremo"</formula>
    </cfRule>
  </conditionalFormatting>
  <conditionalFormatting sqref="H29">
    <cfRule type="cellIs" dxfId="27" priority="172" operator="equal">
      <formula>"Bajo"</formula>
    </cfRule>
    <cfRule type="cellIs" dxfId="26" priority="171" operator="equal">
      <formula>"Moderado"</formula>
    </cfRule>
    <cfRule type="cellIs" dxfId="25" priority="170" operator="equal">
      <formula>"Alto"</formula>
    </cfRule>
    <cfRule type="cellIs" dxfId="24" priority="169" operator="equal">
      <formula>"Extremo"</formula>
    </cfRule>
  </conditionalFormatting>
  <conditionalFormatting sqref="H35">
    <cfRule type="cellIs" dxfId="23" priority="141" operator="equal">
      <formula>"Extremo"</formula>
    </cfRule>
    <cfRule type="cellIs" dxfId="22" priority="142" operator="equal">
      <formula>"Alto"</formula>
    </cfRule>
    <cfRule type="cellIs" dxfId="21" priority="143" operator="equal">
      <formula>"Moderado"</formula>
    </cfRule>
    <cfRule type="cellIs" dxfId="20" priority="144" operator="equal">
      <formula>"Bajo"</formula>
    </cfRule>
  </conditionalFormatting>
  <conditionalFormatting sqref="H41">
    <cfRule type="cellIs" dxfId="19" priority="116" operator="equal">
      <formula>"Bajo"</formula>
    </cfRule>
    <cfRule type="cellIs" dxfId="18" priority="115" operator="equal">
      <formula>"Moderado"</formula>
    </cfRule>
    <cfRule type="cellIs" dxfId="17" priority="114" operator="equal">
      <formula>"Alto"</formula>
    </cfRule>
    <cfRule type="cellIs" dxfId="16" priority="113" operator="equal">
      <formula>"Extremo"</formula>
    </cfRule>
  </conditionalFormatting>
  <conditionalFormatting sqref="H47">
    <cfRule type="cellIs" dxfId="15" priority="88" operator="equal">
      <formula>"Bajo"</formula>
    </cfRule>
    <cfRule type="cellIs" dxfId="14" priority="87" operator="equal">
      <formula>"Moderado"</formula>
    </cfRule>
    <cfRule type="cellIs" dxfId="13" priority="86" operator="equal">
      <formula>"Alto"</formula>
    </cfRule>
    <cfRule type="cellIs" dxfId="12" priority="85" operator="equal">
      <formula>"Extremo"</formula>
    </cfRule>
  </conditionalFormatting>
  <conditionalFormatting sqref="H53">
    <cfRule type="cellIs" dxfId="11" priority="60" operator="equal">
      <formula>"Bajo"</formula>
    </cfRule>
    <cfRule type="cellIs" dxfId="10" priority="59" operator="equal">
      <formula>"Moderado"</formula>
    </cfRule>
    <cfRule type="cellIs" dxfId="9" priority="58" operator="equal">
      <formula>"Alto"</formula>
    </cfRule>
    <cfRule type="cellIs" dxfId="8" priority="57" operator="equal">
      <formula>"Extremo"</formula>
    </cfRule>
  </conditionalFormatting>
  <conditionalFormatting sqref="H59">
    <cfRule type="cellIs" dxfId="7" priority="32" operator="equal">
      <formula>"Bajo"</formula>
    </cfRule>
    <cfRule type="cellIs" dxfId="6" priority="31" operator="equal">
      <formula>"Moderado"</formula>
    </cfRule>
    <cfRule type="cellIs" dxfId="5" priority="30" operator="equal">
      <formula>"Alto"</formula>
    </cfRule>
    <cfRule type="cellIs" dxfId="4" priority="29" operator="equal">
      <formula>"Extremo"</formula>
    </cfRule>
  </conditionalFormatting>
  <pageMargins left="0.7" right="0.7" top="0.75" bottom="0.75" header="0.3" footer="0.3"/>
  <pageSetup orientation="portrait" r:id="rId1"/>
  <ignoredErrors>
    <ignoredError sqref="J15:O16 H17:Q17 H23:Q23 H59:Q64 B29:D64 B23:D28 B17:D22 B15:D16 H29:Q29 H35:Q40 H41:Q46 H47:Q52 H53:Q58 B10:D13 J10:O13 Q10 H18:P22 H24:P28 H30:P34"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T27:T28 T20:T22 T15:T16 T39:T64 T33:T34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tabColor theme="6" tint="0.39997558519241921"/>
  </sheetPr>
  <dimension ref="A1:V70"/>
  <sheetViews>
    <sheetView tabSelected="1" zoomScaleNormal="100" workbookViewId="0">
      <selection sqref="A1:C1"/>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51" style="1" customWidth="1"/>
    <col min="7" max="7" width="31.42578125" style="3" customWidth="1"/>
    <col min="8" max="8" width="45.7109375" style="1" customWidth="1"/>
    <col min="9" max="9" width="18.85546875" style="1" customWidth="1"/>
    <col min="10" max="10" width="21.85546875" style="1" customWidth="1"/>
    <col min="11" max="11" width="20.28515625" style="1" customWidth="1"/>
    <col min="12" max="12" width="48.140625" style="1" customWidth="1"/>
    <col min="13" max="13" width="32.42578125" style="1" customWidth="1"/>
    <col min="14" max="14" width="18" style="1" customWidth="1"/>
    <col min="15" max="15" width="22.85546875" style="1" customWidth="1"/>
    <col min="16" max="16" width="45.5703125" style="1" customWidth="1"/>
    <col min="17" max="17" width="38.42578125" style="1" customWidth="1"/>
    <col min="18" max="18" width="18.5703125" style="1" customWidth="1"/>
    <col min="19" max="19" width="19.85546875" style="1" customWidth="1"/>
    <col min="20" max="20" width="41.140625" style="1" customWidth="1"/>
    <col min="21" max="21" width="41.28515625" style="1" customWidth="1"/>
    <col min="22" max="22" width="21" style="1" customWidth="1"/>
    <col min="23" max="16384" width="11.42578125" style="1"/>
  </cols>
  <sheetData>
    <row r="1" spans="1:22"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496"/>
      <c r="U1" s="496"/>
      <c r="V1" s="194" t="s">
        <v>328</v>
      </c>
    </row>
    <row r="2" spans="1:22" ht="20.25" customHeight="1" x14ac:dyDescent="0.3">
      <c r="A2" s="571" t="str">
        <f>'Mapa de Riesgos'!A2</f>
        <v>F - PL - 13</v>
      </c>
      <c r="B2" s="571"/>
      <c r="C2" s="571"/>
      <c r="D2" s="570" t="str">
        <f>'Mapa de Riesgos'!D2</f>
        <v>MAPA DE RIESGOS INSTITUCIONAL</v>
      </c>
      <c r="E2" s="570"/>
      <c r="F2" s="570"/>
      <c r="G2" s="570"/>
      <c r="H2" s="570"/>
      <c r="I2" s="570"/>
      <c r="J2" s="570"/>
      <c r="K2" s="570"/>
      <c r="L2" s="570"/>
      <c r="M2" s="570"/>
      <c r="N2" s="570"/>
      <c r="O2" s="570"/>
      <c r="P2" s="570"/>
      <c r="Q2" s="570"/>
      <c r="R2" s="570"/>
      <c r="S2" s="570"/>
      <c r="T2" s="570"/>
      <c r="U2" s="570"/>
      <c r="V2" s="215" t="str">
        <f>'Mapa de Riesgos'!AE2</f>
        <v>VERSIÓN: 7.0</v>
      </c>
    </row>
    <row r="3" spans="1:22" x14ac:dyDescent="0.3">
      <c r="A3" s="200"/>
      <c r="B3" s="200"/>
      <c r="C3" s="200"/>
      <c r="D3" s="200"/>
      <c r="E3" s="200"/>
      <c r="F3" s="200"/>
      <c r="G3" s="200"/>
      <c r="H3" s="200"/>
      <c r="I3" s="200"/>
      <c r="J3" s="200"/>
      <c r="K3" s="200"/>
      <c r="L3" s="200"/>
      <c r="M3" s="200"/>
      <c r="N3" s="200"/>
      <c r="O3" s="200"/>
      <c r="P3" s="200"/>
      <c r="Q3" s="200"/>
      <c r="R3" s="200"/>
      <c r="S3" s="200"/>
      <c r="T3" s="200"/>
      <c r="U3" s="200"/>
      <c r="V3" s="200"/>
    </row>
    <row r="4" spans="1:22" ht="35.25" customHeight="1" x14ac:dyDescent="0.3">
      <c r="A4" s="491" t="s">
        <v>226</v>
      </c>
      <c r="B4" s="491"/>
      <c r="C4" s="491"/>
      <c r="D4" s="495" t="str">
        <f>'Mapa de Riesgos'!D4</f>
        <v>PLANEACIÓN INSTITUCIONAL</v>
      </c>
      <c r="E4" s="495"/>
      <c r="F4" s="495"/>
      <c r="G4" s="495"/>
      <c r="H4" s="495"/>
      <c r="I4" s="495"/>
      <c r="J4" s="495"/>
      <c r="K4" s="492" t="s">
        <v>227</v>
      </c>
      <c r="L4" s="492"/>
      <c r="M4" s="493">
        <v>2025</v>
      </c>
      <c r="N4" s="493"/>
      <c r="O4" s="493"/>
      <c r="P4" s="493"/>
      <c r="Q4" s="493"/>
      <c r="R4" s="493"/>
      <c r="S4" s="493"/>
      <c r="T4" s="493"/>
      <c r="U4" s="493"/>
      <c r="V4" s="493"/>
    </row>
    <row r="5" spans="1:22" ht="35.25" customHeight="1" x14ac:dyDescent="0.3">
      <c r="A5" s="491" t="s">
        <v>228</v>
      </c>
      <c r="B5" s="491"/>
      <c r="C5" s="491"/>
      <c r="D5" s="495" t="str">
        <f>'Mapa de Riesgos'!D5</f>
        <v>Oficina de Planeación</v>
      </c>
      <c r="E5" s="495"/>
      <c r="F5" s="495"/>
      <c r="G5" s="495"/>
      <c r="H5" s="495"/>
      <c r="I5" s="495"/>
      <c r="J5" s="495"/>
      <c r="K5" s="492" t="s">
        <v>230</v>
      </c>
      <c r="L5" s="492"/>
      <c r="M5" s="638" t="s">
        <v>477</v>
      </c>
      <c r="N5" s="638"/>
      <c r="O5" s="638"/>
      <c r="P5" s="638"/>
      <c r="Q5" s="638"/>
      <c r="R5" s="638"/>
      <c r="S5" s="638"/>
      <c r="T5" s="638"/>
      <c r="U5" s="638"/>
      <c r="V5" s="638"/>
    </row>
    <row r="6" spans="1:22" ht="17.25" thickBot="1" x14ac:dyDescent="0.35">
      <c r="A6" s="556"/>
      <c r="B6" s="556"/>
      <c r="C6" s="556"/>
      <c r="D6" s="556"/>
      <c r="E6" s="556"/>
      <c r="F6" s="556"/>
      <c r="G6" s="556"/>
      <c r="H6" s="556"/>
      <c r="I6" s="556"/>
      <c r="J6" s="556"/>
      <c r="K6" s="556"/>
      <c r="L6" s="556"/>
      <c r="M6" s="556"/>
      <c r="N6" s="556"/>
      <c r="O6" s="556"/>
      <c r="P6" s="556"/>
      <c r="Q6" s="556"/>
      <c r="R6" s="556"/>
      <c r="S6" s="556"/>
      <c r="T6" s="556"/>
      <c r="U6" s="556"/>
      <c r="V6" s="556"/>
    </row>
    <row r="7" spans="1:22" ht="49.5" customHeight="1" thickBot="1" x14ac:dyDescent="0.35">
      <c r="A7" s="580" t="str">
        <f>'Mapa de Riesgos'!A7</f>
        <v>IDENTIFICACIÓN DEL RIESGO</v>
      </c>
      <c r="B7" s="581"/>
      <c r="C7" s="581"/>
      <c r="D7" s="581"/>
      <c r="E7" s="581"/>
      <c r="F7" s="581"/>
      <c r="G7" s="607"/>
      <c r="H7" s="623" t="str">
        <f>'Plan de Acción'!R7</f>
        <v>PLAN DE ACCIÓN</v>
      </c>
      <c r="I7" s="624"/>
      <c r="J7" s="625"/>
      <c r="K7" s="626" t="s">
        <v>329</v>
      </c>
      <c r="L7" s="627"/>
      <c r="M7" s="627"/>
      <c r="N7" s="627"/>
      <c r="O7" s="627"/>
      <c r="P7" s="627"/>
      <c r="Q7" s="627"/>
      <c r="R7" s="627"/>
      <c r="S7" s="627"/>
      <c r="T7" s="627"/>
      <c r="U7" s="627"/>
      <c r="V7" s="628"/>
    </row>
    <row r="8" spans="1:22" ht="40.5" customHeight="1" x14ac:dyDescent="0.3">
      <c r="A8" s="608" t="str">
        <f>'Mapa de Riesgos'!A8</f>
        <v>No. Riesgo</v>
      </c>
      <c r="B8" s="610" t="str">
        <f>'Mapa de Riesgos'!B8</f>
        <v>Categoría del Riesgo</v>
      </c>
      <c r="C8" s="610" t="str">
        <f>'Mapa de Riesgos'!C8</f>
        <v>Clasificación del Riesgo</v>
      </c>
      <c r="D8" s="610" t="str">
        <f>'Mapa de Riesgos'!D8</f>
        <v>Descripción del Riesgo</v>
      </c>
      <c r="E8" s="597" t="str">
        <f>'Mapa de Riesgos'!E8</f>
        <v>Factores</v>
      </c>
      <c r="F8" s="610" t="str">
        <f>'Mapa de Riesgos'!F8</f>
        <v>Causas</v>
      </c>
      <c r="G8" s="615" t="str">
        <f>'Mapa de Riesgos'!G8</f>
        <v>Consecuencias</v>
      </c>
      <c r="H8" s="629" t="str">
        <f>'Plan de Acción'!R8</f>
        <v>Acciones</v>
      </c>
      <c r="I8" s="630" t="str">
        <f>'Plan de Acción'!S8</f>
        <v>Responsable</v>
      </c>
      <c r="J8" s="631" t="str">
        <f>'Plan de Acción'!T8</f>
        <v>Periodicidad</v>
      </c>
      <c r="K8" s="611" t="s">
        <v>330</v>
      </c>
      <c r="L8" s="613"/>
      <c r="M8" s="613"/>
      <c r="N8" s="614"/>
      <c r="O8" s="611" t="s">
        <v>331</v>
      </c>
      <c r="P8" s="612"/>
      <c r="Q8" s="613"/>
      <c r="R8" s="614"/>
      <c r="S8" s="611" t="s">
        <v>332</v>
      </c>
      <c r="T8" s="612"/>
      <c r="U8" s="613"/>
      <c r="V8" s="614"/>
    </row>
    <row r="9" spans="1:22" s="183" customFormat="1" ht="59.25" customHeight="1" x14ac:dyDescent="0.25">
      <c r="A9" s="609"/>
      <c r="B9" s="512"/>
      <c r="C9" s="512"/>
      <c r="D9" s="512"/>
      <c r="E9" s="591"/>
      <c r="F9" s="512"/>
      <c r="G9" s="616"/>
      <c r="H9" s="594"/>
      <c r="I9" s="590"/>
      <c r="J9" s="592"/>
      <c r="K9" s="188" t="s">
        <v>333</v>
      </c>
      <c r="L9" s="340" t="s">
        <v>334</v>
      </c>
      <c r="M9" s="186" t="s">
        <v>335</v>
      </c>
      <c r="N9" s="187" t="s">
        <v>172</v>
      </c>
      <c r="O9" s="188" t="s">
        <v>333</v>
      </c>
      <c r="P9" s="186" t="s">
        <v>334</v>
      </c>
      <c r="Q9" s="186" t="s">
        <v>335</v>
      </c>
      <c r="R9" s="187" t="s">
        <v>172</v>
      </c>
      <c r="S9" s="188" t="s">
        <v>333</v>
      </c>
      <c r="T9" s="186" t="s">
        <v>334</v>
      </c>
      <c r="U9" s="186" t="s">
        <v>335</v>
      </c>
      <c r="V9" s="187" t="s">
        <v>172</v>
      </c>
    </row>
    <row r="10" spans="1:22" s="2" customFormat="1" ht="96" customHeight="1" x14ac:dyDescent="0.25">
      <c r="A10" s="601">
        <f>'Mapa de Riesgos'!A10</f>
        <v>1</v>
      </c>
      <c r="B10" s="603" t="str">
        <f>'Mapa de Riesgos'!B10</f>
        <v>GESTIÓN</v>
      </c>
      <c r="C10" s="603" t="str">
        <f>'Mapa de Riesgos'!C10</f>
        <v>Ejecución y Administración de procesos</v>
      </c>
      <c r="D10" s="605" t="str">
        <f>'Mapa de Riesgos'!D10</f>
        <v>Ejecución parcial de las metas establecidas en los indicadores de los Planes de Acción Anuales del Plan Estratégico de Desarrollo Institucional de la Oficina de Planeación.</v>
      </c>
      <c r="E10" s="250" t="str">
        <f>'Mapa de Riesgos'!E10</f>
        <v>Factores Internos (Debilidades)</v>
      </c>
      <c r="F10" s="307" t="str">
        <f>'Mapa de Riesgos'!F10</f>
        <v>1. Recursos insuficientes para la ejecución de los indicadores y actividades planeadas.</v>
      </c>
      <c r="G10" s="308" t="str">
        <f>'Mapa de Riesgos'!G10</f>
        <v>1. Incumplimiento de la gestión  del proceso y de la institución.</v>
      </c>
      <c r="H10" s="309" t="str">
        <f>'Plan de Acción'!R10</f>
        <v>Realizar seguimiento al cumplimiento de lo establecido en los cronogramas.</v>
      </c>
      <c r="I10" s="240" t="str">
        <f>'Plan de Acción'!S10</f>
        <v>Oficina de Planeación</v>
      </c>
      <c r="J10" s="252" t="str">
        <f>'Plan de Acción'!T10</f>
        <v>Según corresponda</v>
      </c>
      <c r="K10" s="642" t="s">
        <v>111</v>
      </c>
      <c r="L10" s="286" t="s">
        <v>496</v>
      </c>
      <c r="M10" s="320" t="s">
        <v>487</v>
      </c>
      <c r="N10" s="254" t="s">
        <v>336</v>
      </c>
      <c r="O10" s="642" t="s">
        <v>111</v>
      </c>
      <c r="P10" s="317" t="s">
        <v>497</v>
      </c>
      <c r="Q10" s="320" t="s">
        <v>493</v>
      </c>
      <c r="R10" s="257" t="s">
        <v>336</v>
      </c>
      <c r="S10" s="642"/>
      <c r="T10" s="316"/>
      <c r="U10" s="314"/>
      <c r="V10" s="254"/>
    </row>
    <row r="11" spans="1:22" s="2" customFormat="1" ht="91.5" customHeight="1" x14ac:dyDescent="0.25">
      <c r="A11" s="601"/>
      <c r="B11" s="603"/>
      <c r="C11" s="603"/>
      <c r="D11" s="605"/>
      <c r="E11" s="250" t="str">
        <f>'Mapa de Riesgos'!E11</f>
        <v>Factores Internos (Debilidades)</v>
      </c>
      <c r="F11" s="307" t="str">
        <f>'Mapa de Riesgos'!F11</f>
        <v xml:space="preserve">2. Cambio constante de políticas y directrices institucionales. </v>
      </c>
      <c r="G11" s="308" t="str">
        <f>'Mapa de Riesgos'!G11</f>
        <v>2. Inconformismo de las partes interesadas.</v>
      </c>
      <c r="H11" s="325" t="str">
        <f>'Plan de Acción'!R11</f>
        <v>Realizar seguimiento al cumplimiento de lo establecido en los cronogramas.</v>
      </c>
      <c r="I11" s="240" t="str">
        <f>'Plan de Acción'!S11</f>
        <v>Oficina de Planeación</v>
      </c>
      <c r="J11" s="252" t="str">
        <f>'Plan de Acción'!T11</f>
        <v>Según corresponda</v>
      </c>
      <c r="K11" s="643"/>
      <c r="L11" s="286" t="s">
        <v>478</v>
      </c>
      <c r="M11" s="320" t="s">
        <v>487</v>
      </c>
      <c r="N11" s="254" t="s">
        <v>337</v>
      </c>
      <c r="O11" s="643"/>
      <c r="P11" s="317" t="s">
        <v>495</v>
      </c>
      <c r="Q11" s="320" t="s">
        <v>494</v>
      </c>
      <c r="R11" s="257" t="s">
        <v>337</v>
      </c>
      <c r="S11" s="643"/>
      <c r="T11" s="316"/>
      <c r="U11" s="320"/>
      <c r="V11" s="254"/>
    </row>
    <row r="12" spans="1:22" s="2" customFormat="1" ht="88.5" customHeight="1" x14ac:dyDescent="0.25">
      <c r="A12" s="635"/>
      <c r="B12" s="636"/>
      <c r="C12" s="636"/>
      <c r="D12" s="637"/>
      <c r="E12" s="250" t="str">
        <f>'Mapa de Riesgos'!E12</f>
        <v>Factores Internos (Debilidades)</v>
      </c>
      <c r="F12" s="307" t="str">
        <f>'Mapa de Riesgos'!F12</f>
        <v xml:space="preserve">3. Inadecuada planificación de las actividades que conlleven al cumplimiento de las metas. </v>
      </c>
      <c r="G12" s="308" t="str">
        <f>'Mapa de Riesgos'!G12</f>
        <v>3. Insatisfacción de los usuarios.</v>
      </c>
      <c r="H12" s="325">
        <f>'Plan de Acción'!R12</f>
        <v>0</v>
      </c>
      <c r="I12" s="240">
        <f>'Plan de Acción'!S12</f>
        <v>0</v>
      </c>
      <c r="J12" s="252">
        <f>'Plan de Acción'!T12</f>
        <v>0</v>
      </c>
      <c r="K12" s="643"/>
      <c r="L12" s="315"/>
      <c r="M12" s="315"/>
      <c r="N12" s="257"/>
      <c r="O12" s="643"/>
      <c r="P12" s="317"/>
      <c r="Q12" s="321"/>
      <c r="R12" s="257"/>
      <c r="S12" s="643"/>
      <c r="T12" s="313"/>
      <c r="U12" s="315"/>
      <c r="V12" s="257"/>
    </row>
    <row r="13" spans="1:22" s="2" customFormat="1" ht="61.5" customHeight="1" x14ac:dyDescent="0.25">
      <c r="A13" s="635"/>
      <c r="B13" s="636"/>
      <c r="C13" s="636"/>
      <c r="D13" s="637"/>
      <c r="E13" s="250">
        <f>'Mapa de Riesgos'!E13</f>
        <v>0</v>
      </c>
      <c r="F13" s="307">
        <f>'Mapa de Riesgos'!F13</f>
        <v>0</v>
      </c>
      <c r="G13" s="308" t="str">
        <f>'Mapa de Riesgos'!G13</f>
        <v>4. Resultados negativos en la evaluación de la gestión.</v>
      </c>
      <c r="H13" s="309">
        <f>'Plan de Acción'!R13</f>
        <v>0</v>
      </c>
      <c r="I13" s="240">
        <f>'Plan de Acción'!S13</f>
        <v>0</v>
      </c>
      <c r="J13" s="252">
        <f>'Plan de Acción'!T13</f>
        <v>0</v>
      </c>
      <c r="K13" s="643"/>
      <c r="L13" s="315"/>
      <c r="M13" s="315"/>
      <c r="N13" s="257"/>
      <c r="O13" s="643"/>
      <c r="P13" s="315"/>
      <c r="Q13" s="315"/>
      <c r="R13" s="257"/>
      <c r="S13" s="643"/>
      <c r="T13" s="258"/>
      <c r="U13" s="256"/>
      <c r="V13" s="257"/>
    </row>
    <row r="14" spans="1:22" s="2" customFormat="1" x14ac:dyDescent="0.25">
      <c r="A14" s="635"/>
      <c r="B14" s="636"/>
      <c r="C14" s="636"/>
      <c r="D14" s="637"/>
      <c r="E14" s="250">
        <f>'Mapa de Riesgos'!E14</f>
        <v>0</v>
      </c>
      <c r="F14" s="307">
        <f>'Mapa de Riesgos'!F14</f>
        <v>0</v>
      </c>
      <c r="G14" s="308">
        <f>'Mapa de Riesgos'!G14</f>
        <v>0</v>
      </c>
      <c r="H14" s="309">
        <f>'Plan de Acción'!R14</f>
        <v>0</v>
      </c>
      <c r="I14" s="240">
        <f>'Plan de Acción'!S14</f>
        <v>0</v>
      </c>
      <c r="J14" s="252">
        <f>'Plan de Acción'!T14</f>
        <v>0</v>
      </c>
      <c r="K14" s="643"/>
      <c r="L14" s="315"/>
      <c r="M14" s="315"/>
      <c r="N14" s="257"/>
      <c r="O14" s="643"/>
      <c r="P14" s="315"/>
      <c r="Q14" s="315"/>
      <c r="R14" s="257"/>
      <c r="S14" s="643"/>
      <c r="T14" s="258"/>
      <c r="U14" s="256"/>
      <c r="V14" s="257"/>
    </row>
    <row r="15" spans="1:22" s="2" customFormat="1" ht="42" customHeight="1" x14ac:dyDescent="0.25">
      <c r="A15" s="635"/>
      <c r="B15" s="636"/>
      <c r="C15" s="636"/>
      <c r="D15" s="637"/>
      <c r="E15" s="250">
        <f>'Mapa de Riesgos'!E15</f>
        <v>0</v>
      </c>
      <c r="F15" s="307">
        <f>'Mapa de Riesgos'!F15</f>
        <v>0</v>
      </c>
      <c r="G15" s="308">
        <f>'Mapa de Riesgos'!G15</f>
        <v>0</v>
      </c>
      <c r="H15" s="309">
        <f>'Plan de Acción'!R15</f>
        <v>0</v>
      </c>
      <c r="I15" s="240">
        <f>'Plan de Acción'!S15</f>
        <v>0</v>
      </c>
      <c r="J15" s="252">
        <f>'Plan de Acción'!T15</f>
        <v>0</v>
      </c>
      <c r="K15" s="643"/>
      <c r="L15" s="256"/>
      <c r="M15" s="256"/>
      <c r="N15" s="257"/>
      <c r="O15" s="643"/>
      <c r="P15" s="258"/>
      <c r="Q15" s="256"/>
      <c r="R15" s="257"/>
      <c r="S15" s="643"/>
      <c r="T15" s="258"/>
      <c r="U15" s="256"/>
      <c r="V15" s="257"/>
    </row>
    <row r="16" spans="1:22" s="2" customFormat="1" ht="42" customHeight="1" thickBot="1" x14ac:dyDescent="0.3">
      <c r="A16" s="602"/>
      <c r="B16" s="604"/>
      <c r="C16" s="604"/>
      <c r="D16" s="606"/>
      <c r="E16" s="251">
        <f>'Mapa de Riesgos'!E16</f>
        <v>0</v>
      </c>
      <c r="F16" s="310">
        <f>'Mapa de Riesgos'!F16</f>
        <v>0</v>
      </c>
      <c r="G16" s="311">
        <f>'Mapa de Riesgos'!G16</f>
        <v>0</v>
      </c>
      <c r="H16" s="312">
        <f>'Plan de Acción'!R16</f>
        <v>0</v>
      </c>
      <c r="I16" s="245">
        <f>'Plan de Acción'!S16</f>
        <v>0</v>
      </c>
      <c r="J16" s="259">
        <f>'Plan de Acción'!T16</f>
        <v>0</v>
      </c>
      <c r="K16" s="644"/>
      <c r="L16" s="260"/>
      <c r="M16" s="260"/>
      <c r="N16" s="261"/>
      <c r="O16" s="644"/>
      <c r="P16" s="262"/>
      <c r="Q16" s="260"/>
      <c r="R16" s="261"/>
      <c r="S16" s="644"/>
      <c r="T16" s="262"/>
      <c r="U16" s="260"/>
      <c r="V16" s="261"/>
    </row>
    <row r="17" spans="1:22" s="2" customFormat="1" ht="163.5" customHeight="1" x14ac:dyDescent="0.25">
      <c r="A17" s="617">
        <f>'Mapa de Riesgos'!A17</f>
        <v>2</v>
      </c>
      <c r="B17" s="620" t="str">
        <f>'Mapa de Riesgos'!B17</f>
        <v>GESTIÓN</v>
      </c>
      <c r="C17" s="620" t="str">
        <f>'Mapa de Riesgos'!C17</f>
        <v>Ejecución y Administración de procesos</v>
      </c>
      <c r="D17" s="632" t="str">
        <f>'Mapa de Riesgos'!D17</f>
        <v>Seguimiento inadecuado al cumplimiento de  metas propuestas en los planes de acción.</v>
      </c>
      <c r="E17" s="250" t="str">
        <f>'Mapa de Riesgos'!E17</f>
        <v>Factores Internos (Debilidades)</v>
      </c>
      <c r="F17" s="307" t="str">
        <f>'Mapa de Riesgos'!F17</f>
        <v>1. Inadecuada planificación.</v>
      </c>
      <c r="G17" s="308" t="str">
        <f>'Mapa de Riesgos'!G17</f>
        <v>1. Pérdida de recursos.</v>
      </c>
      <c r="H17" s="309" t="str">
        <f>'Plan de Acción'!R17</f>
        <v xml:space="preserve">Socializar el Plan de Acción anual al interior de las UTS con el fin de dar cumplimiento en las metas establecidas en los indicadores. </v>
      </c>
      <c r="I17" s="240" t="str">
        <f>'Plan de Acción'!S17</f>
        <v>Oficina de Planeación</v>
      </c>
      <c r="J17" s="252" t="str">
        <f>'Plan de Acción'!T17</f>
        <v>Según corresponda</v>
      </c>
      <c r="K17" s="642" t="s">
        <v>111</v>
      </c>
      <c r="L17" s="313" t="s">
        <v>484</v>
      </c>
      <c r="M17" s="314" t="s">
        <v>483</v>
      </c>
      <c r="N17" s="257" t="s">
        <v>336</v>
      </c>
      <c r="O17" s="642" t="s">
        <v>111</v>
      </c>
      <c r="P17" s="317" t="s">
        <v>497</v>
      </c>
      <c r="Q17" s="320" t="s">
        <v>493</v>
      </c>
      <c r="R17" s="257" t="s">
        <v>336</v>
      </c>
      <c r="S17" s="642"/>
      <c r="T17" s="313"/>
      <c r="U17" s="334"/>
      <c r="V17" s="257"/>
    </row>
    <row r="18" spans="1:22" s="2" customFormat="1" ht="170.25" customHeight="1" x14ac:dyDescent="0.25">
      <c r="A18" s="618"/>
      <c r="B18" s="621"/>
      <c r="C18" s="621"/>
      <c r="D18" s="633"/>
      <c r="E18" s="250" t="str">
        <f>'Mapa de Riesgos'!E18</f>
        <v>Factores Internos (Debilidades)</v>
      </c>
      <c r="F18" s="307" t="str">
        <f>'Mapa de Riesgos'!F18</f>
        <v>2. Revisión inadecuada de la información reportada por los responsables de cada proceso.</v>
      </c>
      <c r="G18" s="308" t="str">
        <f>'Mapa de Riesgos'!G18</f>
        <v>2. Inversión poco eficaz y eficiente de recursos.</v>
      </c>
      <c r="H18" s="309" t="str">
        <f>'Plan de Acción'!R18</f>
        <v>Verificar los reportes realizados por los responsables de los indicadores del plan de acción con las evidencias reportadas.</v>
      </c>
      <c r="I18" s="240" t="str">
        <f>'Plan de Acción'!S18</f>
        <v>Oficina de Planeación</v>
      </c>
      <c r="J18" s="252" t="str">
        <f>'Plan de Acción'!T18</f>
        <v>Según corresponda</v>
      </c>
      <c r="K18" s="643"/>
      <c r="L18" s="313" t="s">
        <v>485</v>
      </c>
      <c r="M18" s="320" t="s">
        <v>486</v>
      </c>
      <c r="N18" s="257" t="s">
        <v>337</v>
      </c>
      <c r="O18" s="643"/>
      <c r="P18" s="315" t="s">
        <v>498</v>
      </c>
      <c r="Q18" s="314" t="s">
        <v>499</v>
      </c>
      <c r="R18" s="257" t="s">
        <v>337</v>
      </c>
      <c r="S18" s="643"/>
      <c r="T18" s="322"/>
      <c r="U18" s="335"/>
      <c r="V18" s="323"/>
    </row>
    <row r="19" spans="1:22" s="2" customFormat="1" ht="44.25" customHeight="1" x14ac:dyDescent="0.25">
      <c r="A19" s="618"/>
      <c r="B19" s="621"/>
      <c r="C19" s="621"/>
      <c r="D19" s="633"/>
      <c r="E19" s="250" t="str">
        <f>'Mapa de Riesgos'!E19</f>
        <v>Factores Internos (Debilidades)</v>
      </c>
      <c r="F19" s="307" t="str">
        <f>'Mapa de Riesgos'!F19</f>
        <v>3. Falta de recursos.</v>
      </c>
      <c r="G19" s="308" t="str">
        <f>'Mapa de Riesgos'!G19</f>
        <v>3. Pérdida de imagen institucional.</v>
      </c>
      <c r="H19" s="309">
        <f>'Plan de Acción'!R19</f>
        <v>0</v>
      </c>
      <c r="I19" s="240">
        <f>'Plan de Acción'!S19</f>
        <v>0</v>
      </c>
      <c r="J19" s="252">
        <f>'Plan de Acción'!T19</f>
        <v>0</v>
      </c>
      <c r="K19" s="643"/>
      <c r="L19" s="315"/>
      <c r="M19" s="315"/>
      <c r="N19" s="257"/>
      <c r="O19" s="643"/>
      <c r="P19" s="258"/>
      <c r="Q19" s="256"/>
      <c r="R19" s="257"/>
      <c r="S19" s="643"/>
      <c r="T19" s="258"/>
      <c r="U19" s="256"/>
      <c r="V19" s="257"/>
    </row>
    <row r="20" spans="1:22" s="2" customFormat="1" ht="44.25" customHeight="1" x14ac:dyDescent="0.25">
      <c r="A20" s="618"/>
      <c r="B20" s="621"/>
      <c r="C20" s="621"/>
      <c r="D20" s="633"/>
      <c r="E20" s="250">
        <f>'Mapa de Riesgos'!E20</f>
        <v>0</v>
      </c>
      <c r="F20" s="307" t="str">
        <f>'Mapa de Riesgos'!F20</f>
        <v>4. Entrega de información incompleta e inoportuna por parte de los responsables de cada proceso.</v>
      </c>
      <c r="G20" s="308" t="str">
        <f>'Mapa de Riesgos'!G20</f>
        <v>4. Imposibilidad de mejoras por parte de los procesos.</v>
      </c>
      <c r="H20" s="309">
        <f>'Plan de Acción'!R20</f>
        <v>0</v>
      </c>
      <c r="I20" s="240">
        <f>'Plan de Acción'!S20</f>
        <v>0</v>
      </c>
      <c r="J20" s="252">
        <f>'Plan de Acción'!T20</f>
        <v>0</v>
      </c>
      <c r="K20" s="643"/>
      <c r="L20" s="316"/>
      <c r="M20" s="317"/>
      <c r="N20" s="254"/>
      <c r="O20" s="643"/>
      <c r="P20" s="255"/>
      <c r="Q20" s="253"/>
      <c r="R20" s="254"/>
      <c r="S20" s="643"/>
      <c r="T20" s="255"/>
      <c r="U20" s="253"/>
      <c r="V20" s="254"/>
    </row>
    <row r="21" spans="1:22" s="2" customFormat="1" ht="44.25" customHeight="1" x14ac:dyDescent="0.25">
      <c r="A21" s="618"/>
      <c r="B21" s="621"/>
      <c r="C21" s="621"/>
      <c r="D21" s="633"/>
      <c r="E21" s="250">
        <f>'Mapa de Riesgos'!E21</f>
        <v>0</v>
      </c>
      <c r="F21" s="307">
        <f>'Mapa de Riesgos'!F21</f>
        <v>0</v>
      </c>
      <c r="G21" s="308" t="str">
        <f>'Mapa de Riesgos'!G21</f>
        <v>5. Pérdida de visibilidad regional y nacional.</v>
      </c>
      <c r="H21" s="309">
        <f>'Plan de Acción'!R21</f>
        <v>0</v>
      </c>
      <c r="I21" s="240">
        <f>'Plan de Acción'!S21</f>
        <v>0</v>
      </c>
      <c r="J21" s="252">
        <f>'Plan de Acción'!T21</f>
        <v>0</v>
      </c>
      <c r="K21" s="643"/>
      <c r="L21" s="316"/>
      <c r="M21" s="317"/>
      <c r="N21" s="254"/>
      <c r="O21" s="643"/>
      <c r="P21" s="255"/>
      <c r="Q21" s="253"/>
      <c r="R21" s="254"/>
      <c r="S21" s="643"/>
      <c r="T21" s="255"/>
      <c r="U21" s="253"/>
      <c r="V21" s="254"/>
    </row>
    <row r="22" spans="1:22" s="2" customFormat="1" ht="44.25" customHeight="1" thickBot="1" x14ac:dyDescent="0.3">
      <c r="A22" s="619"/>
      <c r="B22" s="622"/>
      <c r="C22" s="622"/>
      <c r="D22" s="634"/>
      <c r="E22" s="251">
        <f>'Mapa de Riesgos'!E22</f>
        <v>0</v>
      </c>
      <c r="F22" s="310">
        <f>'Mapa de Riesgos'!F22</f>
        <v>0</v>
      </c>
      <c r="G22" s="311" t="str">
        <f>'Mapa de Riesgos'!G22</f>
        <v xml:space="preserve">6. Investigaciones administrativas por entes de control. </v>
      </c>
      <c r="H22" s="312">
        <f>'Plan de Acción'!R22</f>
        <v>0</v>
      </c>
      <c r="I22" s="245">
        <f>'Plan de Acción'!S22</f>
        <v>0</v>
      </c>
      <c r="J22" s="259">
        <f>'Plan de Acción'!T22</f>
        <v>0</v>
      </c>
      <c r="K22" s="644"/>
      <c r="L22" s="318"/>
      <c r="M22" s="319"/>
      <c r="N22" s="261"/>
      <c r="O22" s="644"/>
      <c r="P22" s="262"/>
      <c r="Q22" s="260"/>
      <c r="R22" s="261"/>
      <c r="S22" s="644"/>
      <c r="T22" s="262"/>
      <c r="U22" s="260"/>
      <c r="V22" s="261"/>
    </row>
    <row r="23" spans="1:22" s="2" customFormat="1" ht="111" customHeight="1" x14ac:dyDescent="0.25">
      <c r="A23" s="617">
        <f>'Mapa de Riesgos'!A23</f>
        <v>3</v>
      </c>
      <c r="B23" s="620" t="str">
        <f>'Mapa de Riesgos'!B23</f>
        <v>GESTIÓN</v>
      </c>
      <c r="C23" s="620" t="str">
        <f>'Mapa de Riesgos'!C23</f>
        <v>Ejecución y Administración de procesos</v>
      </c>
      <c r="D23" s="632" t="str">
        <f>'Mapa de Riesgos'!D23</f>
        <v>Revisión inadecuada de los requisitos documentales de formulación y viabilización de los proyectos, por parte del equipo de trabajo del Banco de Proyectos.</v>
      </c>
      <c r="E23" s="250" t="str">
        <f>'Mapa de Riesgos'!E23</f>
        <v>Factores Internos (Debilidades)</v>
      </c>
      <c r="F23" s="307" t="str">
        <f>'Mapa de Riesgos'!F23</f>
        <v>1. Error humano.</v>
      </c>
      <c r="G23" s="308" t="str">
        <f>'Mapa de Riesgos'!G23</f>
        <v>1. Sanciones Disciplinarias y/o penales.</v>
      </c>
      <c r="H23" s="309" t="str">
        <f>'Plan de Acción'!R23</f>
        <v>1. Uso permanente de las listas de verificación documental.</v>
      </c>
      <c r="I23" s="240" t="str">
        <f>'Plan de Acción'!S23</f>
        <v>Oficina de Planeación</v>
      </c>
      <c r="J23" s="252" t="str">
        <f>'Plan de Acción'!T23</f>
        <v>Según corresponda</v>
      </c>
      <c r="K23" s="642" t="s">
        <v>111</v>
      </c>
      <c r="L23" s="336" t="s">
        <v>488</v>
      </c>
      <c r="M23" s="337" t="s">
        <v>479</v>
      </c>
      <c r="N23" s="257" t="s">
        <v>337</v>
      </c>
      <c r="O23" s="642" t="s">
        <v>111</v>
      </c>
      <c r="P23" s="336" t="s">
        <v>490</v>
      </c>
      <c r="Q23" s="337" t="s">
        <v>479</v>
      </c>
      <c r="R23" s="257" t="s">
        <v>337</v>
      </c>
      <c r="S23" s="642"/>
      <c r="T23" s="336"/>
      <c r="U23" s="315"/>
      <c r="V23" s="257"/>
    </row>
    <row r="24" spans="1:22" s="2" customFormat="1" ht="97.5" customHeight="1" x14ac:dyDescent="0.25">
      <c r="A24" s="618"/>
      <c r="B24" s="621"/>
      <c r="C24" s="621"/>
      <c r="D24" s="633"/>
      <c r="E24" s="250" t="str">
        <f>'Mapa de Riesgos'!E24</f>
        <v>Factores Internos (Debilidades)</v>
      </c>
      <c r="F24" s="307" t="str">
        <f>'Mapa de Riesgos'!F24</f>
        <v>2. Desconocimiento del proceso de revisión de los proyectos.</v>
      </c>
      <c r="G24" s="308" t="str">
        <f>'Mapa de Riesgos'!G24</f>
        <v>2. Demoras en las etapas de elaboración del proyecto y contractual.</v>
      </c>
      <c r="H24" s="309">
        <f>'Plan de Acción'!R24</f>
        <v>0</v>
      </c>
      <c r="I24" s="240">
        <f>'Plan de Acción'!S24</f>
        <v>0</v>
      </c>
      <c r="J24" s="252">
        <f>'Plan de Acción'!T24</f>
        <v>0</v>
      </c>
      <c r="K24" s="643"/>
      <c r="L24" s="336" t="s">
        <v>489</v>
      </c>
      <c r="M24" s="338" t="s">
        <v>480</v>
      </c>
      <c r="N24" s="257" t="s">
        <v>336</v>
      </c>
      <c r="O24" s="643"/>
      <c r="P24" s="336" t="s">
        <v>491</v>
      </c>
      <c r="Q24" s="338" t="s">
        <v>492</v>
      </c>
      <c r="R24" s="257" t="s">
        <v>337</v>
      </c>
      <c r="S24" s="643"/>
      <c r="T24" s="313"/>
      <c r="U24" s="315"/>
      <c r="V24" s="257"/>
    </row>
    <row r="25" spans="1:22" s="2" customFormat="1" x14ac:dyDescent="0.25">
      <c r="A25" s="618"/>
      <c r="B25" s="621"/>
      <c r="C25" s="621"/>
      <c r="D25" s="633"/>
      <c r="E25" s="250">
        <f>'Mapa de Riesgos'!E25</f>
        <v>0</v>
      </c>
      <c r="F25" s="307">
        <f>'Mapa de Riesgos'!F25</f>
        <v>0</v>
      </c>
      <c r="G25" s="308" t="str">
        <f>'Mapa de Riesgos'!G25</f>
        <v>3. Reprocesos.</v>
      </c>
      <c r="H25" s="309">
        <f>'Plan de Acción'!R25</f>
        <v>0</v>
      </c>
      <c r="I25" s="240">
        <f>'Plan de Acción'!S25</f>
        <v>0</v>
      </c>
      <c r="J25" s="252">
        <f>'Plan de Acción'!T25</f>
        <v>0</v>
      </c>
      <c r="K25" s="643"/>
      <c r="L25" s="258"/>
      <c r="M25" s="256"/>
      <c r="N25" s="257"/>
      <c r="O25" s="643"/>
      <c r="P25" s="258"/>
      <c r="Q25" s="256"/>
      <c r="R25" s="257"/>
      <c r="S25" s="643"/>
      <c r="T25" s="258"/>
      <c r="U25" s="256"/>
      <c r="V25" s="257"/>
    </row>
    <row r="26" spans="1:22" s="2" customFormat="1" x14ac:dyDescent="0.25">
      <c r="A26" s="618"/>
      <c r="B26" s="621"/>
      <c r="C26" s="621"/>
      <c r="D26" s="633"/>
      <c r="E26" s="250">
        <f>'Mapa de Riesgos'!E26</f>
        <v>0</v>
      </c>
      <c r="F26" s="307">
        <f>'Mapa de Riesgos'!F26</f>
        <v>0</v>
      </c>
      <c r="G26" s="308" t="str">
        <f>'Mapa de Riesgos'!G26</f>
        <v>4. Hallazgos en auditorías.</v>
      </c>
      <c r="H26" s="309">
        <f>'Plan de Acción'!R26</f>
        <v>0</v>
      </c>
      <c r="I26" s="240">
        <f>'Plan de Acción'!S26</f>
        <v>0</v>
      </c>
      <c r="J26" s="252">
        <f>'Plan de Acción'!T26</f>
        <v>0</v>
      </c>
      <c r="K26" s="643"/>
      <c r="L26" s="258"/>
      <c r="M26" s="253"/>
      <c r="N26" s="254"/>
      <c r="O26" s="643"/>
      <c r="P26" s="255"/>
      <c r="Q26" s="253"/>
      <c r="R26" s="254"/>
      <c r="S26" s="643"/>
      <c r="T26" s="255"/>
      <c r="U26" s="253"/>
      <c r="V26" s="254"/>
    </row>
    <row r="27" spans="1:22" s="2" customFormat="1" x14ac:dyDescent="0.25">
      <c r="A27" s="618"/>
      <c r="B27" s="621"/>
      <c r="C27" s="621"/>
      <c r="D27" s="633"/>
      <c r="E27" s="250">
        <f>'Mapa de Riesgos'!E27</f>
        <v>0</v>
      </c>
      <c r="F27" s="307">
        <f>'Mapa de Riesgos'!F27</f>
        <v>0</v>
      </c>
      <c r="G27" s="308">
        <f>'Mapa de Riesgos'!G27</f>
        <v>0</v>
      </c>
      <c r="H27" s="309">
        <f>'Plan de Acción'!R27</f>
        <v>0</v>
      </c>
      <c r="I27" s="240">
        <f>'Plan de Acción'!S27</f>
        <v>0</v>
      </c>
      <c r="J27" s="252">
        <f>'Plan de Acción'!T27</f>
        <v>0</v>
      </c>
      <c r="K27" s="643"/>
      <c r="L27" s="255"/>
      <c r="M27" s="253"/>
      <c r="N27" s="254"/>
      <c r="O27" s="643"/>
      <c r="P27" s="255"/>
      <c r="Q27" s="253"/>
      <c r="R27" s="254"/>
      <c r="S27" s="643"/>
      <c r="T27" s="255"/>
      <c r="U27" s="253"/>
      <c r="V27" s="254"/>
    </row>
    <row r="28" spans="1:22" s="2" customFormat="1" ht="17.25" thickBot="1" x14ac:dyDescent="0.3">
      <c r="A28" s="619"/>
      <c r="B28" s="622"/>
      <c r="C28" s="622"/>
      <c r="D28" s="634"/>
      <c r="E28" s="251">
        <f>'Mapa de Riesgos'!E28</f>
        <v>0</v>
      </c>
      <c r="F28" s="310">
        <f>'Mapa de Riesgos'!F28</f>
        <v>0</v>
      </c>
      <c r="G28" s="311">
        <f>'Mapa de Riesgos'!G28</f>
        <v>0</v>
      </c>
      <c r="H28" s="312">
        <f>'Plan de Acción'!R28</f>
        <v>0</v>
      </c>
      <c r="I28" s="245">
        <f>'Plan de Acción'!S28</f>
        <v>0</v>
      </c>
      <c r="J28" s="259">
        <f>'Plan de Acción'!T28</f>
        <v>0</v>
      </c>
      <c r="K28" s="644"/>
      <c r="L28" s="262"/>
      <c r="M28" s="260"/>
      <c r="N28" s="261"/>
      <c r="O28" s="644"/>
      <c r="P28" s="262"/>
      <c r="Q28" s="260"/>
      <c r="R28" s="261"/>
      <c r="S28" s="644"/>
      <c r="T28" s="262"/>
      <c r="U28" s="260"/>
      <c r="V28" s="261"/>
    </row>
    <row r="29" spans="1:22" s="2" customFormat="1" ht="99" customHeight="1" x14ac:dyDescent="0.25">
      <c r="A29" s="617">
        <f>'Mapa de Riesgos'!A29</f>
        <v>4</v>
      </c>
      <c r="B29" s="620" t="str">
        <f>'Mapa de Riesgos'!B29</f>
        <v>SEGURIDAD DE LA INFORMACIÓN</v>
      </c>
      <c r="C29" s="620" t="str">
        <f>'Mapa de Riesgos'!C29</f>
        <v>Usuarios, productos y practicas , organizacionales</v>
      </c>
      <c r="D29" s="632" t="str">
        <f>'Mapa de Riesgos'!D29</f>
        <v>Daño en activos de información: comunicaciones, informes, estadísticas, registros, entre otros.</v>
      </c>
      <c r="E29" s="250" t="str">
        <f>'Mapa de Riesgos'!E29</f>
        <v>Factores Internos (Debilidades)</v>
      </c>
      <c r="F29" s="307" t="str">
        <f>'Mapa de Riesgos'!F29</f>
        <v>1. Uso mal intencionado de la información contenida en los equipos de cómputo y en el correo institucional de la Oficina de Planeación, por parte de usuarios de la información o piratas informáticos.</v>
      </c>
      <c r="G29" s="308" t="str">
        <f>'Mapa de Riesgos'!G29</f>
        <v>1. Pérdida de información de la institución y del proceso de Planeación</v>
      </c>
      <c r="H29" s="309" t="str">
        <f>'Plan de Acción'!R29</f>
        <v>1. Almacenar la información en el ONE DRIVE de la Oficina de Planeación según Tablas de Retención Documental.</v>
      </c>
      <c r="I29" s="240" t="str">
        <f>'Plan de Acción'!S29</f>
        <v>Oficina de Planeación</v>
      </c>
      <c r="J29" s="252" t="str">
        <f>'Plan de Acción'!T29</f>
        <v>Según corresponda</v>
      </c>
      <c r="K29" s="642" t="s">
        <v>111</v>
      </c>
      <c r="L29" s="313" t="s">
        <v>481</v>
      </c>
      <c r="M29" s="314" t="s">
        <v>482</v>
      </c>
      <c r="N29" s="257" t="s">
        <v>337</v>
      </c>
      <c r="O29" s="642" t="s">
        <v>111</v>
      </c>
      <c r="P29" s="313" t="s">
        <v>481</v>
      </c>
      <c r="Q29" s="314" t="s">
        <v>482</v>
      </c>
      <c r="R29" s="257" t="s">
        <v>337</v>
      </c>
      <c r="S29" s="642"/>
      <c r="T29" s="313"/>
      <c r="U29" s="315"/>
      <c r="V29" s="257"/>
    </row>
    <row r="30" spans="1:22" s="2" customFormat="1" ht="49.5" x14ac:dyDescent="0.25">
      <c r="A30" s="618"/>
      <c r="B30" s="621"/>
      <c r="C30" s="621"/>
      <c r="D30" s="633"/>
      <c r="E30" s="250" t="str">
        <f>'Mapa de Riesgos'!E30</f>
        <v>Factores Internos (Debilidades)</v>
      </c>
      <c r="F30" s="307" t="str">
        <f>'Mapa de Riesgos'!F30</f>
        <v>2. Inadecuado manejo de contraseñas y datos de acceso al correo electrónico y medios de almacenamiento de información de la Oficina de Planeación.</v>
      </c>
      <c r="G30" s="308" t="str">
        <f>'Mapa de Riesgos'!G30</f>
        <v>2. Reproceso en la recopilación de la información</v>
      </c>
      <c r="H30" s="309">
        <f>'Plan de Acción'!R30</f>
        <v>0</v>
      </c>
      <c r="I30" s="240">
        <f>'Plan de Acción'!S30</f>
        <v>0</v>
      </c>
      <c r="J30" s="252">
        <f>'Plan de Acción'!T30</f>
        <v>0</v>
      </c>
      <c r="K30" s="643"/>
      <c r="L30" s="258"/>
      <c r="M30" s="256"/>
      <c r="N30" s="257"/>
      <c r="O30" s="643"/>
      <c r="P30" s="258"/>
      <c r="Q30" s="256"/>
      <c r="R30" s="257"/>
      <c r="S30" s="643"/>
      <c r="T30" s="258"/>
      <c r="U30" s="256"/>
      <c r="V30" s="257"/>
    </row>
    <row r="31" spans="1:22" s="2" customFormat="1" ht="33" x14ac:dyDescent="0.25">
      <c r="A31" s="618"/>
      <c r="B31" s="621"/>
      <c r="C31" s="621"/>
      <c r="D31" s="633"/>
      <c r="E31" s="250">
        <f>'Mapa de Riesgos'!E31</f>
        <v>0</v>
      </c>
      <c r="F31" s="307">
        <f>'Mapa de Riesgos'!F31</f>
        <v>0</v>
      </c>
      <c r="G31" s="308" t="str">
        <f>'Mapa de Riesgos'!G31</f>
        <v>3. Afectación de la imagen institucional</v>
      </c>
      <c r="H31" s="309">
        <f>'Plan de Acción'!R31</f>
        <v>0</v>
      </c>
      <c r="I31" s="240">
        <f>'Plan de Acción'!S31</f>
        <v>0</v>
      </c>
      <c r="J31" s="252">
        <f>'Plan de Acción'!T31</f>
        <v>0</v>
      </c>
      <c r="K31" s="643"/>
      <c r="L31" s="258"/>
      <c r="M31" s="256"/>
      <c r="N31" s="257"/>
      <c r="O31" s="643"/>
      <c r="P31" s="258"/>
      <c r="Q31" s="256"/>
      <c r="R31" s="257"/>
      <c r="S31" s="643"/>
      <c r="T31" s="258"/>
      <c r="U31" s="256"/>
      <c r="V31" s="257"/>
    </row>
    <row r="32" spans="1:22" s="2" customFormat="1" ht="40.5" customHeight="1" x14ac:dyDescent="0.25">
      <c r="A32" s="618"/>
      <c r="B32" s="621"/>
      <c r="C32" s="621"/>
      <c r="D32" s="633"/>
      <c r="E32" s="250">
        <f>'Mapa de Riesgos'!E32</f>
        <v>0</v>
      </c>
      <c r="F32" s="307">
        <f>'Mapa de Riesgos'!F32</f>
        <v>0</v>
      </c>
      <c r="G32" s="308">
        <f>'Mapa de Riesgos'!G32</f>
        <v>0</v>
      </c>
      <c r="H32" s="309">
        <f>'Plan de Acción'!R32</f>
        <v>0</v>
      </c>
      <c r="I32" s="240">
        <f>'Plan de Acción'!S32</f>
        <v>0</v>
      </c>
      <c r="J32" s="252">
        <f>'Plan de Acción'!T32</f>
        <v>0</v>
      </c>
      <c r="K32" s="643"/>
      <c r="L32" s="255"/>
      <c r="M32" s="253"/>
      <c r="N32" s="254"/>
      <c r="O32" s="643"/>
      <c r="P32" s="255"/>
      <c r="Q32" s="253"/>
      <c r="R32" s="254"/>
      <c r="S32" s="643"/>
      <c r="T32" s="255"/>
      <c r="U32" s="253"/>
      <c r="V32" s="254"/>
    </row>
    <row r="33" spans="1:22" s="2" customFormat="1" ht="40.5" customHeight="1" x14ac:dyDescent="0.25">
      <c r="A33" s="618"/>
      <c r="B33" s="621"/>
      <c r="C33" s="621"/>
      <c r="D33" s="633"/>
      <c r="E33" s="250">
        <f>'Mapa de Riesgos'!E33</f>
        <v>0</v>
      </c>
      <c r="F33" s="307">
        <f>'Mapa de Riesgos'!F33</f>
        <v>0</v>
      </c>
      <c r="G33" s="308">
        <f>'Mapa de Riesgos'!G33</f>
        <v>0</v>
      </c>
      <c r="H33" s="309">
        <f>'Plan de Acción'!R33</f>
        <v>0</v>
      </c>
      <c r="I33" s="240">
        <f>'Plan de Acción'!S33</f>
        <v>0</v>
      </c>
      <c r="J33" s="252">
        <f>'Plan de Acción'!T33</f>
        <v>0</v>
      </c>
      <c r="K33" s="643"/>
      <c r="L33" s="255"/>
      <c r="M33" s="253"/>
      <c r="N33" s="254"/>
      <c r="O33" s="643"/>
      <c r="P33" s="255"/>
      <c r="Q33" s="253"/>
      <c r="R33" s="254"/>
      <c r="S33" s="643"/>
      <c r="T33" s="255"/>
      <c r="U33" s="253"/>
      <c r="V33" s="254"/>
    </row>
    <row r="34" spans="1:22" s="2" customFormat="1" ht="40.5" customHeight="1" thickBot="1" x14ac:dyDescent="0.3">
      <c r="A34" s="619"/>
      <c r="B34" s="622"/>
      <c r="C34" s="622"/>
      <c r="D34" s="634"/>
      <c r="E34" s="251">
        <f>'Mapa de Riesgos'!E34</f>
        <v>0</v>
      </c>
      <c r="F34" s="310">
        <f>'Mapa de Riesgos'!F34</f>
        <v>0</v>
      </c>
      <c r="G34" s="311">
        <f>'Mapa de Riesgos'!G34</f>
        <v>0</v>
      </c>
      <c r="H34" s="312">
        <f>'Plan de Acción'!R34</f>
        <v>0</v>
      </c>
      <c r="I34" s="245">
        <f>'Plan de Acción'!S34</f>
        <v>0</v>
      </c>
      <c r="J34" s="259">
        <f>'Plan de Acción'!T34</f>
        <v>0</v>
      </c>
      <c r="K34" s="644"/>
      <c r="L34" s="262"/>
      <c r="M34" s="260"/>
      <c r="N34" s="261"/>
      <c r="O34" s="644"/>
      <c r="P34" s="262"/>
      <c r="Q34" s="260"/>
      <c r="R34" s="261"/>
      <c r="S34" s="644"/>
      <c r="T34" s="262"/>
      <c r="U34" s="260"/>
      <c r="V34" s="261"/>
    </row>
    <row r="35" spans="1:22" s="2" customFormat="1" ht="40.5" customHeight="1" x14ac:dyDescent="0.25">
      <c r="A35" s="617">
        <f>'Mapa de Riesgos'!A35</f>
        <v>6</v>
      </c>
      <c r="B35" s="620">
        <f>'Mapa de Riesgos'!B35</f>
        <v>0</v>
      </c>
      <c r="C35" s="620">
        <f>'Mapa de Riesgos'!C35</f>
        <v>0</v>
      </c>
      <c r="D35" s="632">
        <f>'Mapa de Riesgos'!D35</f>
        <v>0</v>
      </c>
      <c r="E35" s="250">
        <f>'Mapa de Riesgos'!E35</f>
        <v>0</v>
      </c>
      <c r="F35" s="307">
        <f>'Mapa de Riesgos'!F35</f>
        <v>0</v>
      </c>
      <c r="G35" s="308">
        <f>'Mapa de Riesgos'!G35</f>
        <v>0</v>
      </c>
      <c r="H35" s="309">
        <f>'Plan de Acción'!R35</f>
        <v>0</v>
      </c>
      <c r="I35" s="240">
        <f>'Plan de Acción'!S35</f>
        <v>0</v>
      </c>
      <c r="J35" s="252">
        <f>'Plan de Acción'!T35</f>
        <v>0</v>
      </c>
      <c r="K35" s="642"/>
      <c r="L35" s="258"/>
      <c r="M35" s="256"/>
      <c r="N35" s="257"/>
      <c r="O35" s="642"/>
      <c r="P35" s="258"/>
      <c r="Q35" s="256"/>
      <c r="R35" s="257"/>
      <c r="S35" s="642"/>
      <c r="T35" s="258"/>
      <c r="U35" s="256"/>
      <c r="V35" s="257"/>
    </row>
    <row r="36" spans="1:22" s="2" customFormat="1" ht="40.5" customHeight="1" x14ac:dyDescent="0.25">
      <c r="A36" s="618"/>
      <c r="B36" s="621"/>
      <c r="C36" s="621"/>
      <c r="D36" s="633"/>
      <c r="E36" s="250">
        <f>'Mapa de Riesgos'!E36</f>
        <v>0</v>
      </c>
      <c r="F36" s="307">
        <f>'Mapa de Riesgos'!F36</f>
        <v>0</v>
      </c>
      <c r="G36" s="308">
        <f>'Mapa de Riesgos'!G36</f>
        <v>0</v>
      </c>
      <c r="H36" s="309">
        <f>'Plan de Acción'!R36</f>
        <v>0</v>
      </c>
      <c r="I36" s="240">
        <f>'Plan de Acción'!S36</f>
        <v>0</v>
      </c>
      <c r="J36" s="252">
        <f>'Plan de Acción'!T36</f>
        <v>0</v>
      </c>
      <c r="K36" s="643"/>
      <c r="L36" s="258"/>
      <c r="M36" s="256"/>
      <c r="N36" s="257"/>
      <c r="O36" s="643"/>
      <c r="P36" s="258"/>
      <c r="Q36" s="256"/>
      <c r="R36" s="257"/>
      <c r="S36" s="643"/>
      <c r="T36" s="258"/>
      <c r="U36" s="256"/>
      <c r="V36" s="257"/>
    </row>
    <row r="37" spans="1:22" s="2" customFormat="1" ht="40.5" customHeight="1" x14ac:dyDescent="0.25">
      <c r="A37" s="618"/>
      <c r="B37" s="621"/>
      <c r="C37" s="621"/>
      <c r="D37" s="633"/>
      <c r="E37" s="250">
        <f>'Mapa de Riesgos'!E37</f>
        <v>0</v>
      </c>
      <c r="F37" s="307">
        <f>'Mapa de Riesgos'!F37</f>
        <v>0</v>
      </c>
      <c r="G37" s="308">
        <f>'Mapa de Riesgos'!G37</f>
        <v>0</v>
      </c>
      <c r="H37" s="309">
        <f>'Plan de Acción'!R37</f>
        <v>0</v>
      </c>
      <c r="I37" s="240">
        <f>'Plan de Acción'!S37</f>
        <v>0</v>
      </c>
      <c r="J37" s="252">
        <f>'Plan de Acción'!T37</f>
        <v>0</v>
      </c>
      <c r="K37" s="643"/>
      <c r="L37" s="258"/>
      <c r="M37" s="256"/>
      <c r="N37" s="257"/>
      <c r="O37" s="643"/>
      <c r="P37" s="258"/>
      <c r="Q37" s="256"/>
      <c r="R37" s="257"/>
      <c r="S37" s="643"/>
      <c r="T37" s="258"/>
      <c r="U37" s="256"/>
      <c r="V37" s="257"/>
    </row>
    <row r="38" spans="1:22" s="2" customFormat="1" ht="40.5" customHeight="1" x14ac:dyDescent="0.25">
      <c r="A38" s="618"/>
      <c r="B38" s="621"/>
      <c r="C38" s="621"/>
      <c r="D38" s="633"/>
      <c r="E38" s="250">
        <f>'Mapa de Riesgos'!E38</f>
        <v>0</v>
      </c>
      <c r="F38" s="307">
        <f>'Mapa de Riesgos'!F38</f>
        <v>0</v>
      </c>
      <c r="G38" s="308">
        <f>'Mapa de Riesgos'!G38</f>
        <v>0</v>
      </c>
      <c r="H38" s="309">
        <f>'Plan de Acción'!R38</f>
        <v>0</v>
      </c>
      <c r="I38" s="240">
        <f>'Plan de Acción'!S38</f>
        <v>0</v>
      </c>
      <c r="J38" s="252">
        <f>'Plan de Acción'!T38</f>
        <v>0</v>
      </c>
      <c r="K38" s="643"/>
      <c r="L38" s="255"/>
      <c r="M38" s="253"/>
      <c r="N38" s="254"/>
      <c r="O38" s="643"/>
      <c r="P38" s="255"/>
      <c r="Q38" s="253"/>
      <c r="R38" s="254"/>
      <c r="S38" s="643"/>
      <c r="T38" s="255"/>
      <c r="U38" s="253"/>
      <c r="V38" s="254"/>
    </row>
    <row r="39" spans="1:22" s="2" customFormat="1" ht="40.5" customHeight="1" x14ac:dyDescent="0.25">
      <c r="A39" s="618"/>
      <c r="B39" s="621"/>
      <c r="C39" s="621"/>
      <c r="D39" s="633"/>
      <c r="E39" s="250">
        <f>'Mapa de Riesgos'!E39</f>
        <v>0</v>
      </c>
      <c r="F39" s="307">
        <f>'Mapa de Riesgos'!F39</f>
        <v>0</v>
      </c>
      <c r="G39" s="308">
        <f>'Mapa de Riesgos'!G39</f>
        <v>0</v>
      </c>
      <c r="H39" s="309">
        <f>'Plan de Acción'!R39</f>
        <v>0</v>
      </c>
      <c r="I39" s="240">
        <f>'Plan de Acción'!S39</f>
        <v>0</v>
      </c>
      <c r="J39" s="252">
        <f>'Plan de Acción'!T39</f>
        <v>0</v>
      </c>
      <c r="K39" s="643"/>
      <c r="L39" s="255"/>
      <c r="M39" s="253"/>
      <c r="N39" s="254"/>
      <c r="O39" s="643"/>
      <c r="P39" s="255"/>
      <c r="Q39" s="253"/>
      <c r="R39" s="254"/>
      <c r="S39" s="643"/>
      <c r="T39" s="255"/>
      <c r="U39" s="253"/>
      <c r="V39" s="254"/>
    </row>
    <row r="40" spans="1:22" s="2" customFormat="1" ht="40.5" customHeight="1" thickBot="1" x14ac:dyDescent="0.3">
      <c r="A40" s="619"/>
      <c r="B40" s="622"/>
      <c r="C40" s="622"/>
      <c r="D40" s="634"/>
      <c r="E40" s="251">
        <f>'Mapa de Riesgos'!E40</f>
        <v>0</v>
      </c>
      <c r="F40" s="310">
        <f>'Mapa de Riesgos'!F40</f>
        <v>0</v>
      </c>
      <c r="G40" s="311">
        <f>'Mapa de Riesgos'!G40</f>
        <v>0</v>
      </c>
      <c r="H40" s="312">
        <f>'Plan de Acción'!R40</f>
        <v>0</v>
      </c>
      <c r="I40" s="245">
        <f>'Plan de Acción'!S40</f>
        <v>0</v>
      </c>
      <c r="J40" s="259">
        <f>'Plan de Acción'!T40</f>
        <v>0</v>
      </c>
      <c r="K40" s="644"/>
      <c r="L40" s="262"/>
      <c r="M40" s="260"/>
      <c r="N40" s="261"/>
      <c r="O40" s="644"/>
      <c r="P40" s="262"/>
      <c r="Q40" s="260"/>
      <c r="R40" s="261"/>
      <c r="S40" s="644"/>
      <c r="T40" s="262"/>
      <c r="U40" s="260"/>
      <c r="V40" s="261"/>
    </row>
    <row r="41" spans="1:22" s="2" customFormat="1" ht="40.5" customHeight="1" x14ac:dyDescent="0.25">
      <c r="A41" s="617">
        <f>'Mapa de Riesgos'!A41</f>
        <v>7</v>
      </c>
      <c r="B41" s="620">
        <f>'Mapa de Riesgos'!B41</f>
        <v>0</v>
      </c>
      <c r="C41" s="620">
        <f>'Mapa de Riesgos'!C41</f>
        <v>0</v>
      </c>
      <c r="D41" s="632">
        <f>'Mapa de Riesgos'!D41</f>
        <v>0</v>
      </c>
      <c r="E41" s="250">
        <f>'Mapa de Riesgos'!E41</f>
        <v>0</v>
      </c>
      <c r="F41" s="307">
        <f>'Mapa de Riesgos'!F41</f>
        <v>0</v>
      </c>
      <c r="G41" s="308">
        <f>'Mapa de Riesgos'!G41</f>
        <v>0</v>
      </c>
      <c r="H41" s="309">
        <f>'Plan de Acción'!R41</f>
        <v>0</v>
      </c>
      <c r="I41" s="240">
        <f>'Plan de Acción'!S41</f>
        <v>0</v>
      </c>
      <c r="J41" s="252">
        <f>'Plan de Acción'!T41</f>
        <v>0</v>
      </c>
      <c r="K41" s="642"/>
      <c r="L41" s="258"/>
      <c r="M41" s="256"/>
      <c r="N41" s="257"/>
      <c r="O41" s="642"/>
      <c r="P41" s="258"/>
      <c r="Q41" s="256"/>
      <c r="R41" s="257"/>
      <c r="S41" s="642"/>
      <c r="T41" s="258"/>
      <c r="U41" s="256"/>
      <c r="V41" s="257"/>
    </row>
    <row r="42" spans="1:22" s="2" customFormat="1" ht="40.5" customHeight="1" x14ac:dyDescent="0.25">
      <c r="A42" s="618"/>
      <c r="B42" s="621"/>
      <c r="C42" s="621"/>
      <c r="D42" s="633"/>
      <c r="E42" s="250">
        <f>'Mapa de Riesgos'!E42</f>
        <v>0</v>
      </c>
      <c r="F42" s="307">
        <f>'Mapa de Riesgos'!F42</f>
        <v>0</v>
      </c>
      <c r="G42" s="308">
        <f>'Mapa de Riesgos'!G42</f>
        <v>0</v>
      </c>
      <c r="H42" s="309">
        <f>'Plan de Acción'!R42</f>
        <v>0</v>
      </c>
      <c r="I42" s="240">
        <f>'Plan de Acción'!S42</f>
        <v>0</v>
      </c>
      <c r="J42" s="252">
        <f>'Plan de Acción'!T42</f>
        <v>0</v>
      </c>
      <c r="K42" s="643"/>
      <c r="L42" s="258"/>
      <c r="M42" s="256"/>
      <c r="N42" s="257"/>
      <c r="O42" s="643"/>
      <c r="P42" s="258"/>
      <c r="Q42" s="256"/>
      <c r="R42" s="257"/>
      <c r="S42" s="643"/>
      <c r="T42" s="258"/>
      <c r="U42" s="256"/>
      <c r="V42" s="257"/>
    </row>
    <row r="43" spans="1:22" s="2" customFormat="1" ht="40.5" customHeight="1" x14ac:dyDescent="0.25">
      <c r="A43" s="618"/>
      <c r="B43" s="621"/>
      <c r="C43" s="621"/>
      <c r="D43" s="633"/>
      <c r="E43" s="250">
        <f>'Mapa de Riesgos'!E43</f>
        <v>0</v>
      </c>
      <c r="F43" s="307">
        <f>'Mapa de Riesgos'!F43</f>
        <v>0</v>
      </c>
      <c r="G43" s="308">
        <f>'Mapa de Riesgos'!G43</f>
        <v>0</v>
      </c>
      <c r="H43" s="309">
        <f>'Plan de Acción'!R43</f>
        <v>0</v>
      </c>
      <c r="I43" s="240">
        <f>'Plan de Acción'!S43</f>
        <v>0</v>
      </c>
      <c r="J43" s="252">
        <f>'Plan de Acción'!T43</f>
        <v>0</v>
      </c>
      <c r="K43" s="643"/>
      <c r="L43" s="258"/>
      <c r="M43" s="256"/>
      <c r="N43" s="257"/>
      <c r="O43" s="643"/>
      <c r="P43" s="258"/>
      <c r="Q43" s="256"/>
      <c r="R43" s="257"/>
      <c r="S43" s="643"/>
      <c r="T43" s="258"/>
      <c r="U43" s="256"/>
      <c r="V43" s="257"/>
    </row>
    <row r="44" spans="1:22" s="2" customFormat="1" ht="40.5" customHeight="1" x14ac:dyDescent="0.25">
      <c r="A44" s="618"/>
      <c r="B44" s="621"/>
      <c r="C44" s="621"/>
      <c r="D44" s="633"/>
      <c r="E44" s="250">
        <f>'Mapa de Riesgos'!E44</f>
        <v>0</v>
      </c>
      <c r="F44" s="307">
        <f>'Mapa de Riesgos'!F44</f>
        <v>0</v>
      </c>
      <c r="G44" s="308">
        <f>'Mapa de Riesgos'!G44</f>
        <v>0</v>
      </c>
      <c r="H44" s="309">
        <f>'Plan de Acción'!R44</f>
        <v>0</v>
      </c>
      <c r="I44" s="240">
        <f>'Plan de Acción'!S44</f>
        <v>0</v>
      </c>
      <c r="J44" s="252">
        <f>'Plan de Acción'!T44</f>
        <v>0</v>
      </c>
      <c r="K44" s="643"/>
      <c r="L44" s="255"/>
      <c r="M44" s="253"/>
      <c r="N44" s="254"/>
      <c r="O44" s="643"/>
      <c r="P44" s="255"/>
      <c r="Q44" s="253"/>
      <c r="R44" s="254"/>
      <c r="S44" s="643"/>
      <c r="T44" s="255"/>
      <c r="U44" s="253"/>
      <c r="V44" s="254"/>
    </row>
    <row r="45" spans="1:22" s="2" customFormat="1" ht="40.5" customHeight="1" x14ac:dyDescent="0.25">
      <c r="A45" s="618"/>
      <c r="B45" s="621"/>
      <c r="C45" s="621"/>
      <c r="D45" s="633"/>
      <c r="E45" s="250">
        <f>'Mapa de Riesgos'!E45</f>
        <v>0</v>
      </c>
      <c r="F45" s="307">
        <f>'Mapa de Riesgos'!F45</f>
        <v>0</v>
      </c>
      <c r="G45" s="308">
        <f>'Mapa de Riesgos'!G45</f>
        <v>0</v>
      </c>
      <c r="H45" s="309">
        <f>'Plan de Acción'!R45</f>
        <v>0</v>
      </c>
      <c r="I45" s="240">
        <f>'Plan de Acción'!S45</f>
        <v>0</v>
      </c>
      <c r="J45" s="252">
        <f>'Plan de Acción'!T45</f>
        <v>0</v>
      </c>
      <c r="K45" s="643"/>
      <c r="L45" s="255"/>
      <c r="M45" s="253"/>
      <c r="N45" s="254"/>
      <c r="O45" s="643"/>
      <c r="P45" s="255"/>
      <c r="Q45" s="253"/>
      <c r="R45" s="254"/>
      <c r="S45" s="643"/>
      <c r="T45" s="255"/>
      <c r="U45" s="253"/>
      <c r="V45" s="254"/>
    </row>
    <row r="46" spans="1:22" s="2" customFormat="1" ht="40.5" customHeight="1" thickBot="1" x14ac:dyDescent="0.3">
      <c r="A46" s="619"/>
      <c r="B46" s="622"/>
      <c r="C46" s="622"/>
      <c r="D46" s="634"/>
      <c r="E46" s="251">
        <f>'Mapa de Riesgos'!E46</f>
        <v>0</v>
      </c>
      <c r="F46" s="310">
        <f>'Mapa de Riesgos'!F46</f>
        <v>0</v>
      </c>
      <c r="G46" s="311">
        <f>'Mapa de Riesgos'!G46</f>
        <v>0</v>
      </c>
      <c r="H46" s="312">
        <f>'Plan de Acción'!R46</f>
        <v>0</v>
      </c>
      <c r="I46" s="245">
        <f>'Plan de Acción'!S46</f>
        <v>0</v>
      </c>
      <c r="J46" s="259">
        <f>'Plan de Acción'!T46</f>
        <v>0</v>
      </c>
      <c r="K46" s="644"/>
      <c r="L46" s="262"/>
      <c r="M46" s="260"/>
      <c r="N46" s="261"/>
      <c r="O46" s="644"/>
      <c r="P46" s="262"/>
      <c r="Q46" s="260"/>
      <c r="R46" s="261"/>
      <c r="S46" s="644"/>
      <c r="T46" s="262"/>
      <c r="U46" s="260"/>
      <c r="V46" s="261"/>
    </row>
    <row r="47" spans="1:22" s="2" customFormat="1" ht="40.5" customHeight="1" x14ac:dyDescent="0.25">
      <c r="A47" s="617">
        <f>'Mapa de Riesgos'!A47</f>
        <v>8</v>
      </c>
      <c r="B47" s="620">
        <f>'Mapa de Riesgos'!B47</f>
        <v>0</v>
      </c>
      <c r="C47" s="620">
        <f>'Mapa de Riesgos'!C47</f>
        <v>0</v>
      </c>
      <c r="D47" s="632">
        <f>'Mapa de Riesgos'!D47</f>
        <v>0</v>
      </c>
      <c r="E47" s="250">
        <f>'Mapa de Riesgos'!E47</f>
        <v>0</v>
      </c>
      <c r="F47" s="307">
        <f>'Mapa de Riesgos'!F47</f>
        <v>0</v>
      </c>
      <c r="G47" s="308">
        <f>'Mapa de Riesgos'!G47</f>
        <v>0</v>
      </c>
      <c r="H47" s="309">
        <f>'Plan de Acción'!R47</f>
        <v>0</v>
      </c>
      <c r="I47" s="240">
        <f>'Plan de Acción'!S47</f>
        <v>0</v>
      </c>
      <c r="J47" s="252">
        <f>'Plan de Acción'!T47</f>
        <v>0</v>
      </c>
      <c r="K47" s="642"/>
      <c r="L47" s="258"/>
      <c r="M47" s="256"/>
      <c r="N47" s="257"/>
      <c r="O47" s="642"/>
      <c r="P47" s="258"/>
      <c r="Q47" s="256"/>
      <c r="R47" s="257"/>
      <c r="S47" s="642"/>
      <c r="T47" s="258"/>
      <c r="U47" s="256"/>
      <c r="V47" s="257"/>
    </row>
    <row r="48" spans="1:22" s="2" customFormat="1" ht="40.5" customHeight="1" x14ac:dyDescent="0.25">
      <c r="A48" s="618"/>
      <c r="B48" s="621"/>
      <c r="C48" s="621"/>
      <c r="D48" s="633"/>
      <c r="E48" s="250">
        <f>'Mapa de Riesgos'!E48</f>
        <v>0</v>
      </c>
      <c r="F48" s="307">
        <f>'Mapa de Riesgos'!F48</f>
        <v>0</v>
      </c>
      <c r="G48" s="308">
        <f>'Mapa de Riesgos'!G48</f>
        <v>0</v>
      </c>
      <c r="H48" s="309">
        <f>'Plan de Acción'!R48</f>
        <v>0</v>
      </c>
      <c r="I48" s="240">
        <f>'Plan de Acción'!S48</f>
        <v>0</v>
      </c>
      <c r="J48" s="252">
        <f>'Plan de Acción'!T48</f>
        <v>0</v>
      </c>
      <c r="K48" s="643"/>
      <c r="L48" s="258"/>
      <c r="M48" s="256"/>
      <c r="N48" s="257"/>
      <c r="O48" s="643"/>
      <c r="P48" s="258"/>
      <c r="Q48" s="256"/>
      <c r="R48" s="257"/>
      <c r="S48" s="643"/>
      <c r="T48" s="258"/>
      <c r="U48" s="256"/>
      <c r="V48" s="257"/>
    </row>
    <row r="49" spans="1:22" s="2" customFormat="1" ht="40.5" customHeight="1" x14ac:dyDescent="0.25">
      <c r="A49" s="618"/>
      <c r="B49" s="621"/>
      <c r="C49" s="621"/>
      <c r="D49" s="633"/>
      <c r="E49" s="250">
        <f>'Mapa de Riesgos'!E49</f>
        <v>0</v>
      </c>
      <c r="F49" s="307">
        <f>'Mapa de Riesgos'!F49</f>
        <v>0</v>
      </c>
      <c r="G49" s="308">
        <f>'Mapa de Riesgos'!G49</f>
        <v>0</v>
      </c>
      <c r="H49" s="309">
        <f>'Plan de Acción'!R49</f>
        <v>0</v>
      </c>
      <c r="I49" s="240">
        <f>'Plan de Acción'!S49</f>
        <v>0</v>
      </c>
      <c r="J49" s="252">
        <f>'Plan de Acción'!T49</f>
        <v>0</v>
      </c>
      <c r="K49" s="643"/>
      <c r="L49" s="258"/>
      <c r="M49" s="256"/>
      <c r="N49" s="257"/>
      <c r="O49" s="643"/>
      <c r="P49" s="258"/>
      <c r="Q49" s="256"/>
      <c r="R49" s="257"/>
      <c r="S49" s="643"/>
      <c r="T49" s="258"/>
      <c r="U49" s="256"/>
      <c r="V49" s="257"/>
    </row>
    <row r="50" spans="1:22" s="2" customFormat="1" ht="40.5" customHeight="1" x14ac:dyDescent="0.25">
      <c r="A50" s="618"/>
      <c r="B50" s="621"/>
      <c r="C50" s="621"/>
      <c r="D50" s="633"/>
      <c r="E50" s="250">
        <f>'Mapa de Riesgos'!E50</f>
        <v>0</v>
      </c>
      <c r="F50" s="307">
        <f>'Mapa de Riesgos'!F50</f>
        <v>0</v>
      </c>
      <c r="G50" s="308">
        <f>'Mapa de Riesgos'!G50</f>
        <v>0</v>
      </c>
      <c r="H50" s="309">
        <f>'Plan de Acción'!R50</f>
        <v>0</v>
      </c>
      <c r="I50" s="240">
        <f>'Plan de Acción'!S50</f>
        <v>0</v>
      </c>
      <c r="J50" s="252">
        <f>'Plan de Acción'!T50</f>
        <v>0</v>
      </c>
      <c r="K50" s="643"/>
      <c r="L50" s="255"/>
      <c r="M50" s="253"/>
      <c r="N50" s="254"/>
      <c r="O50" s="643"/>
      <c r="P50" s="255"/>
      <c r="Q50" s="253"/>
      <c r="R50" s="254"/>
      <c r="S50" s="643"/>
      <c r="T50" s="255"/>
      <c r="U50" s="253"/>
      <c r="V50" s="254"/>
    </row>
    <row r="51" spans="1:22" s="2" customFormat="1" ht="40.5" customHeight="1" x14ac:dyDescent="0.25">
      <c r="A51" s="618"/>
      <c r="B51" s="621"/>
      <c r="C51" s="621"/>
      <c r="D51" s="633"/>
      <c r="E51" s="250">
        <f>'Mapa de Riesgos'!E51</f>
        <v>0</v>
      </c>
      <c r="F51" s="307">
        <f>'Mapa de Riesgos'!F51</f>
        <v>0</v>
      </c>
      <c r="G51" s="308">
        <f>'Mapa de Riesgos'!G51</f>
        <v>0</v>
      </c>
      <c r="H51" s="309">
        <f>'Plan de Acción'!R51</f>
        <v>0</v>
      </c>
      <c r="I51" s="240">
        <f>'Plan de Acción'!S51</f>
        <v>0</v>
      </c>
      <c r="J51" s="252">
        <f>'Plan de Acción'!T51</f>
        <v>0</v>
      </c>
      <c r="K51" s="643"/>
      <c r="L51" s="255"/>
      <c r="M51" s="253"/>
      <c r="N51" s="254"/>
      <c r="O51" s="643"/>
      <c r="P51" s="255"/>
      <c r="Q51" s="253"/>
      <c r="R51" s="254"/>
      <c r="S51" s="643"/>
      <c r="T51" s="255"/>
      <c r="U51" s="253"/>
      <c r="V51" s="254"/>
    </row>
    <row r="52" spans="1:22" s="2" customFormat="1" ht="40.5" customHeight="1" thickBot="1" x14ac:dyDescent="0.3">
      <c r="A52" s="619"/>
      <c r="B52" s="622"/>
      <c r="C52" s="622"/>
      <c r="D52" s="634"/>
      <c r="E52" s="251">
        <f>'Mapa de Riesgos'!E52</f>
        <v>0</v>
      </c>
      <c r="F52" s="310">
        <f>'Mapa de Riesgos'!F52</f>
        <v>0</v>
      </c>
      <c r="G52" s="311">
        <f>'Mapa de Riesgos'!G52</f>
        <v>0</v>
      </c>
      <c r="H52" s="312">
        <f>'Plan de Acción'!R52</f>
        <v>0</v>
      </c>
      <c r="I52" s="245">
        <f>'Plan de Acción'!S52</f>
        <v>0</v>
      </c>
      <c r="J52" s="259">
        <f>'Plan de Acción'!T52</f>
        <v>0</v>
      </c>
      <c r="K52" s="644"/>
      <c r="L52" s="262"/>
      <c r="M52" s="260"/>
      <c r="N52" s="261"/>
      <c r="O52" s="644"/>
      <c r="P52" s="262"/>
      <c r="Q52" s="260"/>
      <c r="R52" s="261"/>
      <c r="S52" s="644"/>
      <c r="T52" s="262"/>
      <c r="U52" s="260"/>
      <c r="V52" s="261"/>
    </row>
    <row r="53" spans="1:22" s="2" customFormat="1" ht="40.5" customHeight="1" x14ac:dyDescent="0.25">
      <c r="A53" s="617">
        <f>'Mapa de Riesgos'!A53</f>
        <v>9</v>
      </c>
      <c r="B53" s="620">
        <f>'Mapa de Riesgos'!B53</f>
        <v>0</v>
      </c>
      <c r="C53" s="620">
        <f>'Mapa de Riesgos'!C53</f>
        <v>0</v>
      </c>
      <c r="D53" s="632">
        <f>'Mapa de Riesgos'!D53</f>
        <v>0</v>
      </c>
      <c r="E53" s="250">
        <f>'Mapa de Riesgos'!E53</f>
        <v>0</v>
      </c>
      <c r="F53" s="307">
        <f>'Mapa de Riesgos'!F53</f>
        <v>0</v>
      </c>
      <c r="G53" s="308">
        <f>'Mapa de Riesgos'!G53</f>
        <v>0</v>
      </c>
      <c r="H53" s="309">
        <f>'Plan de Acción'!R53</f>
        <v>0</v>
      </c>
      <c r="I53" s="240">
        <f>'Plan de Acción'!S53</f>
        <v>0</v>
      </c>
      <c r="J53" s="252">
        <f>'Plan de Acción'!T53</f>
        <v>0</v>
      </c>
      <c r="K53" s="642"/>
      <c r="L53" s="258"/>
      <c r="M53" s="256"/>
      <c r="N53" s="257"/>
      <c r="O53" s="642"/>
      <c r="P53" s="258"/>
      <c r="Q53" s="256"/>
      <c r="R53" s="257"/>
      <c r="S53" s="642"/>
      <c r="T53" s="258"/>
      <c r="U53" s="256"/>
      <c r="V53" s="257"/>
    </row>
    <row r="54" spans="1:22" s="2" customFormat="1" ht="40.5" customHeight="1" x14ac:dyDescent="0.25">
      <c r="A54" s="618"/>
      <c r="B54" s="621"/>
      <c r="C54" s="621"/>
      <c r="D54" s="633"/>
      <c r="E54" s="250">
        <f>'Mapa de Riesgos'!E54</f>
        <v>0</v>
      </c>
      <c r="F54" s="307">
        <f>'Mapa de Riesgos'!F54</f>
        <v>0</v>
      </c>
      <c r="G54" s="308">
        <f>'Mapa de Riesgos'!G54</f>
        <v>0</v>
      </c>
      <c r="H54" s="309">
        <f>'Plan de Acción'!R54</f>
        <v>0</v>
      </c>
      <c r="I54" s="240">
        <f>'Plan de Acción'!S54</f>
        <v>0</v>
      </c>
      <c r="J54" s="252">
        <f>'Plan de Acción'!T54</f>
        <v>0</v>
      </c>
      <c r="K54" s="643"/>
      <c r="L54" s="258"/>
      <c r="M54" s="256"/>
      <c r="N54" s="257"/>
      <c r="O54" s="643"/>
      <c r="P54" s="258"/>
      <c r="Q54" s="256"/>
      <c r="R54" s="257"/>
      <c r="S54" s="643"/>
      <c r="T54" s="258"/>
      <c r="U54" s="256"/>
      <c r="V54" s="257"/>
    </row>
    <row r="55" spans="1:22" s="2" customFormat="1" ht="40.5" customHeight="1" x14ac:dyDescent="0.25">
      <c r="A55" s="618"/>
      <c r="B55" s="621"/>
      <c r="C55" s="621"/>
      <c r="D55" s="633"/>
      <c r="E55" s="250">
        <f>'Mapa de Riesgos'!E55</f>
        <v>0</v>
      </c>
      <c r="F55" s="307">
        <f>'Mapa de Riesgos'!F55</f>
        <v>0</v>
      </c>
      <c r="G55" s="308">
        <f>'Mapa de Riesgos'!G55</f>
        <v>0</v>
      </c>
      <c r="H55" s="309">
        <f>'Plan de Acción'!R55</f>
        <v>0</v>
      </c>
      <c r="I55" s="240">
        <f>'Plan de Acción'!S55</f>
        <v>0</v>
      </c>
      <c r="J55" s="252">
        <f>'Plan de Acción'!T55</f>
        <v>0</v>
      </c>
      <c r="K55" s="643"/>
      <c r="L55" s="258"/>
      <c r="M55" s="256"/>
      <c r="N55" s="257"/>
      <c r="O55" s="643"/>
      <c r="P55" s="258"/>
      <c r="Q55" s="256"/>
      <c r="R55" s="257"/>
      <c r="S55" s="643"/>
      <c r="T55" s="258"/>
      <c r="U55" s="256"/>
      <c r="V55" s="257"/>
    </row>
    <row r="56" spans="1:22" s="2" customFormat="1" ht="40.5" customHeight="1" x14ac:dyDescent="0.25">
      <c r="A56" s="618"/>
      <c r="B56" s="621"/>
      <c r="C56" s="621"/>
      <c r="D56" s="633"/>
      <c r="E56" s="250">
        <f>'Mapa de Riesgos'!E56</f>
        <v>0</v>
      </c>
      <c r="F56" s="307">
        <f>'Mapa de Riesgos'!F56</f>
        <v>0</v>
      </c>
      <c r="G56" s="308">
        <f>'Mapa de Riesgos'!G56</f>
        <v>0</v>
      </c>
      <c r="H56" s="309">
        <f>'Plan de Acción'!R56</f>
        <v>0</v>
      </c>
      <c r="I56" s="240">
        <f>'Plan de Acción'!S56</f>
        <v>0</v>
      </c>
      <c r="J56" s="252">
        <f>'Plan de Acción'!T56</f>
        <v>0</v>
      </c>
      <c r="K56" s="643"/>
      <c r="L56" s="255"/>
      <c r="M56" s="253"/>
      <c r="N56" s="254"/>
      <c r="O56" s="643"/>
      <c r="P56" s="255"/>
      <c r="Q56" s="253"/>
      <c r="R56" s="254"/>
      <c r="S56" s="643"/>
      <c r="T56" s="255"/>
      <c r="U56" s="253"/>
      <c r="V56" s="254"/>
    </row>
    <row r="57" spans="1:22" s="2" customFormat="1" ht="40.5" customHeight="1" x14ac:dyDescent="0.25">
      <c r="A57" s="618"/>
      <c r="B57" s="621"/>
      <c r="C57" s="621"/>
      <c r="D57" s="633"/>
      <c r="E57" s="250">
        <f>'Mapa de Riesgos'!E57</f>
        <v>0</v>
      </c>
      <c r="F57" s="307">
        <f>'Mapa de Riesgos'!F57</f>
        <v>0</v>
      </c>
      <c r="G57" s="308">
        <f>'Mapa de Riesgos'!G57</f>
        <v>0</v>
      </c>
      <c r="H57" s="309">
        <f>'Plan de Acción'!R57</f>
        <v>0</v>
      </c>
      <c r="I57" s="240">
        <f>'Plan de Acción'!S57</f>
        <v>0</v>
      </c>
      <c r="J57" s="252">
        <f>'Plan de Acción'!T57</f>
        <v>0</v>
      </c>
      <c r="K57" s="643"/>
      <c r="L57" s="255"/>
      <c r="M57" s="253"/>
      <c r="N57" s="254"/>
      <c r="O57" s="643"/>
      <c r="P57" s="255"/>
      <c r="Q57" s="253"/>
      <c r="R57" s="254"/>
      <c r="S57" s="643"/>
      <c r="T57" s="255"/>
      <c r="U57" s="253"/>
      <c r="V57" s="254"/>
    </row>
    <row r="58" spans="1:22" s="2" customFormat="1" ht="40.5" customHeight="1" thickBot="1" x14ac:dyDescent="0.3">
      <c r="A58" s="619"/>
      <c r="B58" s="622"/>
      <c r="C58" s="622"/>
      <c r="D58" s="634"/>
      <c r="E58" s="251">
        <f>'Mapa de Riesgos'!E58</f>
        <v>0</v>
      </c>
      <c r="F58" s="310">
        <f>'Mapa de Riesgos'!F58</f>
        <v>0</v>
      </c>
      <c r="G58" s="311">
        <f>'Mapa de Riesgos'!G58</f>
        <v>0</v>
      </c>
      <c r="H58" s="312">
        <f>'Plan de Acción'!R58</f>
        <v>0</v>
      </c>
      <c r="I58" s="245">
        <f>'Plan de Acción'!S58</f>
        <v>0</v>
      </c>
      <c r="J58" s="259">
        <f>'Plan de Acción'!T58</f>
        <v>0</v>
      </c>
      <c r="K58" s="644"/>
      <c r="L58" s="262"/>
      <c r="M58" s="260"/>
      <c r="N58" s="261"/>
      <c r="O58" s="644"/>
      <c r="P58" s="262"/>
      <c r="Q58" s="260"/>
      <c r="R58" s="261"/>
      <c r="S58" s="644"/>
      <c r="T58" s="262"/>
      <c r="U58" s="260"/>
      <c r="V58" s="261"/>
    </row>
    <row r="59" spans="1:22" s="2" customFormat="1" ht="40.5" customHeight="1" x14ac:dyDescent="0.25">
      <c r="A59" s="617">
        <f>'Mapa de Riesgos'!A59</f>
        <v>10</v>
      </c>
      <c r="B59" s="620">
        <f>'Mapa de Riesgos'!B59</f>
        <v>0</v>
      </c>
      <c r="C59" s="620">
        <f>'Mapa de Riesgos'!C59</f>
        <v>0</v>
      </c>
      <c r="D59" s="632">
        <f>'Mapa de Riesgos'!D59</f>
        <v>0</v>
      </c>
      <c r="E59" s="250">
        <f>'Mapa de Riesgos'!E59</f>
        <v>0</v>
      </c>
      <c r="F59" s="307">
        <f>'Mapa de Riesgos'!F59</f>
        <v>0</v>
      </c>
      <c r="G59" s="308">
        <f>'Mapa de Riesgos'!G59</f>
        <v>0</v>
      </c>
      <c r="H59" s="309">
        <f>'Plan de Acción'!R59</f>
        <v>0</v>
      </c>
      <c r="I59" s="240">
        <f>'Plan de Acción'!S59</f>
        <v>0</v>
      </c>
      <c r="J59" s="252">
        <f>'Plan de Acción'!T59</f>
        <v>0</v>
      </c>
      <c r="K59" s="642"/>
      <c r="L59" s="258"/>
      <c r="M59" s="256"/>
      <c r="N59" s="257"/>
      <c r="O59" s="642"/>
      <c r="P59" s="258"/>
      <c r="Q59" s="256"/>
      <c r="R59" s="257"/>
      <c r="S59" s="642"/>
      <c r="T59" s="258"/>
      <c r="U59" s="256"/>
      <c r="V59" s="257"/>
    </row>
    <row r="60" spans="1:22" s="2" customFormat="1" ht="40.5" customHeight="1" x14ac:dyDescent="0.25">
      <c r="A60" s="618"/>
      <c r="B60" s="621"/>
      <c r="C60" s="621"/>
      <c r="D60" s="633"/>
      <c r="E60" s="250">
        <f>'Mapa de Riesgos'!E60</f>
        <v>0</v>
      </c>
      <c r="F60" s="307">
        <f>'Mapa de Riesgos'!F60</f>
        <v>0</v>
      </c>
      <c r="G60" s="308">
        <f>'Mapa de Riesgos'!G60</f>
        <v>0</v>
      </c>
      <c r="H60" s="309">
        <f>'Plan de Acción'!R60</f>
        <v>0</v>
      </c>
      <c r="I60" s="240">
        <f>'Plan de Acción'!S60</f>
        <v>0</v>
      </c>
      <c r="J60" s="252">
        <f>'Plan de Acción'!T60</f>
        <v>0</v>
      </c>
      <c r="K60" s="643"/>
      <c r="L60" s="258"/>
      <c r="M60" s="256"/>
      <c r="N60" s="257"/>
      <c r="O60" s="643"/>
      <c r="P60" s="258"/>
      <c r="Q60" s="256"/>
      <c r="R60" s="257"/>
      <c r="S60" s="643"/>
      <c r="T60" s="258"/>
      <c r="U60" s="256"/>
      <c r="V60" s="257"/>
    </row>
    <row r="61" spans="1:22" s="2" customFormat="1" ht="40.5" customHeight="1" x14ac:dyDescent="0.25">
      <c r="A61" s="618"/>
      <c r="B61" s="621"/>
      <c r="C61" s="621"/>
      <c r="D61" s="633"/>
      <c r="E61" s="250">
        <f>'Mapa de Riesgos'!E61</f>
        <v>0</v>
      </c>
      <c r="F61" s="307">
        <f>'Mapa de Riesgos'!F61</f>
        <v>0</v>
      </c>
      <c r="G61" s="308">
        <f>'Mapa de Riesgos'!G61</f>
        <v>0</v>
      </c>
      <c r="H61" s="309">
        <f>'Plan de Acción'!R61</f>
        <v>0</v>
      </c>
      <c r="I61" s="240">
        <f>'Plan de Acción'!S61</f>
        <v>0</v>
      </c>
      <c r="J61" s="252">
        <f>'Plan de Acción'!T61</f>
        <v>0</v>
      </c>
      <c r="K61" s="643"/>
      <c r="L61" s="258"/>
      <c r="M61" s="256"/>
      <c r="N61" s="257"/>
      <c r="O61" s="643"/>
      <c r="P61" s="258"/>
      <c r="Q61" s="256"/>
      <c r="R61" s="257"/>
      <c r="S61" s="643"/>
      <c r="T61" s="258"/>
      <c r="U61" s="256"/>
      <c r="V61" s="257"/>
    </row>
    <row r="62" spans="1:22" s="2" customFormat="1" ht="40.5" customHeight="1" x14ac:dyDescent="0.25">
      <c r="A62" s="618"/>
      <c r="B62" s="621"/>
      <c r="C62" s="621"/>
      <c r="D62" s="633"/>
      <c r="E62" s="250">
        <f>'Mapa de Riesgos'!E62</f>
        <v>0</v>
      </c>
      <c r="F62" s="307">
        <f>'Mapa de Riesgos'!F62</f>
        <v>0</v>
      </c>
      <c r="G62" s="308">
        <f>'Mapa de Riesgos'!G62</f>
        <v>0</v>
      </c>
      <c r="H62" s="309">
        <f>'Plan de Acción'!R62</f>
        <v>0</v>
      </c>
      <c r="I62" s="240">
        <f>'Plan de Acción'!S62</f>
        <v>0</v>
      </c>
      <c r="J62" s="252">
        <f>'Plan de Acción'!T62</f>
        <v>0</v>
      </c>
      <c r="K62" s="643"/>
      <c r="L62" s="255"/>
      <c r="M62" s="253"/>
      <c r="N62" s="254"/>
      <c r="O62" s="643"/>
      <c r="P62" s="255"/>
      <c r="Q62" s="253"/>
      <c r="R62" s="254"/>
      <c r="S62" s="643"/>
      <c r="T62" s="255"/>
      <c r="U62" s="253"/>
      <c r="V62" s="254"/>
    </row>
    <row r="63" spans="1:22" s="2" customFormat="1" ht="40.5" customHeight="1" x14ac:dyDescent="0.25">
      <c r="A63" s="618"/>
      <c r="B63" s="621"/>
      <c r="C63" s="621"/>
      <c r="D63" s="633"/>
      <c r="E63" s="250">
        <f>'Mapa de Riesgos'!E63</f>
        <v>0</v>
      </c>
      <c r="F63" s="307">
        <f>'Mapa de Riesgos'!F63</f>
        <v>0</v>
      </c>
      <c r="G63" s="308">
        <f>'Mapa de Riesgos'!G63</f>
        <v>0</v>
      </c>
      <c r="H63" s="309">
        <f>'Plan de Acción'!R63</f>
        <v>0</v>
      </c>
      <c r="I63" s="240">
        <f>'Plan de Acción'!S63</f>
        <v>0</v>
      </c>
      <c r="J63" s="252">
        <f>'Plan de Acción'!T63</f>
        <v>0</v>
      </c>
      <c r="K63" s="643"/>
      <c r="L63" s="255"/>
      <c r="M63" s="253"/>
      <c r="N63" s="254"/>
      <c r="O63" s="643"/>
      <c r="P63" s="255"/>
      <c r="Q63" s="253"/>
      <c r="R63" s="254"/>
      <c r="S63" s="643"/>
      <c r="T63" s="255"/>
      <c r="U63" s="253"/>
      <c r="V63" s="254"/>
    </row>
    <row r="64" spans="1:22" s="2" customFormat="1" ht="40.5" customHeight="1" thickBot="1" x14ac:dyDescent="0.3">
      <c r="A64" s="619"/>
      <c r="B64" s="622"/>
      <c r="C64" s="622"/>
      <c r="D64" s="634"/>
      <c r="E64" s="251">
        <f>'Mapa de Riesgos'!E64</f>
        <v>0</v>
      </c>
      <c r="F64" s="310">
        <f>'Mapa de Riesgos'!F64</f>
        <v>0</v>
      </c>
      <c r="G64" s="311">
        <f>'Mapa de Riesgos'!G64</f>
        <v>0</v>
      </c>
      <c r="H64" s="312">
        <f>'Plan de Acción'!R64</f>
        <v>0</v>
      </c>
      <c r="I64" s="245">
        <f>'Plan de Acción'!S64</f>
        <v>0</v>
      </c>
      <c r="J64" s="259">
        <f>'Plan de Acción'!T64</f>
        <v>0</v>
      </c>
      <c r="K64" s="644"/>
      <c r="L64" s="262"/>
      <c r="M64" s="260"/>
      <c r="N64" s="261"/>
      <c r="O64" s="644"/>
      <c r="P64" s="262"/>
      <c r="Q64" s="260"/>
      <c r="R64" s="261"/>
      <c r="S64" s="644"/>
      <c r="T64" s="262"/>
      <c r="U64" s="260"/>
      <c r="V64" s="261"/>
    </row>
    <row r="65" spans="1:22" x14ac:dyDescent="0.3">
      <c r="A65" s="197"/>
      <c r="B65" s="197"/>
      <c r="C65" s="197"/>
      <c r="D65" s="4"/>
      <c r="E65" s="4"/>
      <c r="F65" s="198"/>
      <c r="G65" s="198"/>
      <c r="H65" s="4"/>
      <c r="I65" s="4"/>
      <c r="J65" s="4"/>
      <c r="K65" s="4"/>
      <c r="L65" s="4"/>
      <c r="M65" s="4"/>
      <c r="N65" s="4"/>
      <c r="O65" s="4"/>
      <c r="P65" s="4"/>
      <c r="Q65" s="4"/>
      <c r="R65" s="4"/>
      <c r="S65" s="4"/>
      <c r="T65" s="4"/>
      <c r="U65" s="4"/>
      <c r="V65" s="4"/>
    </row>
    <row r="66" spans="1:22" customFormat="1" ht="15" x14ac:dyDescent="0.25">
      <c r="A66" s="73"/>
      <c r="B66" s="73"/>
      <c r="C66" s="73"/>
      <c r="D66" s="73"/>
      <c r="E66" s="73"/>
      <c r="F66" s="73"/>
      <c r="G66" s="73"/>
      <c r="H66" s="73"/>
      <c r="I66" s="73"/>
      <c r="J66" s="73"/>
      <c r="K66" s="73"/>
      <c r="L66" s="73"/>
      <c r="M66" s="73"/>
      <c r="N66" s="73"/>
      <c r="O66" s="73"/>
      <c r="P66" s="73"/>
      <c r="Q66" s="73"/>
      <c r="R66" s="73"/>
      <c r="S66" s="73"/>
      <c r="T66" s="73"/>
      <c r="U66" s="73"/>
      <c r="V66" s="73"/>
    </row>
    <row r="67" spans="1:22" s="5" customFormat="1" ht="24.75" customHeight="1" x14ac:dyDescent="0.2">
      <c r="A67" s="481" t="s">
        <v>217</v>
      </c>
      <c r="B67" s="481"/>
      <c r="C67" s="482" t="s">
        <v>185</v>
      </c>
      <c r="D67" s="482"/>
      <c r="E67" s="482"/>
      <c r="F67" s="482"/>
      <c r="G67" s="482"/>
      <c r="H67" s="481" t="s">
        <v>218</v>
      </c>
      <c r="I67" s="482" t="str">
        <f>'Mapa de Riesgos'!H67</f>
        <v>SISTEMA INTEGRADO DE GESTIÓN SIG</v>
      </c>
      <c r="J67" s="482"/>
      <c r="K67" s="482"/>
      <c r="L67" s="482"/>
      <c r="M67" s="482"/>
      <c r="N67" s="482"/>
      <c r="O67" s="196" t="s">
        <v>220</v>
      </c>
      <c r="P67" s="639" t="str">
        <f>'Mapa de Riesgos'!T67</f>
        <v>LÍDER DEL SISTEMA INTEGRADO DE GESTIÓN</v>
      </c>
      <c r="Q67" s="640"/>
      <c r="R67" s="640"/>
      <c r="S67" s="640"/>
      <c r="T67" s="640"/>
      <c r="U67" s="640"/>
      <c r="V67" s="641"/>
    </row>
    <row r="68" spans="1:22" s="5" customFormat="1" ht="24.75" customHeight="1" x14ac:dyDescent="0.2">
      <c r="A68" s="481"/>
      <c r="B68" s="481"/>
      <c r="C68" s="482"/>
      <c r="D68" s="482"/>
      <c r="E68" s="482"/>
      <c r="F68" s="482"/>
      <c r="G68" s="482"/>
      <c r="H68" s="481"/>
      <c r="I68" s="482"/>
      <c r="J68" s="482"/>
      <c r="K68" s="482"/>
      <c r="L68" s="482"/>
      <c r="M68" s="482"/>
      <c r="N68" s="482"/>
      <c r="O68" s="196" t="s">
        <v>316</v>
      </c>
      <c r="P68" s="639" t="str">
        <f>'Mapa de Riesgos'!T68</f>
        <v>ABRIL DE 2022</v>
      </c>
      <c r="Q68" s="640"/>
      <c r="R68" s="640"/>
      <c r="S68" s="640"/>
      <c r="T68" s="640"/>
      <c r="U68" s="640"/>
      <c r="V68" s="641"/>
    </row>
    <row r="69" spans="1:22" customFormat="1" ht="15" x14ac:dyDescent="0.25"/>
    <row r="70" spans="1:22" x14ac:dyDescent="0.3">
      <c r="F70" s="3"/>
    </row>
  </sheetData>
  <dataConsolidate/>
  <mergeCells count="98">
    <mergeCell ref="S59:S64"/>
    <mergeCell ref="O35:O40"/>
    <mergeCell ref="O41:O46"/>
    <mergeCell ref="O47:O52"/>
    <mergeCell ref="O53:O58"/>
    <mergeCell ref="O59:O64"/>
    <mergeCell ref="S35:S40"/>
    <mergeCell ref="S41:S46"/>
    <mergeCell ref="S47:S52"/>
    <mergeCell ref="S53:S58"/>
    <mergeCell ref="K53:K58"/>
    <mergeCell ref="K59:K64"/>
    <mergeCell ref="K10:K16"/>
    <mergeCell ref="K17:K22"/>
    <mergeCell ref="K23:K28"/>
    <mergeCell ref="K29:K34"/>
    <mergeCell ref="K35:K40"/>
    <mergeCell ref="K41:K46"/>
    <mergeCell ref="K47:K52"/>
    <mergeCell ref="O10:O16"/>
    <mergeCell ref="O17:O22"/>
    <mergeCell ref="O23:O28"/>
    <mergeCell ref="S10:S16"/>
    <mergeCell ref="O29:O34"/>
    <mergeCell ref="S17:S22"/>
    <mergeCell ref="S23:S28"/>
    <mergeCell ref="S29:S34"/>
    <mergeCell ref="A41:A46"/>
    <mergeCell ref="B41:B46"/>
    <mergeCell ref="C41:C46"/>
    <mergeCell ref="D41:D46"/>
    <mergeCell ref="A35:A40"/>
    <mergeCell ref="B35:B40"/>
    <mergeCell ref="C35:C40"/>
    <mergeCell ref="D35:D40"/>
    <mergeCell ref="A29:A34"/>
    <mergeCell ref="B29:B34"/>
    <mergeCell ref="C29:C34"/>
    <mergeCell ref="D29:D34"/>
    <mergeCell ref="A23:A28"/>
    <mergeCell ref="B23:B28"/>
    <mergeCell ref="C23:C28"/>
    <mergeCell ref="D23:D28"/>
    <mergeCell ref="B53:B58"/>
    <mergeCell ref="C53:C58"/>
    <mergeCell ref="D53:D58"/>
    <mergeCell ref="A47:A52"/>
    <mergeCell ref="B47:B52"/>
    <mergeCell ref="C47:C52"/>
    <mergeCell ref="D47:D52"/>
    <mergeCell ref="A6:V6"/>
    <mergeCell ref="D5:J5"/>
    <mergeCell ref="K5:L5"/>
    <mergeCell ref="M5:V5"/>
    <mergeCell ref="A67:B68"/>
    <mergeCell ref="H67:H68"/>
    <mergeCell ref="I67:N68"/>
    <mergeCell ref="C67:G68"/>
    <mergeCell ref="P67:V67"/>
    <mergeCell ref="P68:V68"/>
    <mergeCell ref="F8:F9"/>
    <mergeCell ref="A59:A64"/>
    <mergeCell ref="B59:B64"/>
    <mergeCell ref="C59:C64"/>
    <mergeCell ref="D59:D64"/>
    <mergeCell ref="A53:A58"/>
    <mergeCell ref="A17:A22"/>
    <mergeCell ref="B17:B22"/>
    <mergeCell ref="C17:C22"/>
    <mergeCell ref="H7:J7"/>
    <mergeCell ref="K8:N8"/>
    <mergeCell ref="K7:V7"/>
    <mergeCell ref="H8:H9"/>
    <mergeCell ref="I8:I9"/>
    <mergeCell ref="J8:J9"/>
    <mergeCell ref="S8:V8"/>
    <mergeCell ref="D17:D22"/>
    <mergeCell ref="A10:A16"/>
    <mergeCell ref="B10:B16"/>
    <mergeCell ref="C10:C16"/>
    <mergeCell ref="D10:D16"/>
    <mergeCell ref="D8:D9"/>
    <mergeCell ref="A7:G7"/>
    <mergeCell ref="A8:A9"/>
    <mergeCell ref="B8:B9"/>
    <mergeCell ref="C8:C9"/>
    <mergeCell ref="D1:U1"/>
    <mergeCell ref="D2:U2"/>
    <mergeCell ref="O8:R8"/>
    <mergeCell ref="A4:C4"/>
    <mergeCell ref="D4:J4"/>
    <mergeCell ref="K4:L4"/>
    <mergeCell ref="M4:V4"/>
    <mergeCell ref="A1:C1"/>
    <mergeCell ref="A2:C2"/>
    <mergeCell ref="G8:G9"/>
    <mergeCell ref="E8:E9"/>
    <mergeCell ref="A5:C5"/>
  </mergeCells>
  <pageMargins left="0.7" right="0.7" top="0.75" bottom="0.75" header="0.3" footer="0.3"/>
  <pageSetup scale="20" orientation="portrait" r:id="rId1"/>
  <ignoredErrors>
    <ignoredError sqref="A16 A11" formulaRange="1"/>
    <ignoredError sqref="B16 B11 C11 D11 D16 C16" formulaRange="1" unlockedFormula="1"/>
    <ignoredError sqref="B10 B18:B22 C10:D10 C15:D15 B17 C18:D22 C17:D17 B23:D64 H15:J16 H10:J13 C12:D13 H18:J22 I17:J17 H23:J64"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Tratamiento'!$B$9:$B$10</xm:f>
          </x14:formula1>
          <xm:sqref>N10:N64 V10:V64 R10:R64</xm:sqref>
        </x14:dataValidation>
        <x14:dataValidation type="list" allowBlank="1" showInputMessage="1" showErrorMessage="1">
          <x14:formula1>
            <xm:f>'Opciones Tratamiento'!$G$9:$G$10</xm:f>
          </x14:formula1>
          <xm:sqref>O10:O64 S10:S64 K10:K64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J20"/>
  <sheetViews>
    <sheetView zoomScale="80" zoomScaleNormal="80" zoomScalePageLayoutView="83" workbookViewId="0"/>
  </sheetViews>
  <sheetFormatPr baseColWidth="10" defaultColWidth="12.28515625" defaultRowHeight="15" x14ac:dyDescent="0.2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x14ac:dyDescent="0.2">
      <c r="A1" s="201"/>
      <c r="B1" s="657" t="str">
        <f>'Mapa de Riesgos'!D1</f>
        <v>PLANEACIÓN INSTITUCIONAL</v>
      </c>
      <c r="C1" s="657"/>
      <c r="D1" s="657"/>
      <c r="E1" s="657"/>
      <c r="F1" s="194" t="s">
        <v>338</v>
      </c>
      <c r="G1" s="202"/>
      <c r="H1" s="202"/>
      <c r="I1" s="202"/>
    </row>
    <row r="2" spans="1:10" s="203" customFormat="1" ht="39" customHeight="1" x14ac:dyDescent="0.2">
      <c r="A2" s="204" t="str">
        <f>'Mapa de Riesgos'!A2</f>
        <v>F - PL - 13</v>
      </c>
      <c r="B2" s="657" t="str">
        <f>'Mapa de Riesgos'!D2</f>
        <v>MAPA DE RIESGOS INSTITUCIONAL</v>
      </c>
      <c r="C2" s="657"/>
      <c r="D2" s="657"/>
      <c r="E2" s="657"/>
      <c r="F2" s="194" t="str">
        <f>'Mapa de Riesgos'!AE2</f>
        <v>VERSIÓN: 7.0</v>
      </c>
      <c r="G2" s="202"/>
      <c r="H2" s="202"/>
      <c r="I2" s="202"/>
    </row>
    <row r="3" spans="1:10" s="203" customFormat="1" ht="39" customHeight="1" x14ac:dyDescent="0.2">
      <c r="A3" s="658"/>
      <c r="B3" s="658"/>
      <c r="C3" s="658"/>
      <c r="D3" s="658"/>
      <c r="E3" s="658"/>
      <c r="F3" s="658"/>
      <c r="G3" s="202"/>
      <c r="H3" s="202"/>
      <c r="I3" s="202"/>
      <c r="J3" s="202"/>
    </row>
    <row r="4" spans="1:10" s="203" customFormat="1" ht="39" customHeight="1" x14ac:dyDescent="0.2">
      <c r="A4" s="659" t="s">
        <v>339</v>
      </c>
      <c r="B4" s="659"/>
      <c r="C4" s="659"/>
      <c r="D4" s="659"/>
      <c r="E4" s="659"/>
      <c r="F4" s="659"/>
      <c r="G4" s="205"/>
      <c r="H4" s="205"/>
      <c r="I4" s="205"/>
      <c r="J4" s="205"/>
    </row>
    <row r="5" spans="1:10" s="203" customFormat="1" ht="39" customHeight="1" x14ac:dyDescent="0.2">
      <c r="A5" s="660" t="s">
        <v>5</v>
      </c>
      <c r="B5" s="661"/>
      <c r="C5" s="661"/>
      <c r="D5" s="661"/>
      <c r="E5" s="662"/>
      <c r="F5" s="206" t="s">
        <v>340</v>
      </c>
      <c r="G5" s="205"/>
      <c r="H5" s="205"/>
      <c r="I5" s="205"/>
      <c r="J5" s="205"/>
    </row>
    <row r="6" spans="1:10" s="203" customFormat="1" ht="81" customHeight="1" x14ac:dyDescent="0.2">
      <c r="A6" s="654" t="s">
        <v>341</v>
      </c>
      <c r="B6" s="655"/>
      <c r="C6" s="655"/>
      <c r="D6" s="655"/>
      <c r="E6" s="656"/>
      <c r="F6" s="207">
        <v>44742</v>
      </c>
      <c r="G6" s="205"/>
      <c r="H6" s="205"/>
      <c r="I6" s="205"/>
      <c r="J6" s="205"/>
    </row>
    <row r="7" spans="1:10" s="203" customFormat="1" ht="74.25" customHeight="1" x14ac:dyDescent="0.2">
      <c r="A7" s="654" t="s">
        <v>342</v>
      </c>
      <c r="B7" s="655"/>
      <c r="C7" s="655"/>
      <c r="D7" s="655"/>
      <c r="E7" s="656"/>
      <c r="F7" s="663" t="s">
        <v>343</v>
      </c>
      <c r="G7" s="205"/>
      <c r="H7" s="205"/>
      <c r="I7" s="205"/>
      <c r="J7" s="205"/>
    </row>
    <row r="8" spans="1:10" s="203" customFormat="1" ht="60.75" customHeight="1" x14ac:dyDescent="0.2">
      <c r="A8" s="654" t="s">
        <v>344</v>
      </c>
      <c r="B8" s="655"/>
      <c r="C8" s="655"/>
      <c r="D8" s="655"/>
      <c r="E8" s="656"/>
      <c r="F8" s="664"/>
      <c r="G8" s="205"/>
      <c r="H8" s="205"/>
      <c r="I8" s="205"/>
      <c r="J8" s="205"/>
    </row>
    <row r="9" spans="1:10" s="203" customFormat="1" ht="60.75" customHeight="1" x14ac:dyDescent="0.2">
      <c r="A9" s="654" t="s">
        <v>345</v>
      </c>
      <c r="B9" s="655"/>
      <c r="C9" s="655"/>
      <c r="D9" s="655"/>
      <c r="E9" s="656"/>
      <c r="F9" s="664"/>
      <c r="G9" s="205"/>
      <c r="H9" s="205"/>
      <c r="I9" s="205"/>
      <c r="J9" s="205"/>
    </row>
    <row r="10" spans="1:10" s="203" customFormat="1" ht="60.75" customHeight="1" x14ac:dyDescent="0.2">
      <c r="A10" s="654" t="s">
        <v>346</v>
      </c>
      <c r="B10" s="655"/>
      <c r="C10" s="655"/>
      <c r="D10" s="655"/>
      <c r="E10" s="656"/>
      <c r="F10" s="664"/>
      <c r="G10" s="205"/>
      <c r="H10" s="205"/>
      <c r="I10" s="205"/>
      <c r="J10" s="205"/>
    </row>
    <row r="11" spans="1:10" s="203" customFormat="1" ht="60.75" customHeight="1" x14ac:dyDescent="0.2">
      <c r="A11" s="654" t="s">
        <v>347</v>
      </c>
      <c r="B11" s="655"/>
      <c r="C11" s="655"/>
      <c r="D11" s="655"/>
      <c r="E11" s="656"/>
      <c r="F11" s="665"/>
      <c r="G11" s="205"/>
      <c r="H11" s="205"/>
      <c r="I11" s="205"/>
      <c r="J11" s="205"/>
    </row>
    <row r="12" spans="1:10" s="203" customFormat="1" ht="39" customHeight="1" x14ac:dyDescent="0.2">
      <c r="A12" s="654" t="s">
        <v>348</v>
      </c>
      <c r="B12" s="655"/>
      <c r="C12" s="655"/>
      <c r="D12" s="655"/>
      <c r="E12" s="656"/>
      <c r="F12" s="207" t="s">
        <v>349</v>
      </c>
      <c r="G12" s="205"/>
      <c r="H12" s="205"/>
      <c r="I12" s="205"/>
      <c r="J12" s="205"/>
    </row>
    <row r="13" spans="1:10" s="203" customFormat="1" ht="39" customHeight="1" x14ac:dyDescent="0.2">
      <c r="A13" s="645"/>
      <c r="B13" s="646"/>
      <c r="C13" s="646"/>
      <c r="D13" s="646"/>
      <c r="E13" s="647"/>
      <c r="F13" s="207"/>
      <c r="G13" s="205"/>
      <c r="H13" s="205"/>
      <c r="I13" s="205"/>
      <c r="J13" s="205"/>
    </row>
    <row r="14" spans="1:10" s="203" customFormat="1" ht="39" customHeight="1" x14ac:dyDescent="0.2">
      <c r="A14" s="645"/>
      <c r="B14" s="646"/>
      <c r="C14" s="646"/>
      <c r="D14" s="646"/>
      <c r="E14" s="647"/>
      <c r="F14" s="207"/>
      <c r="G14" s="205"/>
      <c r="H14" s="205"/>
      <c r="I14" s="205"/>
      <c r="J14" s="205"/>
    </row>
    <row r="15" spans="1:10" s="203" customFormat="1" ht="39" customHeight="1" x14ac:dyDescent="0.2">
      <c r="A15" s="645"/>
      <c r="B15" s="646"/>
      <c r="C15" s="646"/>
      <c r="D15" s="646"/>
      <c r="E15" s="647"/>
      <c r="F15" s="207"/>
      <c r="G15" s="205"/>
      <c r="H15" s="205"/>
      <c r="I15" s="205"/>
      <c r="J15" s="205"/>
    </row>
    <row r="16" spans="1:10" x14ac:dyDescent="0.25">
      <c r="A16" s="208"/>
      <c r="B16" s="208"/>
      <c r="C16" s="208"/>
      <c r="D16" s="208"/>
      <c r="E16" s="208"/>
      <c r="F16" s="208"/>
    </row>
    <row r="17" spans="1:6" s="211" customFormat="1" ht="15.75" x14ac:dyDescent="0.25">
      <c r="A17" s="210"/>
      <c r="B17" s="210"/>
      <c r="C17" s="210"/>
      <c r="D17" s="210"/>
      <c r="E17" s="210"/>
      <c r="F17" s="210"/>
    </row>
    <row r="18" spans="1:6" s="213" customFormat="1" ht="24.75" customHeight="1" x14ac:dyDescent="0.2">
      <c r="A18" s="648" t="s">
        <v>217</v>
      </c>
      <c r="B18" s="650" t="str">
        <f>'Mapa de Riesgos'!C67</f>
        <v>PLANEACIÓN INSTITUCIONAL</v>
      </c>
      <c r="C18" s="648" t="s">
        <v>218</v>
      </c>
      <c r="D18" s="652" t="str">
        <f>'Mapa de Riesgos'!H67</f>
        <v>SISTEMA INTEGRADO DE GESTIÓN SIG</v>
      </c>
      <c r="E18" s="214" t="s">
        <v>220</v>
      </c>
      <c r="F18" s="212" t="str">
        <f>'Mapa de Riesgos'!T67</f>
        <v>LÍDER DEL SISTEMA INTEGRADO DE GESTIÓN</v>
      </c>
    </row>
    <row r="19" spans="1:6" s="213" customFormat="1" ht="24.75" customHeight="1" x14ac:dyDescent="0.2">
      <c r="A19" s="649"/>
      <c r="B19" s="651"/>
      <c r="C19" s="649"/>
      <c r="D19" s="653"/>
      <c r="E19" s="214" t="s">
        <v>316</v>
      </c>
      <c r="F19" s="212" t="str">
        <f>'Mapa de Riesgos'!T68</f>
        <v>ABRIL DE 2022</v>
      </c>
    </row>
    <row r="20" spans="1:6" s="211" customFormat="1" ht="15.75" x14ac:dyDescent="0.25"/>
  </sheetData>
  <mergeCells count="20">
    <mergeCell ref="A12:E12"/>
    <mergeCell ref="B1:E1"/>
    <mergeCell ref="B2:E2"/>
    <mergeCell ref="A3:F3"/>
    <mergeCell ref="A4:F4"/>
    <mergeCell ref="A5:E5"/>
    <mergeCell ref="A6:E6"/>
    <mergeCell ref="A7:E7"/>
    <mergeCell ref="A8:E8"/>
    <mergeCell ref="A9:E9"/>
    <mergeCell ref="A10:E10"/>
    <mergeCell ref="A11:E11"/>
    <mergeCell ref="F7:F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666" t="s">
        <v>350</v>
      </c>
      <c r="C2" s="666"/>
      <c r="D2" s="666"/>
      <c r="E2" s="666"/>
      <c r="F2" s="666"/>
      <c r="G2" s="666"/>
      <c r="H2" s="666"/>
      <c r="I2" s="666"/>
      <c r="J2" s="703" t="s">
        <v>134</v>
      </c>
      <c r="K2" s="703"/>
      <c r="L2" s="703"/>
      <c r="M2" s="703"/>
      <c r="N2" s="703"/>
      <c r="O2" s="703"/>
      <c r="P2" s="703"/>
      <c r="Q2" s="703"/>
      <c r="R2" s="703"/>
      <c r="S2" s="703"/>
      <c r="T2" s="703"/>
      <c r="U2" s="703"/>
      <c r="V2" s="703"/>
      <c r="W2" s="703"/>
      <c r="X2" s="703"/>
      <c r="Y2" s="703"/>
      <c r="Z2" s="703"/>
      <c r="AA2" s="703"/>
      <c r="AB2" s="703"/>
      <c r="AC2" s="703"/>
      <c r="AD2" s="703"/>
      <c r="AE2" s="703"/>
      <c r="AF2" s="703"/>
      <c r="AG2" s="703"/>
      <c r="AH2" s="703"/>
      <c r="AI2" s="703"/>
      <c r="AJ2" s="703"/>
      <c r="AK2" s="703"/>
      <c r="AL2" s="703"/>
      <c r="AM2" s="70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666"/>
      <c r="C3" s="666"/>
      <c r="D3" s="666"/>
      <c r="E3" s="666"/>
      <c r="F3" s="666"/>
      <c r="G3" s="666"/>
      <c r="H3" s="666"/>
      <c r="I3" s="666"/>
      <c r="J3" s="703"/>
      <c r="K3" s="703"/>
      <c r="L3" s="703"/>
      <c r="M3" s="703"/>
      <c r="N3" s="703"/>
      <c r="O3" s="703"/>
      <c r="P3" s="703"/>
      <c r="Q3" s="703"/>
      <c r="R3" s="703"/>
      <c r="S3" s="703"/>
      <c r="T3" s="703"/>
      <c r="U3" s="703"/>
      <c r="V3" s="703"/>
      <c r="W3" s="703"/>
      <c r="X3" s="703"/>
      <c r="Y3" s="703"/>
      <c r="Z3" s="703"/>
      <c r="AA3" s="703"/>
      <c r="AB3" s="703"/>
      <c r="AC3" s="703"/>
      <c r="AD3" s="703"/>
      <c r="AE3" s="703"/>
      <c r="AF3" s="703"/>
      <c r="AG3" s="703"/>
      <c r="AH3" s="703"/>
      <c r="AI3" s="703"/>
      <c r="AJ3" s="703"/>
      <c r="AK3" s="703"/>
      <c r="AL3" s="703"/>
      <c r="AM3" s="70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666"/>
      <c r="C4" s="666"/>
      <c r="D4" s="666"/>
      <c r="E4" s="666"/>
      <c r="F4" s="666"/>
      <c r="G4" s="666"/>
      <c r="H4" s="666"/>
      <c r="I4" s="666"/>
      <c r="J4" s="703"/>
      <c r="K4" s="703"/>
      <c r="L4" s="703"/>
      <c r="M4" s="703"/>
      <c r="N4" s="703"/>
      <c r="O4" s="703"/>
      <c r="P4" s="703"/>
      <c r="Q4" s="703"/>
      <c r="R4" s="703"/>
      <c r="S4" s="703"/>
      <c r="T4" s="703"/>
      <c r="U4" s="703"/>
      <c r="V4" s="703"/>
      <c r="W4" s="703"/>
      <c r="X4" s="703"/>
      <c r="Y4" s="703"/>
      <c r="Z4" s="703"/>
      <c r="AA4" s="703"/>
      <c r="AB4" s="703"/>
      <c r="AC4" s="703"/>
      <c r="AD4" s="703"/>
      <c r="AE4" s="703"/>
      <c r="AF4" s="703"/>
      <c r="AG4" s="703"/>
      <c r="AH4" s="703"/>
      <c r="AI4" s="703"/>
      <c r="AJ4" s="703"/>
      <c r="AK4" s="703"/>
      <c r="AL4" s="703"/>
      <c r="AM4" s="70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714" t="s">
        <v>351</v>
      </c>
      <c r="C6" s="714"/>
      <c r="D6" s="715"/>
      <c r="E6" s="704" t="s">
        <v>352</v>
      </c>
      <c r="F6" s="705"/>
      <c r="G6" s="705"/>
      <c r="H6" s="705"/>
      <c r="I6" s="706"/>
      <c r="J6" s="700" t="e">
        <f>IF(AND(#REF!="Muy Alta",#REF!="Leve"),CONCATENATE("R",#REF!),"")</f>
        <v>#REF!</v>
      </c>
      <c r="K6" s="701"/>
      <c r="L6" s="701" t="e">
        <f>IF(AND(#REF!="Muy Alta",#REF!="Leve"),CONCATENATE("R",#REF!),"")</f>
        <v>#REF!</v>
      </c>
      <c r="M6" s="701"/>
      <c r="N6" s="701" t="e">
        <f>IF(AND(#REF!="Muy Alta",#REF!="Leve"),CONCATENATE("R",#REF!),"")</f>
        <v>#REF!</v>
      </c>
      <c r="O6" s="702"/>
      <c r="P6" s="700" t="e">
        <f>IF(AND(#REF!="Muy Alta",#REF!="Menor"),CONCATENATE("R",#REF!),"")</f>
        <v>#REF!</v>
      </c>
      <c r="Q6" s="701"/>
      <c r="R6" s="701" t="e">
        <f>IF(AND(#REF!="Muy Alta",#REF!="Menor"),CONCATENATE("R",#REF!),"")</f>
        <v>#REF!</v>
      </c>
      <c r="S6" s="701"/>
      <c r="T6" s="701" t="e">
        <f>IF(AND(#REF!="Muy Alta",#REF!="Menor"),CONCATENATE("R",#REF!),"")</f>
        <v>#REF!</v>
      </c>
      <c r="U6" s="702"/>
      <c r="V6" s="700" t="e">
        <f>IF(AND(#REF!="Muy Alta",#REF!="Moderado"),CONCATENATE("R",#REF!),"")</f>
        <v>#REF!</v>
      </c>
      <c r="W6" s="701"/>
      <c r="X6" s="701" t="e">
        <f>IF(AND(#REF!="Muy Alta",#REF!="Moderado"),CONCATENATE("R",#REF!),"")</f>
        <v>#REF!</v>
      </c>
      <c r="Y6" s="701"/>
      <c r="Z6" s="701" t="e">
        <f>IF(AND(#REF!="Muy Alta",#REF!="Moderado"),CONCATENATE("R",#REF!),"")</f>
        <v>#REF!</v>
      </c>
      <c r="AA6" s="702"/>
      <c r="AB6" s="700" t="e">
        <f>IF(AND(#REF!="Muy Alta",#REF!="Mayor"),CONCATENATE("R",#REF!),"")</f>
        <v>#REF!</v>
      </c>
      <c r="AC6" s="701"/>
      <c r="AD6" s="701" t="e">
        <f>IF(AND(#REF!="Muy Alta",#REF!="Mayor"),CONCATENATE("R",#REF!),"")</f>
        <v>#REF!</v>
      </c>
      <c r="AE6" s="701"/>
      <c r="AF6" s="701" t="e">
        <f>IF(AND(#REF!="Muy Alta",#REF!="Mayor"),CONCATENATE("R",#REF!),"")</f>
        <v>#REF!</v>
      </c>
      <c r="AG6" s="702"/>
      <c r="AH6" s="691" t="e">
        <f>IF(AND(#REF!="Muy Alta",#REF!="Catastrófico"),CONCATENATE("R",#REF!),"")</f>
        <v>#REF!</v>
      </c>
      <c r="AI6" s="692"/>
      <c r="AJ6" s="692" t="e">
        <f>IF(AND(#REF!="Muy Alta",#REF!="Catastrófico"),CONCATENATE("R",#REF!),"")</f>
        <v>#REF!</v>
      </c>
      <c r="AK6" s="692"/>
      <c r="AL6" s="692" t="e">
        <f>IF(AND(#REF!="Muy Alta",#REF!="Catastrófico"),CONCATENATE("R",#REF!),"")</f>
        <v>#REF!</v>
      </c>
      <c r="AM6" s="693"/>
      <c r="AO6" s="716" t="s">
        <v>353</v>
      </c>
      <c r="AP6" s="717"/>
      <c r="AQ6" s="717"/>
      <c r="AR6" s="717"/>
      <c r="AS6" s="717"/>
      <c r="AT6" s="718"/>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714"/>
      <c r="C7" s="714"/>
      <c r="D7" s="715"/>
      <c r="E7" s="707"/>
      <c r="F7" s="708"/>
      <c r="G7" s="708"/>
      <c r="H7" s="708"/>
      <c r="I7" s="709"/>
      <c r="J7" s="694"/>
      <c r="K7" s="695"/>
      <c r="L7" s="695"/>
      <c r="M7" s="695"/>
      <c r="N7" s="695"/>
      <c r="O7" s="696"/>
      <c r="P7" s="694"/>
      <c r="Q7" s="695"/>
      <c r="R7" s="695"/>
      <c r="S7" s="695"/>
      <c r="T7" s="695"/>
      <c r="U7" s="696"/>
      <c r="V7" s="694"/>
      <c r="W7" s="695"/>
      <c r="X7" s="695"/>
      <c r="Y7" s="695"/>
      <c r="Z7" s="695"/>
      <c r="AA7" s="696"/>
      <c r="AB7" s="694"/>
      <c r="AC7" s="695"/>
      <c r="AD7" s="695"/>
      <c r="AE7" s="695"/>
      <c r="AF7" s="695"/>
      <c r="AG7" s="696"/>
      <c r="AH7" s="685"/>
      <c r="AI7" s="686"/>
      <c r="AJ7" s="686"/>
      <c r="AK7" s="686"/>
      <c r="AL7" s="686"/>
      <c r="AM7" s="687"/>
      <c r="AN7" s="73"/>
      <c r="AO7" s="719"/>
      <c r="AP7" s="720"/>
      <c r="AQ7" s="720"/>
      <c r="AR7" s="720"/>
      <c r="AS7" s="720"/>
      <c r="AT7" s="721"/>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714"/>
      <c r="C8" s="714"/>
      <c r="D8" s="715"/>
      <c r="E8" s="707"/>
      <c r="F8" s="708"/>
      <c r="G8" s="708"/>
      <c r="H8" s="708"/>
      <c r="I8" s="709"/>
      <c r="J8" s="694" t="e">
        <f>IF(AND(#REF!="Muy Alta",#REF!="Leve"),CONCATENATE("R",#REF!),"")</f>
        <v>#REF!</v>
      </c>
      <c r="K8" s="695"/>
      <c r="L8" s="695" t="e">
        <f>IF(AND(#REF!="Muy Alta",#REF!="Leve"),CONCATENATE("R",#REF!),"")</f>
        <v>#REF!</v>
      </c>
      <c r="M8" s="695"/>
      <c r="N8" s="695" t="e">
        <f>IF(AND(#REF!="Muy Alta",#REF!="Leve"),CONCATENATE("R",#REF!),"")</f>
        <v>#REF!</v>
      </c>
      <c r="O8" s="696"/>
      <c r="P8" s="694" t="e">
        <f>IF(AND(#REF!="Muy Alta",#REF!="Menor"),CONCATENATE("R",#REF!),"")</f>
        <v>#REF!</v>
      </c>
      <c r="Q8" s="695"/>
      <c r="R8" s="695" t="e">
        <f>IF(AND(#REF!="Muy Alta",#REF!="Menor"),CONCATENATE("R",#REF!),"")</f>
        <v>#REF!</v>
      </c>
      <c r="S8" s="695"/>
      <c r="T8" s="695" t="e">
        <f>IF(AND(#REF!="Muy Alta",#REF!="Menor"),CONCATENATE("R",#REF!),"")</f>
        <v>#REF!</v>
      </c>
      <c r="U8" s="696"/>
      <c r="V8" s="694" t="e">
        <f>IF(AND(#REF!="Muy Alta",#REF!="Moderado"),CONCATENATE("R",#REF!),"")</f>
        <v>#REF!</v>
      </c>
      <c r="W8" s="695"/>
      <c r="X8" s="695" t="e">
        <f>IF(AND(#REF!="Muy Alta",#REF!="Moderado"),CONCATENATE("R",#REF!),"")</f>
        <v>#REF!</v>
      </c>
      <c r="Y8" s="695"/>
      <c r="Z8" s="695" t="e">
        <f>IF(AND(#REF!="Muy Alta",#REF!="Moderado"),CONCATENATE("R",#REF!),"")</f>
        <v>#REF!</v>
      </c>
      <c r="AA8" s="696"/>
      <c r="AB8" s="694" t="e">
        <f>IF(AND(#REF!="Muy Alta",#REF!="Mayor"),CONCATENATE("R",#REF!),"")</f>
        <v>#REF!</v>
      </c>
      <c r="AC8" s="695"/>
      <c r="AD8" s="695" t="e">
        <f>IF(AND(#REF!="Muy Alta",#REF!="Mayor"),CONCATENATE("R",#REF!),"")</f>
        <v>#REF!</v>
      </c>
      <c r="AE8" s="695"/>
      <c r="AF8" s="695" t="e">
        <f>IF(AND(#REF!="Muy Alta",#REF!="Mayor"),CONCATENATE("R",#REF!),"")</f>
        <v>#REF!</v>
      </c>
      <c r="AG8" s="696"/>
      <c r="AH8" s="685" t="e">
        <f>IF(AND(#REF!="Muy Alta",#REF!="Catastrófico"),CONCATENATE("R",#REF!),"")</f>
        <v>#REF!</v>
      </c>
      <c r="AI8" s="686"/>
      <c r="AJ8" s="686" t="e">
        <f>IF(AND(#REF!="Muy Alta",#REF!="Catastrófico"),CONCATENATE("R",#REF!),"")</f>
        <v>#REF!</v>
      </c>
      <c r="AK8" s="686"/>
      <c r="AL8" s="686" t="e">
        <f>IF(AND(#REF!="Muy Alta",#REF!="Catastrófico"),CONCATENATE("R",#REF!),"")</f>
        <v>#REF!</v>
      </c>
      <c r="AM8" s="687"/>
      <c r="AN8" s="73"/>
      <c r="AO8" s="719"/>
      <c r="AP8" s="720"/>
      <c r="AQ8" s="720"/>
      <c r="AR8" s="720"/>
      <c r="AS8" s="720"/>
      <c r="AT8" s="721"/>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714"/>
      <c r="C9" s="714"/>
      <c r="D9" s="715"/>
      <c r="E9" s="707"/>
      <c r="F9" s="708"/>
      <c r="G9" s="708"/>
      <c r="H9" s="708"/>
      <c r="I9" s="709"/>
      <c r="J9" s="694"/>
      <c r="K9" s="695"/>
      <c r="L9" s="695"/>
      <c r="M9" s="695"/>
      <c r="N9" s="695"/>
      <c r="O9" s="696"/>
      <c r="P9" s="694"/>
      <c r="Q9" s="695"/>
      <c r="R9" s="695"/>
      <c r="S9" s="695"/>
      <c r="T9" s="695"/>
      <c r="U9" s="696"/>
      <c r="V9" s="694"/>
      <c r="W9" s="695"/>
      <c r="X9" s="695"/>
      <c r="Y9" s="695"/>
      <c r="Z9" s="695"/>
      <c r="AA9" s="696"/>
      <c r="AB9" s="694"/>
      <c r="AC9" s="695"/>
      <c r="AD9" s="695"/>
      <c r="AE9" s="695"/>
      <c r="AF9" s="695"/>
      <c r="AG9" s="696"/>
      <c r="AH9" s="685"/>
      <c r="AI9" s="686"/>
      <c r="AJ9" s="686"/>
      <c r="AK9" s="686"/>
      <c r="AL9" s="686"/>
      <c r="AM9" s="687"/>
      <c r="AN9" s="73"/>
      <c r="AO9" s="719"/>
      <c r="AP9" s="720"/>
      <c r="AQ9" s="720"/>
      <c r="AR9" s="720"/>
      <c r="AS9" s="720"/>
      <c r="AT9" s="721"/>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714"/>
      <c r="C10" s="714"/>
      <c r="D10" s="715"/>
      <c r="E10" s="707"/>
      <c r="F10" s="708"/>
      <c r="G10" s="708"/>
      <c r="H10" s="708"/>
      <c r="I10" s="709"/>
      <c r="J10" s="694" t="e">
        <f>IF(AND(#REF!="Muy Alta",#REF!="Leve"),CONCATENATE("R",#REF!),"")</f>
        <v>#REF!</v>
      </c>
      <c r="K10" s="695"/>
      <c r="L10" s="695" t="e">
        <f>IF(AND(#REF!="Muy Alta",#REF!="Leve"),CONCATENATE("R",#REF!),"")</f>
        <v>#REF!</v>
      </c>
      <c r="M10" s="695"/>
      <c r="N10" s="695" t="e">
        <f>IF(AND(#REF!="Muy Alta",#REF!="Leve"),CONCATENATE("R",#REF!),"")</f>
        <v>#REF!</v>
      </c>
      <c r="O10" s="696"/>
      <c r="P10" s="694" t="e">
        <f>IF(AND(#REF!="Muy Alta",#REF!="Menor"),CONCATENATE("R",#REF!),"")</f>
        <v>#REF!</v>
      </c>
      <c r="Q10" s="695"/>
      <c r="R10" s="695" t="e">
        <f>IF(AND(#REF!="Muy Alta",#REF!="Menor"),CONCATENATE("R",#REF!),"")</f>
        <v>#REF!</v>
      </c>
      <c r="S10" s="695"/>
      <c r="T10" s="695" t="e">
        <f>IF(AND(#REF!="Muy Alta",#REF!="Menor"),CONCATENATE("R",#REF!),"")</f>
        <v>#REF!</v>
      </c>
      <c r="U10" s="696"/>
      <c r="V10" s="694" t="e">
        <f>IF(AND(#REF!="Muy Alta",#REF!="Moderado"),CONCATENATE("R",#REF!),"")</f>
        <v>#REF!</v>
      </c>
      <c r="W10" s="695"/>
      <c r="X10" s="695" t="e">
        <f>IF(AND(#REF!="Muy Alta",#REF!="Moderado"),CONCATENATE("R",#REF!),"")</f>
        <v>#REF!</v>
      </c>
      <c r="Y10" s="695"/>
      <c r="Z10" s="695" t="e">
        <f>IF(AND(#REF!="Muy Alta",#REF!="Moderado"),CONCATENATE("R",#REF!),"")</f>
        <v>#REF!</v>
      </c>
      <c r="AA10" s="696"/>
      <c r="AB10" s="694" t="e">
        <f>IF(AND(#REF!="Muy Alta",#REF!="Mayor"),CONCATENATE("R",#REF!),"")</f>
        <v>#REF!</v>
      </c>
      <c r="AC10" s="695"/>
      <c r="AD10" s="695" t="e">
        <f>IF(AND(#REF!="Muy Alta",#REF!="Mayor"),CONCATENATE("R",#REF!),"")</f>
        <v>#REF!</v>
      </c>
      <c r="AE10" s="695"/>
      <c r="AF10" s="695" t="e">
        <f>IF(AND(#REF!="Muy Alta",#REF!="Mayor"),CONCATENATE("R",#REF!),"")</f>
        <v>#REF!</v>
      </c>
      <c r="AG10" s="696"/>
      <c r="AH10" s="685" t="e">
        <f>IF(AND(#REF!="Muy Alta",#REF!="Catastrófico"),CONCATENATE("R",#REF!),"")</f>
        <v>#REF!</v>
      </c>
      <c r="AI10" s="686"/>
      <c r="AJ10" s="686" t="e">
        <f>IF(AND(#REF!="Muy Alta",#REF!="Catastrófico"),CONCATENATE("R",#REF!),"")</f>
        <v>#REF!</v>
      </c>
      <c r="AK10" s="686"/>
      <c r="AL10" s="686" t="e">
        <f>IF(AND(#REF!="Muy Alta",#REF!="Catastrófico"),CONCATENATE("R",#REF!),"")</f>
        <v>#REF!</v>
      </c>
      <c r="AM10" s="687"/>
      <c r="AN10" s="73"/>
      <c r="AO10" s="719"/>
      <c r="AP10" s="720"/>
      <c r="AQ10" s="720"/>
      <c r="AR10" s="720"/>
      <c r="AS10" s="720"/>
      <c r="AT10" s="721"/>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714"/>
      <c r="C11" s="714"/>
      <c r="D11" s="715"/>
      <c r="E11" s="707"/>
      <c r="F11" s="708"/>
      <c r="G11" s="708"/>
      <c r="H11" s="708"/>
      <c r="I11" s="709"/>
      <c r="J11" s="694"/>
      <c r="K11" s="695"/>
      <c r="L11" s="695"/>
      <c r="M11" s="695"/>
      <c r="N11" s="695"/>
      <c r="O11" s="696"/>
      <c r="P11" s="694"/>
      <c r="Q11" s="695"/>
      <c r="R11" s="695"/>
      <c r="S11" s="695"/>
      <c r="T11" s="695"/>
      <c r="U11" s="696"/>
      <c r="V11" s="694"/>
      <c r="W11" s="695"/>
      <c r="X11" s="695"/>
      <c r="Y11" s="695"/>
      <c r="Z11" s="695"/>
      <c r="AA11" s="696"/>
      <c r="AB11" s="694"/>
      <c r="AC11" s="695"/>
      <c r="AD11" s="695"/>
      <c r="AE11" s="695"/>
      <c r="AF11" s="695"/>
      <c r="AG11" s="696"/>
      <c r="AH11" s="685"/>
      <c r="AI11" s="686"/>
      <c r="AJ11" s="686"/>
      <c r="AK11" s="686"/>
      <c r="AL11" s="686"/>
      <c r="AM11" s="687"/>
      <c r="AN11" s="73"/>
      <c r="AO11" s="719"/>
      <c r="AP11" s="720"/>
      <c r="AQ11" s="720"/>
      <c r="AR11" s="720"/>
      <c r="AS11" s="720"/>
      <c r="AT11" s="721"/>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714"/>
      <c r="C12" s="714"/>
      <c r="D12" s="715"/>
      <c r="E12" s="707"/>
      <c r="F12" s="708"/>
      <c r="G12" s="708"/>
      <c r="H12" s="708"/>
      <c r="I12" s="709"/>
      <c r="J12" s="694" t="e">
        <f>IF(AND(#REF!="Muy Alta",#REF!="Leve"),CONCATENATE("R",#REF!),"")</f>
        <v>#REF!</v>
      </c>
      <c r="K12" s="695"/>
      <c r="L12" s="695" t="e">
        <f>IF(AND(#REF!="Muy Alta",#REF!="Leve"),CONCATENATE("R",#REF!),"")</f>
        <v>#REF!</v>
      </c>
      <c r="M12" s="695"/>
      <c r="N12" s="695" t="e">
        <f>IF(AND(#REF!="Muy Alta",#REF!="Leve"),CONCATENATE("R",#REF!),"")</f>
        <v>#REF!</v>
      </c>
      <c r="O12" s="696"/>
      <c r="P12" s="694" t="e">
        <f>IF(AND(#REF!="Muy Alta",#REF!="Menor"),CONCATENATE("R",#REF!),"")</f>
        <v>#REF!</v>
      </c>
      <c r="Q12" s="695"/>
      <c r="R12" s="695" t="e">
        <f>IF(AND(#REF!="Muy Alta",#REF!="Menor"),CONCATENATE("R",#REF!),"")</f>
        <v>#REF!</v>
      </c>
      <c r="S12" s="695"/>
      <c r="T12" s="695" t="e">
        <f>IF(AND(#REF!="Muy Alta",#REF!="Menor"),CONCATENATE("R",#REF!),"")</f>
        <v>#REF!</v>
      </c>
      <c r="U12" s="696"/>
      <c r="V12" s="694" t="e">
        <f>IF(AND(#REF!="Muy Alta",#REF!="Moderado"),CONCATENATE("R",#REF!),"")</f>
        <v>#REF!</v>
      </c>
      <c r="W12" s="695"/>
      <c r="X12" s="695" t="e">
        <f>IF(AND(#REF!="Muy Alta",#REF!="Moderado"),CONCATENATE("R",#REF!),"")</f>
        <v>#REF!</v>
      </c>
      <c r="Y12" s="695"/>
      <c r="Z12" s="695" t="e">
        <f>IF(AND(#REF!="Muy Alta",#REF!="Moderado"),CONCATENATE("R",#REF!),"")</f>
        <v>#REF!</v>
      </c>
      <c r="AA12" s="696"/>
      <c r="AB12" s="694" t="e">
        <f>IF(AND(#REF!="Muy Alta",#REF!="Mayor"),CONCATENATE("R",#REF!),"")</f>
        <v>#REF!</v>
      </c>
      <c r="AC12" s="695"/>
      <c r="AD12" s="695" t="e">
        <f>IF(AND(#REF!="Muy Alta",#REF!="Mayor"),CONCATENATE("R",#REF!),"")</f>
        <v>#REF!</v>
      </c>
      <c r="AE12" s="695"/>
      <c r="AF12" s="695" t="e">
        <f>IF(AND(#REF!="Muy Alta",#REF!="Mayor"),CONCATENATE("R",#REF!),"")</f>
        <v>#REF!</v>
      </c>
      <c r="AG12" s="696"/>
      <c r="AH12" s="685" t="e">
        <f>IF(AND(#REF!="Muy Alta",#REF!="Catastrófico"),CONCATENATE("R",#REF!),"")</f>
        <v>#REF!</v>
      </c>
      <c r="AI12" s="686"/>
      <c r="AJ12" s="686" t="e">
        <f>IF(AND(#REF!="Muy Alta",#REF!="Catastrófico"),CONCATENATE("R",#REF!),"")</f>
        <v>#REF!</v>
      </c>
      <c r="AK12" s="686"/>
      <c r="AL12" s="686" t="e">
        <f>IF(AND(#REF!="Muy Alta",#REF!="Catastrófico"),CONCATENATE("R",#REF!),"")</f>
        <v>#REF!</v>
      </c>
      <c r="AM12" s="687"/>
      <c r="AN12" s="73"/>
      <c r="AO12" s="719"/>
      <c r="AP12" s="720"/>
      <c r="AQ12" s="720"/>
      <c r="AR12" s="720"/>
      <c r="AS12" s="720"/>
      <c r="AT12" s="721"/>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714"/>
      <c r="C13" s="714"/>
      <c r="D13" s="715"/>
      <c r="E13" s="710"/>
      <c r="F13" s="711"/>
      <c r="G13" s="711"/>
      <c r="H13" s="711"/>
      <c r="I13" s="712"/>
      <c r="J13" s="694"/>
      <c r="K13" s="695"/>
      <c r="L13" s="695"/>
      <c r="M13" s="695"/>
      <c r="N13" s="695"/>
      <c r="O13" s="696"/>
      <c r="P13" s="694"/>
      <c r="Q13" s="695"/>
      <c r="R13" s="695"/>
      <c r="S13" s="695"/>
      <c r="T13" s="695"/>
      <c r="U13" s="696"/>
      <c r="V13" s="694"/>
      <c r="W13" s="695"/>
      <c r="X13" s="695"/>
      <c r="Y13" s="695"/>
      <c r="Z13" s="695"/>
      <c r="AA13" s="696"/>
      <c r="AB13" s="694"/>
      <c r="AC13" s="695"/>
      <c r="AD13" s="695"/>
      <c r="AE13" s="695"/>
      <c r="AF13" s="695"/>
      <c r="AG13" s="696"/>
      <c r="AH13" s="688"/>
      <c r="AI13" s="689"/>
      <c r="AJ13" s="689"/>
      <c r="AK13" s="689"/>
      <c r="AL13" s="689"/>
      <c r="AM13" s="690"/>
      <c r="AN13" s="73"/>
      <c r="AO13" s="722"/>
      <c r="AP13" s="723"/>
      <c r="AQ13" s="723"/>
      <c r="AR13" s="723"/>
      <c r="AS13" s="723"/>
      <c r="AT13" s="724"/>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714"/>
      <c r="C14" s="714"/>
      <c r="D14" s="715"/>
      <c r="E14" s="704" t="s">
        <v>354</v>
      </c>
      <c r="F14" s="705"/>
      <c r="G14" s="705"/>
      <c r="H14" s="705"/>
      <c r="I14" s="705"/>
      <c r="J14" s="682" t="e">
        <f>IF(AND(#REF!="Alta",#REF!="Leve"),CONCATENATE("R",#REF!),"")</f>
        <v>#REF!</v>
      </c>
      <c r="K14" s="683"/>
      <c r="L14" s="683" t="e">
        <f>IF(AND(#REF!="Alta",#REF!="Leve"),CONCATENATE("R",#REF!),"")</f>
        <v>#REF!</v>
      </c>
      <c r="M14" s="683"/>
      <c r="N14" s="683" t="e">
        <f>IF(AND(#REF!="Alta",#REF!="Leve"),CONCATENATE("R",#REF!),"")</f>
        <v>#REF!</v>
      </c>
      <c r="O14" s="684"/>
      <c r="P14" s="682" t="e">
        <f>IF(AND(#REF!="Alta",#REF!="Menor"),CONCATENATE("R",#REF!),"")</f>
        <v>#REF!</v>
      </c>
      <c r="Q14" s="683"/>
      <c r="R14" s="683" t="e">
        <f>IF(AND(#REF!="Alta",#REF!="Menor"),CONCATENATE("R",#REF!),"")</f>
        <v>#REF!</v>
      </c>
      <c r="S14" s="683"/>
      <c r="T14" s="683" t="e">
        <f>IF(AND(#REF!="Alta",#REF!="Menor"),CONCATENATE("R",#REF!),"")</f>
        <v>#REF!</v>
      </c>
      <c r="U14" s="684"/>
      <c r="V14" s="700" t="e">
        <f>IF(AND(#REF!="Alta",#REF!="Moderado"),CONCATENATE("R",#REF!),"")</f>
        <v>#REF!</v>
      </c>
      <c r="W14" s="701"/>
      <c r="X14" s="701" t="e">
        <f>IF(AND(#REF!="Alta",#REF!="Moderado"),CONCATENATE("R",#REF!),"")</f>
        <v>#REF!</v>
      </c>
      <c r="Y14" s="701"/>
      <c r="Z14" s="701" t="e">
        <f>IF(AND(#REF!="Alta",#REF!="Moderado"),CONCATENATE("R",#REF!),"")</f>
        <v>#REF!</v>
      </c>
      <c r="AA14" s="702"/>
      <c r="AB14" s="700" t="e">
        <f>IF(AND(#REF!="Alta",#REF!="Mayor"),CONCATENATE("R",#REF!),"")</f>
        <v>#REF!</v>
      </c>
      <c r="AC14" s="701"/>
      <c r="AD14" s="701" t="e">
        <f>IF(AND(#REF!="Alta",#REF!="Mayor"),CONCATENATE("R",#REF!),"")</f>
        <v>#REF!</v>
      </c>
      <c r="AE14" s="701"/>
      <c r="AF14" s="701" t="e">
        <f>IF(AND(#REF!="Alta",#REF!="Mayor"),CONCATENATE("R",#REF!),"")</f>
        <v>#REF!</v>
      </c>
      <c r="AG14" s="702"/>
      <c r="AH14" s="691" t="e">
        <f>IF(AND(#REF!="Alta",#REF!="Catastrófico"),CONCATENATE("R",#REF!),"")</f>
        <v>#REF!</v>
      </c>
      <c r="AI14" s="692"/>
      <c r="AJ14" s="692" t="e">
        <f>IF(AND(#REF!="Alta",#REF!="Catastrófico"),CONCATENATE("R",#REF!),"")</f>
        <v>#REF!</v>
      </c>
      <c r="AK14" s="692"/>
      <c r="AL14" s="692" t="e">
        <f>IF(AND(#REF!="Alta",#REF!="Catastrófico"),CONCATENATE("R",#REF!),"")</f>
        <v>#REF!</v>
      </c>
      <c r="AM14" s="693"/>
      <c r="AN14" s="73"/>
      <c r="AO14" s="725" t="s">
        <v>355</v>
      </c>
      <c r="AP14" s="726"/>
      <c r="AQ14" s="726"/>
      <c r="AR14" s="726"/>
      <c r="AS14" s="726"/>
      <c r="AT14" s="727"/>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714"/>
      <c r="C15" s="714"/>
      <c r="D15" s="715"/>
      <c r="E15" s="707"/>
      <c r="F15" s="708"/>
      <c r="G15" s="708"/>
      <c r="H15" s="708"/>
      <c r="I15" s="708"/>
      <c r="J15" s="676"/>
      <c r="K15" s="677"/>
      <c r="L15" s="677"/>
      <c r="M15" s="677"/>
      <c r="N15" s="677"/>
      <c r="O15" s="678"/>
      <c r="P15" s="676"/>
      <c r="Q15" s="677"/>
      <c r="R15" s="677"/>
      <c r="S15" s="677"/>
      <c r="T15" s="677"/>
      <c r="U15" s="678"/>
      <c r="V15" s="694"/>
      <c r="W15" s="695"/>
      <c r="X15" s="695"/>
      <c r="Y15" s="695"/>
      <c r="Z15" s="695"/>
      <c r="AA15" s="696"/>
      <c r="AB15" s="694"/>
      <c r="AC15" s="695"/>
      <c r="AD15" s="695"/>
      <c r="AE15" s="695"/>
      <c r="AF15" s="695"/>
      <c r="AG15" s="696"/>
      <c r="AH15" s="685"/>
      <c r="AI15" s="686"/>
      <c r="AJ15" s="686"/>
      <c r="AK15" s="686"/>
      <c r="AL15" s="686"/>
      <c r="AM15" s="687"/>
      <c r="AN15" s="73"/>
      <c r="AO15" s="728"/>
      <c r="AP15" s="729"/>
      <c r="AQ15" s="729"/>
      <c r="AR15" s="729"/>
      <c r="AS15" s="729"/>
      <c r="AT15" s="730"/>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714"/>
      <c r="C16" s="714"/>
      <c r="D16" s="715"/>
      <c r="E16" s="707"/>
      <c r="F16" s="708"/>
      <c r="G16" s="708"/>
      <c r="H16" s="708"/>
      <c r="I16" s="708"/>
      <c r="J16" s="676" t="e">
        <f>IF(AND(#REF!="Alta",#REF!="Leve"),CONCATENATE("R",#REF!),"")</f>
        <v>#REF!</v>
      </c>
      <c r="K16" s="677"/>
      <c r="L16" s="677" t="e">
        <f>IF(AND(#REF!="Alta",#REF!="Leve"),CONCATENATE("R",#REF!),"")</f>
        <v>#REF!</v>
      </c>
      <c r="M16" s="677"/>
      <c r="N16" s="677" t="e">
        <f>IF(AND(#REF!="Alta",#REF!="Leve"),CONCATENATE("R",#REF!),"")</f>
        <v>#REF!</v>
      </c>
      <c r="O16" s="678"/>
      <c r="P16" s="676" t="e">
        <f>IF(AND(#REF!="Alta",#REF!="Menor"),CONCATENATE("R",#REF!),"")</f>
        <v>#REF!</v>
      </c>
      <c r="Q16" s="677"/>
      <c r="R16" s="677" t="e">
        <f>IF(AND(#REF!="Alta",#REF!="Menor"),CONCATENATE("R",#REF!),"")</f>
        <v>#REF!</v>
      </c>
      <c r="S16" s="677"/>
      <c r="T16" s="677" t="e">
        <f>IF(AND(#REF!="Alta",#REF!="Menor"),CONCATENATE("R",#REF!),"")</f>
        <v>#REF!</v>
      </c>
      <c r="U16" s="678"/>
      <c r="V16" s="694" t="e">
        <f>IF(AND(#REF!="Alta",#REF!="Moderado"),CONCATENATE("R",#REF!),"")</f>
        <v>#REF!</v>
      </c>
      <c r="W16" s="695"/>
      <c r="X16" s="695" t="e">
        <f>IF(AND(#REF!="Alta",#REF!="Moderado"),CONCATENATE("R",#REF!),"")</f>
        <v>#REF!</v>
      </c>
      <c r="Y16" s="695"/>
      <c r="Z16" s="695" t="e">
        <f>IF(AND(#REF!="Alta",#REF!="Moderado"),CONCATENATE("R",#REF!),"")</f>
        <v>#REF!</v>
      </c>
      <c r="AA16" s="696"/>
      <c r="AB16" s="694" t="e">
        <f>IF(AND(#REF!="Alta",#REF!="Mayor"),CONCATENATE("R",#REF!),"")</f>
        <v>#REF!</v>
      </c>
      <c r="AC16" s="695"/>
      <c r="AD16" s="695" t="e">
        <f>IF(AND(#REF!="Alta",#REF!="Mayor"),CONCATENATE("R",#REF!),"")</f>
        <v>#REF!</v>
      </c>
      <c r="AE16" s="695"/>
      <c r="AF16" s="695" t="e">
        <f>IF(AND(#REF!="Alta",#REF!="Mayor"),CONCATENATE("R",#REF!),"")</f>
        <v>#REF!</v>
      </c>
      <c r="AG16" s="696"/>
      <c r="AH16" s="685" t="e">
        <f>IF(AND(#REF!="Alta",#REF!="Catastrófico"),CONCATENATE("R",#REF!),"")</f>
        <v>#REF!</v>
      </c>
      <c r="AI16" s="686"/>
      <c r="AJ16" s="686" t="e">
        <f>IF(AND(#REF!="Alta",#REF!="Catastrófico"),CONCATENATE("R",#REF!),"")</f>
        <v>#REF!</v>
      </c>
      <c r="AK16" s="686"/>
      <c r="AL16" s="686" t="e">
        <f>IF(AND(#REF!="Alta",#REF!="Catastrófico"),CONCATENATE("R",#REF!),"")</f>
        <v>#REF!</v>
      </c>
      <c r="AM16" s="687"/>
      <c r="AN16" s="73"/>
      <c r="AO16" s="728"/>
      <c r="AP16" s="729"/>
      <c r="AQ16" s="729"/>
      <c r="AR16" s="729"/>
      <c r="AS16" s="729"/>
      <c r="AT16" s="730"/>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714"/>
      <c r="C17" s="714"/>
      <c r="D17" s="715"/>
      <c r="E17" s="707"/>
      <c r="F17" s="708"/>
      <c r="G17" s="708"/>
      <c r="H17" s="708"/>
      <c r="I17" s="708"/>
      <c r="J17" s="676"/>
      <c r="K17" s="677"/>
      <c r="L17" s="677"/>
      <c r="M17" s="677"/>
      <c r="N17" s="677"/>
      <c r="O17" s="678"/>
      <c r="P17" s="676"/>
      <c r="Q17" s="677"/>
      <c r="R17" s="677"/>
      <c r="S17" s="677"/>
      <c r="T17" s="677"/>
      <c r="U17" s="678"/>
      <c r="V17" s="694"/>
      <c r="W17" s="695"/>
      <c r="X17" s="695"/>
      <c r="Y17" s="695"/>
      <c r="Z17" s="695"/>
      <c r="AA17" s="696"/>
      <c r="AB17" s="694"/>
      <c r="AC17" s="695"/>
      <c r="AD17" s="695"/>
      <c r="AE17" s="695"/>
      <c r="AF17" s="695"/>
      <c r="AG17" s="696"/>
      <c r="AH17" s="685"/>
      <c r="AI17" s="686"/>
      <c r="AJ17" s="686"/>
      <c r="AK17" s="686"/>
      <c r="AL17" s="686"/>
      <c r="AM17" s="687"/>
      <c r="AN17" s="73"/>
      <c r="AO17" s="728"/>
      <c r="AP17" s="729"/>
      <c r="AQ17" s="729"/>
      <c r="AR17" s="729"/>
      <c r="AS17" s="729"/>
      <c r="AT17" s="730"/>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714"/>
      <c r="C18" s="714"/>
      <c r="D18" s="715"/>
      <c r="E18" s="707"/>
      <c r="F18" s="708"/>
      <c r="G18" s="708"/>
      <c r="H18" s="708"/>
      <c r="I18" s="708"/>
      <c r="J18" s="676" t="e">
        <f>IF(AND(#REF!="Alta",#REF!="Leve"),CONCATENATE("R",#REF!),"")</f>
        <v>#REF!</v>
      </c>
      <c r="K18" s="677"/>
      <c r="L18" s="677" t="e">
        <f>IF(AND(#REF!="Alta",#REF!="Leve"),CONCATENATE("R",#REF!),"")</f>
        <v>#REF!</v>
      </c>
      <c r="M18" s="677"/>
      <c r="N18" s="677" t="e">
        <f>IF(AND(#REF!="Alta",#REF!="Leve"),CONCATENATE("R",#REF!),"")</f>
        <v>#REF!</v>
      </c>
      <c r="O18" s="678"/>
      <c r="P18" s="676" t="e">
        <f>IF(AND(#REF!="Alta",#REF!="Menor"),CONCATENATE("R",#REF!),"")</f>
        <v>#REF!</v>
      </c>
      <c r="Q18" s="677"/>
      <c r="R18" s="677" t="e">
        <f>IF(AND(#REF!="Alta",#REF!="Menor"),CONCATENATE("R",#REF!),"")</f>
        <v>#REF!</v>
      </c>
      <c r="S18" s="677"/>
      <c r="T18" s="677" t="e">
        <f>IF(AND(#REF!="Alta",#REF!="Menor"),CONCATENATE("R",#REF!),"")</f>
        <v>#REF!</v>
      </c>
      <c r="U18" s="678"/>
      <c r="V18" s="694" t="e">
        <f>IF(AND(#REF!="Alta",#REF!="Moderado"),CONCATENATE("R",#REF!),"")</f>
        <v>#REF!</v>
      </c>
      <c r="W18" s="695"/>
      <c r="X18" s="695" t="e">
        <f>IF(AND(#REF!="Alta",#REF!="Moderado"),CONCATENATE("R",#REF!),"")</f>
        <v>#REF!</v>
      </c>
      <c r="Y18" s="695"/>
      <c r="Z18" s="695" t="e">
        <f>IF(AND(#REF!="Alta",#REF!="Moderado"),CONCATENATE("R",#REF!),"")</f>
        <v>#REF!</v>
      </c>
      <c r="AA18" s="696"/>
      <c r="AB18" s="694" t="e">
        <f>IF(AND(#REF!="Alta",#REF!="Mayor"),CONCATENATE("R",#REF!),"")</f>
        <v>#REF!</v>
      </c>
      <c r="AC18" s="695"/>
      <c r="AD18" s="695" t="e">
        <f>IF(AND(#REF!="Alta",#REF!="Mayor"),CONCATENATE("R",#REF!),"")</f>
        <v>#REF!</v>
      </c>
      <c r="AE18" s="695"/>
      <c r="AF18" s="695" t="e">
        <f>IF(AND(#REF!="Alta",#REF!="Mayor"),CONCATENATE("R",#REF!),"")</f>
        <v>#REF!</v>
      </c>
      <c r="AG18" s="696"/>
      <c r="AH18" s="685" t="e">
        <f>IF(AND(#REF!="Alta",#REF!="Catastrófico"),CONCATENATE("R",#REF!),"")</f>
        <v>#REF!</v>
      </c>
      <c r="AI18" s="686"/>
      <c r="AJ18" s="686" t="e">
        <f>IF(AND(#REF!="Alta",#REF!="Catastrófico"),CONCATENATE("R",#REF!),"")</f>
        <v>#REF!</v>
      </c>
      <c r="AK18" s="686"/>
      <c r="AL18" s="686" t="e">
        <f>IF(AND(#REF!="Alta",#REF!="Catastrófico"),CONCATENATE("R",#REF!),"")</f>
        <v>#REF!</v>
      </c>
      <c r="AM18" s="687"/>
      <c r="AN18" s="73"/>
      <c r="AO18" s="728"/>
      <c r="AP18" s="729"/>
      <c r="AQ18" s="729"/>
      <c r="AR18" s="729"/>
      <c r="AS18" s="729"/>
      <c r="AT18" s="730"/>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714"/>
      <c r="C19" s="714"/>
      <c r="D19" s="715"/>
      <c r="E19" s="707"/>
      <c r="F19" s="708"/>
      <c r="G19" s="708"/>
      <c r="H19" s="708"/>
      <c r="I19" s="708"/>
      <c r="J19" s="676"/>
      <c r="K19" s="677"/>
      <c r="L19" s="677"/>
      <c r="M19" s="677"/>
      <c r="N19" s="677"/>
      <c r="O19" s="678"/>
      <c r="P19" s="676"/>
      <c r="Q19" s="677"/>
      <c r="R19" s="677"/>
      <c r="S19" s="677"/>
      <c r="T19" s="677"/>
      <c r="U19" s="678"/>
      <c r="V19" s="694"/>
      <c r="W19" s="695"/>
      <c r="X19" s="695"/>
      <c r="Y19" s="695"/>
      <c r="Z19" s="695"/>
      <c r="AA19" s="696"/>
      <c r="AB19" s="694"/>
      <c r="AC19" s="695"/>
      <c r="AD19" s="695"/>
      <c r="AE19" s="695"/>
      <c r="AF19" s="695"/>
      <c r="AG19" s="696"/>
      <c r="AH19" s="685"/>
      <c r="AI19" s="686"/>
      <c r="AJ19" s="686"/>
      <c r="AK19" s="686"/>
      <c r="AL19" s="686"/>
      <c r="AM19" s="687"/>
      <c r="AN19" s="73"/>
      <c r="AO19" s="728"/>
      <c r="AP19" s="729"/>
      <c r="AQ19" s="729"/>
      <c r="AR19" s="729"/>
      <c r="AS19" s="729"/>
      <c r="AT19" s="730"/>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714"/>
      <c r="C20" s="714"/>
      <c r="D20" s="715"/>
      <c r="E20" s="707"/>
      <c r="F20" s="708"/>
      <c r="G20" s="708"/>
      <c r="H20" s="708"/>
      <c r="I20" s="708"/>
      <c r="J20" s="676" t="e">
        <f>IF(AND(#REF!="Alta",#REF!="Leve"),CONCATENATE("R",#REF!),"")</f>
        <v>#REF!</v>
      </c>
      <c r="K20" s="677"/>
      <c r="L20" s="677" t="e">
        <f>IF(AND(#REF!="Alta",#REF!="Leve"),CONCATENATE("R",#REF!),"")</f>
        <v>#REF!</v>
      </c>
      <c r="M20" s="677"/>
      <c r="N20" s="677" t="e">
        <f>IF(AND(#REF!="Alta",#REF!="Leve"),CONCATENATE("R",#REF!),"")</f>
        <v>#REF!</v>
      </c>
      <c r="O20" s="678"/>
      <c r="P20" s="676" t="e">
        <f>IF(AND(#REF!="Alta",#REF!="Menor"),CONCATENATE("R",#REF!),"")</f>
        <v>#REF!</v>
      </c>
      <c r="Q20" s="677"/>
      <c r="R20" s="677" t="e">
        <f>IF(AND(#REF!="Alta",#REF!="Menor"),CONCATENATE("R",#REF!),"")</f>
        <v>#REF!</v>
      </c>
      <c r="S20" s="677"/>
      <c r="T20" s="677" t="e">
        <f>IF(AND(#REF!="Alta",#REF!="Menor"),CONCATENATE("R",#REF!),"")</f>
        <v>#REF!</v>
      </c>
      <c r="U20" s="678"/>
      <c r="V20" s="694" t="e">
        <f>IF(AND(#REF!="Alta",#REF!="Moderado"),CONCATENATE("R",#REF!),"")</f>
        <v>#REF!</v>
      </c>
      <c r="W20" s="695"/>
      <c r="X20" s="695" t="e">
        <f>IF(AND(#REF!="Alta",#REF!="Moderado"),CONCATENATE("R",#REF!),"")</f>
        <v>#REF!</v>
      </c>
      <c r="Y20" s="695"/>
      <c r="Z20" s="695" t="e">
        <f>IF(AND(#REF!="Alta",#REF!="Moderado"),CONCATENATE("R",#REF!),"")</f>
        <v>#REF!</v>
      </c>
      <c r="AA20" s="696"/>
      <c r="AB20" s="694" t="e">
        <f>IF(AND(#REF!="Alta",#REF!="Mayor"),CONCATENATE("R",#REF!),"")</f>
        <v>#REF!</v>
      </c>
      <c r="AC20" s="695"/>
      <c r="AD20" s="695" t="e">
        <f>IF(AND(#REF!="Alta",#REF!="Mayor"),CONCATENATE("R",#REF!),"")</f>
        <v>#REF!</v>
      </c>
      <c r="AE20" s="695"/>
      <c r="AF20" s="695" t="e">
        <f>IF(AND(#REF!="Alta",#REF!="Mayor"),CONCATENATE("R",#REF!),"")</f>
        <v>#REF!</v>
      </c>
      <c r="AG20" s="696"/>
      <c r="AH20" s="685" t="e">
        <f>IF(AND(#REF!="Alta",#REF!="Catastrófico"),CONCATENATE("R",#REF!),"")</f>
        <v>#REF!</v>
      </c>
      <c r="AI20" s="686"/>
      <c r="AJ20" s="686" t="e">
        <f>IF(AND(#REF!="Alta",#REF!="Catastrófico"),CONCATENATE("R",#REF!),"")</f>
        <v>#REF!</v>
      </c>
      <c r="AK20" s="686"/>
      <c r="AL20" s="686" t="e">
        <f>IF(AND(#REF!="Alta",#REF!="Catastrófico"),CONCATENATE("R",#REF!),"")</f>
        <v>#REF!</v>
      </c>
      <c r="AM20" s="687"/>
      <c r="AN20" s="73"/>
      <c r="AO20" s="728"/>
      <c r="AP20" s="729"/>
      <c r="AQ20" s="729"/>
      <c r="AR20" s="729"/>
      <c r="AS20" s="729"/>
      <c r="AT20" s="730"/>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714"/>
      <c r="C21" s="714"/>
      <c r="D21" s="715"/>
      <c r="E21" s="710"/>
      <c r="F21" s="711"/>
      <c r="G21" s="711"/>
      <c r="H21" s="711"/>
      <c r="I21" s="711"/>
      <c r="J21" s="679"/>
      <c r="K21" s="680"/>
      <c r="L21" s="680"/>
      <c r="M21" s="680"/>
      <c r="N21" s="680"/>
      <c r="O21" s="681"/>
      <c r="P21" s="679"/>
      <c r="Q21" s="680"/>
      <c r="R21" s="680"/>
      <c r="S21" s="680"/>
      <c r="T21" s="680"/>
      <c r="U21" s="681"/>
      <c r="V21" s="697"/>
      <c r="W21" s="698"/>
      <c r="X21" s="698"/>
      <c r="Y21" s="698"/>
      <c r="Z21" s="698"/>
      <c r="AA21" s="699"/>
      <c r="AB21" s="697"/>
      <c r="AC21" s="698"/>
      <c r="AD21" s="698"/>
      <c r="AE21" s="698"/>
      <c r="AF21" s="698"/>
      <c r="AG21" s="699"/>
      <c r="AH21" s="688"/>
      <c r="AI21" s="689"/>
      <c r="AJ21" s="689"/>
      <c r="AK21" s="689"/>
      <c r="AL21" s="689"/>
      <c r="AM21" s="690"/>
      <c r="AN21" s="73"/>
      <c r="AO21" s="731"/>
      <c r="AP21" s="732"/>
      <c r="AQ21" s="732"/>
      <c r="AR21" s="732"/>
      <c r="AS21" s="732"/>
      <c r="AT21" s="73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714"/>
      <c r="C22" s="714"/>
      <c r="D22" s="715"/>
      <c r="E22" s="704" t="s">
        <v>356</v>
      </c>
      <c r="F22" s="705"/>
      <c r="G22" s="705"/>
      <c r="H22" s="705"/>
      <c r="I22" s="706"/>
      <c r="J22" s="682" t="e">
        <f>IF(AND(#REF!="Media",#REF!="Leve"),CONCATENATE("R",#REF!),"")</f>
        <v>#REF!</v>
      </c>
      <c r="K22" s="683"/>
      <c r="L22" s="683" t="e">
        <f>IF(AND(#REF!="Media",#REF!="Leve"),CONCATENATE("R",#REF!),"")</f>
        <v>#REF!</v>
      </c>
      <c r="M22" s="683"/>
      <c r="N22" s="683" t="e">
        <f>IF(AND(#REF!="Media",#REF!="Leve"),CONCATENATE("R",#REF!),"")</f>
        <v>#REF!</v>
      </c>
      <c r="O22" s="684"/>
      <c r="P22" s="682" t="e">
        <f>IF(AND(#REF!="Media",#REF!="Menor"),CONCATENATE("R",#REF!),"")</f>
        <v>#REF!</v>
      </c>
      <c r="Q22" s="683"/>
      <c r="R22" s="683" t="e">
        <f>IF(AND(#REF!="Media",#REF!="Menor"),CONCATENATE("R",#REF!),"")</f>
        <v>#REF!</v>
      </c>
      <c r="S22" s="683"/>
      <c r="T22" s="683" t="e">
        <f>IF(AND(#REF!="Media",#REF!="Menor"),CONCATENATE("R",#REF!),"")</f>
        <v>#REF!</v>
      </c>
      <c r="U22" s="684"/>
      <c r="V22" s="682" t="e">
        <f>IF(AND(#REF!="Media",#REF!="Moderado"),CONCATENATE("R",#REF!),"")</f>
        <v>#REF!</v>
      </c>
      <c r="W22" s="683"/>
      <c r="X22" s="683" t="e">
        <f>IF(AND(#REF!="Media",#REF!="Moderado"),CONCATENATE("R",#REF!),"")</f>
        <v>#REF!</v>
      </c>
      <c r="Y22" s="683"/>
      <c r="Z22" s="683" t="e">
        <f>IF(AND(#REF!="Media",#REF!="Moderado"),CONCATENATE("R",#REF!),"")</f>
        <v>#REF!</v>
      </c>
      <c r="AA22" s="684"/>
      <c r="AB22" s="700" t="e">
        <f>IF(AND(#REF!="Media",#REF!="Mayor"),CONCATENATE("R",#REF!),"")</f>
        <v>#REF!</v>
      </c>
      <c r="AC22" s="701"/>
      <c r="AD22" s="701" t="e">
        <f>IF(AND(#REF!="Media",#REF!="Mayor"),CONCATENATE("R",#REF!),"")</f>
        <v>#REF!</v>
      </c>
      <c r="AE22" s="701"/>
      <c r="AF22" s="701" t="e">
        <f>IF(AND(#REF!="Media",#REF!="Mayor"),CONCATENATE("R",#REF!),"")</f>
        <v>#REF!</v>
      </c>
      <c r="AG22" s="702"/>
      <c r="AH22" s="691" t="e">
        <f>IF(AND(#REF!="Media",#REF!="Catastrófico"),CONCATENATE("R",#REF!),"")</f>
        <v>#REF!</v>
      </c>
      <c r="AI22" s="692"/>
      <c r="AJ22" s="692" t="e">
        <f>IF(AND(#REF!="Media",#REF!="Catastrófico"),CONCATENATE("R",#REF!),"")</f>
        <v>#REF!</v>
      </c>
      <c r="AK22" s="692"/>
      <c r="AL22" s="692" t="e">
        <f>IF(AND(#REF!="Media",#REF!="Catastrófico"),CONCATENATE("R",#REF!),"")</f>
        <v>#REF!</v>
      </c>
      <c r="AM22" s="693"/>
      <c r="AN22" s="73"/>
      <c r="AO22" s="734" t="s">
        <v>26</v>
      </c>
      <c r="AP22" s="735"/>
      <c r="AQ22" s="735"/>
      <c r="AR22" s="735"/>
      <c r="AS22" s="735"/>
      <c r="AT22" s="736"/>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714"/>
      <c r="C23" s="714"/>
      <c r="D23" s="715"/>
      <c r="E23" s="707"/>
      <c r="F23" s="708"/>
      <c r="G23" s="708"/>
      <c r="H23" s="708"/>
      <c r="I23" s="709"/>
      <c r="J23" s="676"/>
      <c r="K23" s="677"/>
      <c r="L23" s="677"/>
      <c r="M23" s="677"/>
      <c r="N23" s="677"/>
      <c r="O23" s="678"/>
      <c r="P23" s="676"/>
      <c r="Q23" s="677"/>
      <c r="R23" s="677"/>
      <c r="S23" s="677"/>
      <c r="T23" s="677"/>
      <c r="U23" s="678"/>
      <c r="V23" s="676"/>
      <c r="W23" s="677"/>
      <c r="X23" s="677"/>
      <c r="Y23" s="677"/>
      <c r="Z23" s="677"/>
      <c r="AA23" s="678"/>
      <c r="AB23" s="694"/>
      <c r="AC23" s="695"/>
      <c r="AD23" s="695"/>
      <c r="AE23" s="695"/>
      <c r="AF23" s="695"/>
      <c r="AG23" s="696"/>
      <c r="AH23" s="685"/>
      <c r="AI23" s="686"/>
      <c r="AJ23" s="686"/>
      <c r="AK23" s="686"/>
      <c r="AL23" s="686"/>
      <c r="AM23" s="687"/>
      <c r="AN23" s="73"/>
      <c r="AO23" s="737"/>
      <c r="AP23" s="738"/>
      <c r="AQ23" s="738"/>
      <c r="AR23" s="738"/>
      <c r="AS23" s="738"/>
      <c r="AT23" s="739"/>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714"/>
      <c r="C24" s="714"/>
      <c r="D24" s="715"/>
      <c r="E24" s="707"/>
      <c r="F24" s="708"/>
      <c r="G24" s="708"/>
      <c r="H24" s="708"/>
      <c r="I24" s="709"/>
      <c r="J24" s="676" t="e">
        <f>IF(AND(#REF!="Media",#REF!="Leve"),CONCATENATE("R",#REF!),"")</f>
        <v>#REF!</v>
      </c>
      <c r="K24" s="677"/>
      <c r="L24" s="677" t="e">
        <f>IF(AND(#REF!="Media",#REF!="Leve"),CONCATENATE("R",#REF!),"")</f>
        <v>#REF!</v>
      </c>
      <c r="M24" s="677"/>
      <c r="N24" s="677" t="e">
        <f>IF(AND(#REF!="Media",#REF!="Leve"),CONCATENATE("R",#REF!),"")</f>
        <v>#REF!</v>
      </c>
      <c r="O24" s="678"/>
      <c r="P24" s="676" t="e">
        <f>IF(AND(#REF!="Media",#REF!="Menor"),CONCATENATE("R",#REF!),"")</f>
        <v>#REF!</v>
      </c>
      <c r="Q24" s="677"/>
      <c r="R24" s="677" t="e">
        <f>IF(AND(#REF!="Media",#REF!="Menor"),CONCATENATE("R",#REF!),"")</f>
        <v>#REF!</v>
      </c>
      <c r="S24" s="677"/>
      <c r="T24" s="677" t="e">
        <f>IF(AND(#REF!="Media",#REF!="Menor"),CONCATENATE("R",#REF!),"")</f>
        <v>#REF!</v>
      </c>
      <c r="U24" s="678"/>
      <c r="V24" s="676" t="e">
        <f>IF(AND(#REF!="Media",#REF!="Moderado"),CONCATENATE("R",#REF!),"")</f>
        <v>#REF!</v>
      </c>
      <c r="W24" s="677"/>
      <c r="X24" s="677" t="e">
        <f>IF(AND(#REF!="Media",#REF!="Moderado"),CONCATENATE("R",#REF!),"")</f>
        <v>#REF!</v>
      </c>
      <c r="Y24" s="677"/>
      <c r="Z24" s="677" t="e">
        <f>IF(AND(#REF!="Media",#REF!="Moderado"),CONCATENATE("R",#REF!),"")</f>
        <v>#REF!</v>
      </c>
      <c r="AA24" s="678"/>
      <c r="AB24" s="694" t="e">
        <f>IF(AND(#REF!="Media",#REF!="Mayor"),CONCATENATE("R",#REF!),"")</f>
        <v>#REF!</v>
      </c>
      <c r="AC24" s="695"/>
      <c r="AD24" s="695" t="e">
        <f>IF(AND(#REF!="Media",#REF!="Mayor"),CONCATENATE("R",#REF!),"")</f>
        <v>#REF!</v>
      </c>
      <c r="AE24" s="695"/>
      <c r="AF24" s="695" t="e">
        <f>IF(AND(#REF!="Media",#REF!="Mayor"),CONCATENATE("R",#REF!),"")</f>
        <v>#REF!</v>
      </c>
      <c r="AG24" s="696"/>
      <c r="AH24" s="685" t="e">
        <f>IF(AND(#REF!="Media",#REF!="Catastrófico"),CONCATENATE("R",#REF!),"")</f>
        <v>#REF!</v>
      </c>
      <c r="AI24" s="686"/>
      <c r="AJ24" s="686" t="e">
        <f>IF(AND(#REF!="Media",#REF!="Catastrófico"),CONCATENATE("R",#REF!),"")</f>
        <v>#REF!</v>
      </c>
      <c r="AK24" s="686"/>
      <c r="AL24" s="686" t="e">
        <f>IF(AND(#REF!="Media",#REF!="Catastrófico"),CONCATENATE("R",#REF!),"")</f>
        <v>#REF!</v>
      </c>
      <c r="AM24" s="687"/>
      <c r="AN24" s="73"/>
      <c r="AO24" s="737"/>
      <c r="AP24" s="738"/>
      <c r="AQ24" s="738"/>
      <c r="AR24" s="738"/>
      <c r="AS24" s="738"/>
      <c r="AT24" s="739"/>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714"/>
      <c r="C25" s="714"/>
      <c r="D25" s="715"/>
      <c r="E25" s="707"/>
      <c r="F25" s="708"/>
      <c r="G25" s="708"/>
      <c r="H25" s="708"/>
      <c r="I25" s="709"/>
      <c r="J25" s="676"/>
      <c r="K25" s="677"/>
      <c r="L25" s="677"/>
      <c r="M25" s="677"/>
      <c r="N25" s="677"/>
      <c r="O25" s="678"/>
      <c r="P25" s="676"/>
      <c r="Q25" s="677"/>
      <c r="R25" s="677"/>
      <c r="S25" s="677"/>
      <c r="T25" s="677"/>
      <c r="U25" s="678"/>
      <c r="V25" s="676"/>
      <c r="W25" s="677"/>
      <c r="X25" s="677"/>
      <c r="Y25" s="677"/>
      <c r="Z25" s="677"/>
      <c r="AA25" s="678"/>
      <c r="AB25" s="694"/>
      <c r="AC25" s="695"/>
      <c r="AD25" s="695"/>
      <c r="AE25" s="695"/>
      <c r="AF25" s="695"/>
      <c r="AG25" s="696"/>
      <c r="AH25" s="685"/>
      <c r="AI25" s="686"/>
      <c r="AJ25" s="686"/>
      <c r="AK25" s="686"/>
      <c r="AL25" s="686"/>
      <c r="AM25" s="687"/>
      <c r="AN25" s="73"/>
      <c r="AO25" s="737"/>
      <c r="AP25" s="738"/>
      <c r="AQ25" s="738"/>
      <c r="AR25" s="738"/>
      <c r="AS25" s="738"/>
      <c r="AT25" s="739"/>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714"/>
      <c r="C26" s="714"/>
      <c r="D26" s="715"/>
      <c r="E26" s="707"/>
      <c r="F26" s="708"/>
      <c r="G26" s="708"/>
      <c r="H26" s="708"/>
      <c r="I26" s="709"/>
      <c r="J26" s="676" t="e">
        <f>IF(AND(#REF!="Media",#REF!="Leve"),CONCATENATE("R",#REF!),"")</f>
        <v>#REF!</v>
      </c>
      <c r="K26" s="677"/>
      <c r="L26" s="677" t="e">
        <f>IF(AND(#REF!="Media",#REF!="Leve"),CONCATENATE("R",#REF!),"")</f>
        <v>#REF!</v>
      </c>
      <c r="M26" s="677"/>
      <c r="N26" s="677" t="e">
        <f>IF(AND(#REF!="Media",#REF!="Leve"),CONCATENATE("R",#REF!),"")</f>
        <v>#REF!</v>
      </c>
      <c r="O26" s="678"/>
      <c r="P26" s="676" t="e">
        <f>IF(AND(#REF!="Media",#REF!="Menor"),CONCATENATE("R",#REF!),"")</f>
        <v>#REF!</v>
      </c>
      <c r="Q26" s="677"/>
      <c r="R26" s="677" t="e">
        <f>IF(AND(#REF!="Media",#REF!="Menor"),CONCATENATE("R",#REF!),"")</f>
        <v>#REF!</v>
      </c>
      <c r="S26" s="677"/>
      <c r="T26" s="677" t="e">
        <f>IF(AND(#REF!="Media",#REF!="Menor"),CONCATENATE("R",#REF!),"")</f>
        <v>#REF!</v>
      </c>
      <c r="U26" s="678"/>
      <c r="V26" s="676" t="e">
        <f>IF(AND(#REF!="Media",#REF!="Moderado"),CONCATENATE("R",#REF!),"")</f>
        <v>#REF!</v>
      </c>
      <c r="W26" s="677"/>
      <c r="X26" s="677" t="e">
        <f>IF(AND(#REF!="Media",#REF!="Moderado"),CONCATENATE("R",#REF!),"")</f>
        <v>#REF!</v>
      </c>
      <c r="Y26" s="677"/>
      <c r="Z26" s="677" t="e">
        <f>IF(AND(#REF!="Media",#REF!="Moderado"),CONCATENATE("R",#REF!),"")</f>
        <v>#REF!</v>
      </c>
      <c r="AA26" s="678"/>
      <c r="AB26" s="694" t="e">
        <f>IF(AND(#REF!="Media",#REF!="Mayor"),CONCATENATE("R",#REF!),"")</f>
        <v>#REF!</v>
      </c>
      <c r="AC26" s="695"/>
      <c r="AD26" s="695" t="e">
        <f>IF(AND(#REF!="Media",#REF!="Mayor"),CONCATENATE("R",#REF!),"")</f>
        <v>#REF!</v>
      </c>
      <c r="AE26" s="695"/>
      <c r="AF26" s="695" t="e">
        <f>IF(AND(#REF!="Media",#REF!="Mayor"),CONCATENATE("R",#REF!),"")</f>
        <v>#REF!</v>
      </c>
      <c r="AG26" s="696"/>
      <c r="AH26" s="685" t="e">
        <f>IF(AND(#REF!="Media",#REF!="Catastrófico"),CONCATENATE("R",#REF!),"")</f>
        <v>#REF!</v>
      </c>
      <c r="AI26" s="686"/>
      <c r="AJ26" s="686" t="e">
        <f>IF(AND(#REF!="Media",#REF!="Catastrófico"),CONCATENATE("R",#REF!),"")</f>
        <v>#REF!</v>
      </c>
      <c r="AK26" s="686"/>
      <c r="AL26" s="686" t="e">
        <f>IF(AND(#REF!="Media",#REF!="Catastrófico"),CONCATENATE("R",#REF!),"")</f>
        <v>#REF!</v>
      </c>
      <c r="AM26" s="687"/>
      <c r="AN26" s="73"/>
      <c r="AO26" s="737"/>
      <c r="AP26" s="738"/>
      <c r="AQ26" s="738"/>
      <c r="AR26" s="738"/>
      <c r="AS26" s="738"/>
      <c r="AT26" s="739"/>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714"/>
      <c r="C27" s="714"/>
      <c r="D27" s="715"/>
      <c r="E27" s="707"/>
      <c r="F27" s="708"/>
      <c r="G27" s="708"/>
      <c r="H27" s="708"/>
      <c r="I27" s="709"/>
      <c r="J27" s="676"/>
      <c r="K27" s="677"/>
      <c r="L27" s="677"/>
      <c r="M27" s="677"/>
      <c r="N27" s="677"/>
      <c r="O27" s="678"/>
      <c r="P27" s="676"/>
      <c r="Q27" s="677"/>
      <c r="R27" s="677"/>
      <c r="S27" s="677"/>
      <c r="T27" s="677"/>
      <c r="U27" s="678"/>
      <c r="V27" s="676"/>
      <c r="W27" s="677"/>
      <c r="X27" s="677"/>
      <c r="Y27" s="677"/>
      <c r="Z27" s="677"/>
      <c r="AA27" s="678"/>
      <c r="AB27" s="694"/>
      <c r="AC27" s="695"/>
      <c r="AD27" s="695"/>
      <c r="AE27" s="695"/>
      <c r="AF27" s="695"/>
      <c r="AG27" s="696"/>
      <c r="AH27" s="685"/>
      <c r="AI27" s="686"/>
      <c r="AJ27" s="686"/>
      <c r="AK27" s="686"/>
      <c r="AL27" s="686"/>
      <c r="AM27" s="687"/>
      <c r="AN27" s="73"/>
      <c r="AO27" s="737"/>
      <c r="AP27" s="738"/>
      <c r="AQ27" s="738"/>
      <c r="AR27" s="738"/>
      <c r="AS27" s="738"/>
      <c r="AT27" s="739"/>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714"/>
      <c r="C28" s="714"/>
      <c r="D28" s="715"/>
      <c r="E28" s="707"/>
      <c r="F28" s="708"/>
      <c r="G28" s="708"/>
      <c r="H28" s="708"/>
      <c r="I28" s="709"/>
      <c r="J28" s="676" t="e">
        <f>IF(AND(#REF!="Media",#REF!="Leve"),CONCATENATE("R",#REF!),"")</f>
        <v>#REF!</v>
      </c>
      <c r="K28" s="677"/>
      <c r="L28" s="677" t="e">
        <f>IF(AND(#REF!="Media",#REF!="Leve"),CONCATENATE("R",#REF!),"")</f>
        <v>#REF!</v>
      </c>
      <c r="M28" s="677"/>
      <c r="N28" s="677" t="e">
        <f>IF(AND(#REF!="Media",#REF!="Leve"),CONCATENATE("R",#REF!),"")</f>
        <v>#REF!</v>
      </c>
      <c r="O28" s="678"/>
      <c r="P28" s="676" t="e">
        <f>IF(AND(#REF!="Media",#REF!="Menor"),CONCATENATE("R",#REF!),"")</f>
        <v>#REF!</v>
      </c>
      <c r="Q28" s="677"/>
      <c r="R28" s="677" t="e">
        <f>IF(AND(#REF!="Media",#REF!="Menor"),CONCATENATE("R",#REF!),"")</f>
        <v>#REF!</v>
      </c>
      <c r="S28" s="677"/>
      <c r="T28" s="677" t="e">
        <f>IF(AND(#REF!="Media",#REF!="Menor"),CONCATENATE("R",#REF!),"")</f>
        <v>#REF!</v>
      </c>
      <c r="U28" s="678"/>
      <c r="V28" s="676" t="e">
        <f>IF(AND(#REF!="Media",#REF!="Moderado"),CONCATENATE("R",#REF!),"")</f>
        <v>#REF!</v>
      </c>
      <c r="W28" s="677"/>
      <c r="X28" s="677" t="e">
        <f>IF(AND(#REF!="Media",#REF!="Moderado"),CONCATENATE("R",#REF!),"")</f>
        <v>#REF!</v>
      </c>
      <c r="Y28" s="677"/>
      <c r="Z28" s="677" t="e">
        <f>IF(AND(#REF!="Media",#REF!="Moderado"),CONCATENATE("R",#REF!),"")</f>
        <v>#REF!</v>
      </c>
      <c r="AA28" s="678"/>
      <c r="AB28" s="694" t="e">
        <f>IF(AND(#REF!="Media",#REF!="Mayor"),CONCATENATE("R",#REF!),"")</f>
        <v>#REF!</v>
      </c>
      <c r="AC28" s="695"/>
      <c r="AD28" s="695" t="e">
        <f>IF(AND(#REF!="Media",#REF!="Mayor"),CONCATENATE("R",#REF!),"")</f>
        <v>#REF!</v>
      </c>
      <c r="AE28" s="695"/>
      <c r="AF28" s="695" t="e">
        <f>IF(AND(#REF!="Media",#REF!="Mayor"),CONCATENATE("R",#REF!),"")</f>
        <v>#REF!</v>
      </c>
      <c r="AG28" s="696"/>
      <c r="AH28" s="685" t="e">
        <f>IF(AND(#REF!="Media",#REF!="Catastrófico"),CONCATENATE("R",#REF!),"")</f>
        <v>#REF!</v>
      </c>
      <c r="AI28" s="686"/>
      <c r="AJ28" s="686" t="e">
        <f>IF(AND(#REF!="Media",#REF!="Catastrófico"),CONCATENATE("R",#REF!),"")</f>
        <v>#REF!</v>
      </c>
      <c r="AK28" s="686"/>
      <c r="AL28" s="686" t="e">
        <f>IF(AND(#REF!="Media",#REF!="Catastrófico"),CONCATENATE("R",#REF!),"")</f>
        <v>#REF!</v>
      </c>
      <c r="AM28" s="687"/>
      <c r="AN28" s="73"/>
      <c r="AO28" s="737"/>
      <c r="AP28" s="738"/>
      <c r="AQ28" s="738"/>
      <c r="AR28" s="738"/>
      <c r="AS28" s="738"/>
      <c r="AT28" s="739"/>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714"/>
      <c r="C29" s="714"/>
      <c r="D29" s="715"/>
      <c r="E29" s="710"/>
      <c r="F29" s="711"/>
      <c r="G29" s="711"/>
      <c r="H29" s="711"/>
      <c r="I29" s="712"/>
      <c r="J29" s="676"/>
      <c r="K29" s="677"/>
      <c r="L29" s="677"/>
      <c r="M29" s="677"/>
      <c r="N29" s="677"/>
      <c r="O29" s="678"/>
      <c r="P29" s="679"/>
      <c r="Q29" s="680"/>
      <c r="R29" s="680"/>
      <c r="S29" s="680"/>
      <c r="T29" s="680"/>
      <c r="U29" s="681"/>
      <c r="V29" s="679"/>
      <c r="W29" s="680"/>
      <c r="X29" s="680"/>
      <c r="Y29" s="680"/>
      <c r="Z29" s="680"/>
      <c r="AA29" s="681"/>
      <c r="AB29" s="697"/>
      <c r="AC29" s="698"/>
      <c r="AD29" s="698"/>
      <c r="AE29" s="698"/>
      <c r="AF29" s="698"/>
      <c r="AG29" s="699"/>
      <c r="AH29" s="688"/>
      <c r="AI29" s="689"/>
      <c r="AJ29" s="689"/>
      <c r="AK29" s="689"/>
      <c r="AL29" s="689"/>
      <c r="AM29" s="690"/>
      <c r="AN29" s="73"/>
      <c r="AO29" s="740"/>
      <c r="AP29" s="741"/>
      <c r="AQ29" s="741"/>
      <c r="AR29" s="741"/>
      <c r="AS29" s="741"/>
      <c r="AT29" s="742"/>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714"/>
      <c r="C30" s="714"/>
      <c r="D30" s="715"/>
      <c r="E30" s="704" t="s">
        <v>357</v>
      </c>
      <c r="F30" s="705"/>
      <c r="G30" s="705"/>
      <c r="H30" s="705"/>
      <c r="I30" s="705"/>
      <c r="J30" s="673" t="e">
        <f>IF(AND(#REF!="Baja",#REF!="Leve"),CONCATENATE("R",#REF!),"")</f>
        <v>#REF!</v>
      </c>
      <c r="K30" s="674"/>
      <c r="L30" s="674" t="e">
        <f>IF(AND(#REF!="Baja",#REF!="Leve"),CONCATENATE("R",#REF!),"")</f>
        <v>#REF!</v>
      </c>
      <c r="M30" s="674"/>
      <c r="N30" s="674" t="e">
        <f>IF(AND(#REF!="Baja",#REF!="Leve"),CONCATENATE("R",#REF!),"")</f>
        <v>#REF!</v>
      </c>
      <c r="O30" s="675"/>
      <c r="P30" s="683" t="e">
        <f>IF(AND(#REF!="Baja",#REF!="Menor"),CONCATENATE("R",#REF!),"")</f>
        <v>#REF!</v>
      </c>
      <c r="Q30" s="683"/>
      <c r="R30" s="683" t="e">
        <f>IF(AND(#REF!="Baja",#REF!="Menor"),CONCATENATE("R",#REF!),"")</f>
        <v>#REF!</v>
      </c>
      <c r="S30" s="683"/>
      <c r="T30" s="683" t="e">
        <f>IF(AND(#REF!="Baja",#REF!="Menor"),CONCATENATE("R",#REF!),"")</f>
        <v>#REF!</v>
      </c>
      <c r="U30" s="684"/>
      <c r="V30" s="682" t="e">
        <f>IF(AND(#REF!="Baja",#REF!="Moderado"),CONCATENATE("R",#REF!),"")</f>
        <v>#REF!</v>
      </c>
      <c r="W30" s="683"/>
      <c r="X30" s="683" t="e">
        <f>IF(AND(#REF!="Baja",#REF!="Moderado"),CONCATENATE("R",#REF!),"")</f>
        <v>#REF!</v>
      </c>
      <c r="Y30" s="683"/>
      <c r="Z30" s="683" t="e">
        <f>IF(AND(#REF!="Baja",#REF!="Moderado"),CONCATENATE("R",#REF!),"")</f>
        <v>#REF!</v>
      </c>
      <c r="AA30" s="684"/>
      <c r="AB30" s="700" t="e">
        <f>IF(AND(#REF!="Baja",#REF!="Mayor"),CONCATENATE("R",#REF!),"")</f>
        <v>#REF!</v>
      </c>
      <c r="AC30" s="701"/>
      <c r="AD30" s="701" t="e">
        <f>IF(AND(#REF!="Baja",#REF!="Mayor"),CONCATENATE("R",#REF!),"")</f>
        <v>#REF!</v>
      </c>
      <c r="AE30" s="701"/>
      <c r="AF30" s="701" t="e">
        <f>IF(AND(#REF!="Baja",#REF!="Mayor"),CONCATENATE("R",#REF!),"")</f>
        <v>#REF!</v>
      </c>
      <c r="AG30" s="702"/>
      <c r="AH30" s="691" t="e">
        <f>IF(AND(#REF!="Baja",#REF!="Catastrófico"),CONCATENATE("R",#REF!),"")</f>
        <v>#REF!</v>
      </c>
      <c r="AI30" s="692"/>
      <c r="AJ30" s="692" t="e">
        <f>IF(AND(#REF!="Baja",#REF!="Catastrófico"),CONCATENATE("R",#REF!),"")</f>
        <v>#REF!</v>
      </c>
      <c r="AK30" s="692"/>
      <c r="AL30" s="692" t="e">
        <f>IF(AND(#REF!="Baja",#REF!="Catastrófico"),CONCATENATE("R",#REF!),"")</f>
        <v>#REF!</v>
      </c>
      <c r="AM30" s="693"/>
      <c r="AN30" s="73"/>
      <c r="AO30" s="743" t="s">
        <v>358</v>
      </c>
      <c r="AP30" s="744"/>
      <c r="AQ30" s="744"/>
      <c r="AR30" s="744"/>
      <c r="AS30" s="744"/>
      <c r="AT30" s="745"/>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714"/>
      <c r="C31" s="714"/>
      <c r="D31" s="715"/>
      <c r="E31" s="707"/>
      <c r="F31" s="708"/>
      <c r="G31" s="708"/>
      <c r="H31" s="708"/>
      <c r="I31" s="708"/>
      <c r="J31" s="667"/>
      <c r="K31" s="668"/>
      <c r="L31" s="668"/>
      <c r="M31" s="668"/>
      <c r="N31" s="668"/>
      <c r="O31" s="669"/>
      <c r="P31" s="677"/>
      <c r="Q31" s="677"/>
      <c r="R31" s="677"/>
      <c r="S31" s="677"/>
      <c r="T31" s="677"/>
      <c r="U31" s="678"/>
      <c r="V31" s="676"/>
      <c r="W31" s="677"/>
      <c r="X31" s="677"/>
      <c r="Y31" s="677"/>
      <c r="Z31" s="677"/>
      <c r="AA31" s="678"/>
      <c r="AB31" s="694"/>
      <c r="AC31" s="695"/>
      <c r="AD31" s="695"/>
      <c r="AE31" s="695"/>
      <c r="AF31" s="695"/>
      <c r="AG31" s="696"/>
      <c r="AH31" s="685"/>
      <c r="AI31" s="686"/>
      <c r="AJ31" s="686"/>
      <c r="AK31" s="686"/>
      <c r="AL31" s="686"/>
      <c r="AM31" s="687"/>
      <c r="AN31" s="73"/>
      <c r="AO31" s="746"/>
      <c r="AP31" s="747"/>
      <c r="AQ31" s="747"/>
      <c r="AR31" s="747"/>
      <c r="AS31" s="747"/>
      <c r="AT31" s="748"/>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714"/>
      <c r="C32" s="714"/>
      <c r="D32" s="715"/>
      <c r="E32" s="707"/>
      <c r="F32" s="708"/>
      <c r="G32" s="708"/>
      <c r="H32" s="708"/>
      <c r="I32" s="708"/>
      <c r="J32" s="667" t="e">
        <f>IF(AND(#REF!="Baja",#REF!="Leve"),CONCATENATE("R",#REF!),"")</f>
        <v>#REF!</v>
      </c>
      <c r="K32" s="668"/>
      <c r="L32" s="668" t="e">
        <f>IF(AND(#REF!="Baja",#REF!="Leve"),CONCATENATE("R",#REF!),"")</f>
        <v>#REF!</v>
      </c>
      <c r="M32" s="668"/>
      <c r="N32" s="668" t="e">
        <f>IF(AND(#REF!="Baja",#REF!="Leve"),CONCATENATE("R",#REF!),"")</f>
        <v>#REF!</v>
      </c>
      <c r="O32" s="669"/>
      <c r="P32" s="677" t="e">
        <f>IF(AND(#REF!="Baja",#REF!="Menor"),CONCATENATE("R",#REF!),"")</f>
        <v>#REF!</v>
      </c>
      <c r="Q32" s="677"/>
      <c r="R32" s="677" t="e">
        <f>IF(AND(#REF!="Baja",#REF!="Menor"),CONCATENATE("R",#REF!),"")</f>
        <v>#REF!</v>
      </c>
      <c r="S32" s="677"/>
      <c r="T32" s="677" t="e">
        <f>IF(AND(#REF!="Baja",#REF!="Menor"),CONCATENATE("R",#REF!),"")</f>
        <v>#REF!</v>
      </c>
      <c r="U32" s="678"/>
      <c r="V32" s="676" t="e">
        <f>IF(AND(#REF!="Baja",#REF!="Moderado"),CONCATENATE("R",#REF!),"")</f>
        <v>#REF!</v>
      </c>
      <c r="W32" s="677"/>
      <c r="X32" s="677" t="e">
        <f>IF(AND(#REF!="Baja",#REF!="Moderado"),CONCATENATE("R",#REF!),"")</f>
        <v>#REF!</v>
      </c>
      <c r="Y32" s="677"/>
      <c r="Z32" s="677" t="e">
        <f>IF(AND(#REF!="Baja",#REF!="Moderado"),CONCATENATE("R",#REF!),"")</f>
        <v>#REF!</v>
      </c>
      <c r="AA32" s="678"/>
      <c r="AB32" s="694" t="e">
        <f>IF(AND(#REF!="Baja",#REF!="Mayor"),CONCATENATE("R",#REF!),"")</f>
        <v>#REF!</v>
      </c>
      <c r="AC32" s="695"/>
      <c r="AD32" s="695" t="e">
        <f>IF(AND(#REF!="Baja",#REF!="Mayor"),CONCATENATE("R",#REF!),"")</f>
        <v>#REF!</v>
      </c>
      <c r="AE32" s="695"/>
      <c r="AF32" s="695" t="e">
        <f>IF(AND(#REF!="Baja",#REF!="Mayor"),CONCATENATE("R",#REF!),"")</f>
        <v>#REF!</v>
      </c>
      <c r="AG32" s="696"/>
      <c r="AH32" s="685" t="e">
        <f>IF(AND(#REF!="Baja",#REF!="Catastrófico"),CONCATENATE("R",#REF!),"")</f>
        <v>#REF!</v>
      </c>
      <c r="AI32" s="686"/>
      <c r="AJ32" s="686" t="e">
        <f>IF(AND(#REF!="Baja",#REF!="Catastrófico"),CONCATENATE("R",#REF!),"")</f>
        <v>#REF!</v>
      </c>
      <c r="AK32" s="686"/>
      <c r="AL32" s="686" t="e">
        <f>IF(AND(#REF!="Baja",#REF!="Catastrófico"),CONCATENATE("R",#REF!),"")</f>
        <v>#REF!</v>
      </c>
      <c r="AM32" s="687"/>
      <c r="AN32" s="73"/>
      <c r="AO32" s="746"/>
      <c r="AP32" s="747"/>
      <c r="AQ32" s="747"/>
      <c r="AR32" s="747"/>
      <c r="AS32" s="747"/>
      <c r="AT32" s="748"/>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714"/>
      <c r="C33" s="714"/>
      <c r="D33" s="715"/>
      <c r="E33" s="707"/>
      <c r="F33" s="708"/>
      <c r="G33" s="708"/>
      <c r="H33" s="708"/>
      <c r="I33" s="708"/>
      <c r="J33" s="667"/>
      <c r="K33" s="668"/>
      <c r="L33" s="668"/>
      <c r="M33" s="668"/>
      <c r="N33" s="668"/>
      <c r="O33" s="669"/>
      <c r="P33" s="677"/>
      <c r="Q33" s="677"/>
      <c r="R33" s="677"/>
      <c r="S33" s="677"/>
      <c r="T33" s="677"/>
      <c r="U33" s="678"/>
      <c r="V33" s="676"/>
      <c r="W33" s="677"/>
      <c r="X33" s="677"/>
      <c r="Y33" s="677"/>
      <c r="Z33" s="677"/>
      <c r="AA33" s="678"/>
      <c r="AB33" s="694"/>
      <c r="AC33" s="695"/>
      <c r="AD33" s="695"/>
      <c r="AE33" s="695"/>
      <c r="AF33" s="695"/>
      <c r="AG33" s="696"/>
      <c r="AH33" s="685"/>
      <c r="AI33" s="686"/>
      <c r="AJ33" s="686"/>
      <c r="AK33" s="686"/>
      <c r="AL33" s="686"/>
      <c r="AM33" s="687"/>
      <c r="AN33" s="73"/>
      <c r="AO33" s="746"/>
      <c r="AP33" s="747"/>
      <c r="AQ33" s="747"/>
      <c r="AR33" s="747"/>
      <c r="AS33" s="747"/>
      <c r="AT33" s="748"/>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714"/>
      <c r="C34" s="714"/>
      <c r="D34" s="715"/>
      <c r="E34" s="707"/>
      <c r="F34" s="708"/>
      <c r="G34" s="708"/>
      <c r="H34" s="708"/>
      <c r="I34" s="708"/>
      <c r="J34" s="667" t="e">
        <f>IF(AND(#REF!="Baja",#REF!="Leve"),CONCATENATE("R",#REF!),"")</f>
        <v>#REF!</v>
      </c>
      <c r="K34" s="668"/>
      <c r="L34" s="668" t="e">
        <f>IF(AND(#REF!="Baja",#REF!="Leve"),CONCATENATE("R",#REF!),"")</f>
        <v>#REF!</v>
      </c>
      <c r="M34" s="668"/>
      <c r="N34" s="668" t="e">
        <f>IF(AND(#REF!="Baja",#REF!="Leve"),CONCATENATE("R",#REF!),"")</f>
        <v>#REF!</v>
      </c>
      <c r="O34" s="669"/>
      <c r="P34" s="677" t="e">
        <f>IF(AND(#REF!="Baja",#REF!="Menor"),CONCATENATE("R",#REF!),"")</f>
        <v>#REF!</v>
      </c>
      <c r="Q34" s="677"/>
      <c r="R34" s="677" t="e">
        <f>IF(AND(#REF!="Baja",#REF!="Menor"),CONCATENATE("R",#REF!),"")</f>
        <v>#REF!</v>
      </c>
      <c r="S34" s="677"/>
      <c r="T34" s="677" t="e">
        <f>IF(AND(#REF!="Baja",#REF!="Menor"),CONCATENATE("R",#REF!),"")</f>
        <v>#REF!</v>
      </c>
      <c r="U34" s="678"/>
      <c r="V34" s="676" t="e">
        <f>IF(AND(#REF!="Baja",#REF!="Moderado"),CONCATENATE("R",#REF!),"")</f>
        <v>#REF!</v>
      </c>
      <c r="W34" s="677"/>
      <c r="X34" s="677" t="e">
        <f>IF(AND(#REF!="Baja",#REF!="Moderado"),CONCATENATE("R",#REF!),"")</f>
        <v>#REF!</v>
      </c>
      <c r="Y34" s="677"/>
      <c r="Z34" s="677" t="e">
        <f>IF(AND(#REF!="Baja",#REF!="Moderado"),CONCATENATE("R",#REF!),"")</f>
        <v>#REF!</v>
      </c>
      <c r="AA34" s="678"/>
      <c r="AB34" s="694" t="e">
        <f>IF(AND(#REF!="Baja",#REF!="Mayor"),CONCATENATE("R",#REF!),"")</f>
        <v>#REF!</v>
      </c>
      <c r="AC34" s="695"/>
      <c r="AD34" s="695" t="e">
        <f>IF(AND(#REF!="Baja",#REF!="Mayor"),CONCATENATE("R",#REF!),"")</f>
        <v>#REF!</v>
      </c>
      <c r="AE34" s="695"/>
      <c r="AF34" s="695" t="e">
        <f>IF(AND(#REF!="Baja",#REF!="Mayor"),CONCATENATE("R",#REF!),"")</f>
        <v>#REF!</v>
      </c>
      <c r="AG34" s="696"/>
      <c r="AH34" s="685" t="e">
        <f>IF(AND(#REF!="Baja",#REF!="Catastrófico"),CONCATENATE("R",#REF!),"")</f>
        <v>#REF!</v>
      </c>
      <c r="AI34" s="686"/>
      <c r="AJ34" s="686" t="e">
        <f>IF(AND(#REF!="Baja",#REF!="Catastrófico"),CONCATENATE("R",#REF!),"")</f>
        <v>#REF!</v>
      </c>
      <c r="AK34" s="686"/>
      <c r="AL34" s="686" t="e">
        <f>IF(AND(#REF!="Baja",#REF!="Catastrófico"),CONCATENATE("R",#REF!),"")</f>
        <v>#REF!</v>
      </c>
      <c r="AM34" s="687"/>
      <c r="AN34" s="73"/>
      <c r="AO34" s="746"/>
      <c r="AP34" s="747"/>
      <c r="AQ34" s="747"/>
      <c r="AR34" s="747"/>
      <c r="AS34" s="747"/>
      <c r="AT34" s="748"/>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714"/>
      <c r="C35" s="714"/>
      <c r="D35" s="715"/>
      <c r="E35" s="707"/>
      <c r="F35" s="708"/>
      <c r="G35" s="708"/>
      <c r="H35" s="708"/>
      <c r="I35" s="708"/>
      <c r="J35" s="667"/>
      <c r="K35" s="668"/>
      <c r="L35" s="668"/>
      <c r="M35" s="668"/>
      <c r="N35" s="668"/>
      <c r="O35" s="669"/>
      <c r="P35" s="677"/>
      <c r="Q35" s="677"/>
      <c r="R35" s="677"/>
      <c r="S35" s="677"/>
      <c r="T35" s="677"/>
      <c r="U35" s="678"/>
      <c r="V35" s="676"/>
      <c r="W35" s="677"/>
      <c r="X35" s="677"/>
      <c r="Y35" s="677"/>
      <c r="Z35" s="677"/>
      <c r="AA35" s="678"/>
      <c r="AB35" s="694"/>
      <c r="AC35" s="695"/>
      <c r="AD35" s="695"/>
      <c r="AE35" s="695"/>
      <c r="AF35" s="695"/>
      <c r="AG35" s="696"/>
      <c r="AH35" s="685"/>
      <c r="AI35" s="686"/>
      <c r="AJ35" s="686"/>
      <c r="AK35" s="686"/>
      <c r="AL35" s="686"/>
      <c r="AM35" s="687"/>
      <c r="AN35" s="73"/>
      <c r="AO35" s="746"/>
      <c r="AP35" s="747"/>
      <c r="AQ35" s="747"/>
      <c r="AR35" s="747"/>
      <c r="AS35" s="747"/>
      <c r="AT35" s="748"/>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714"/>
      <c r="C36" s="714"/>
      <c r="D36" s="715"/>
      <c r="E36" s="707"/>
      <c r="F36" s="708"/>
      <c r="G36" s="708"/>
      <c r="H36" s="708"/>
      <c r="I36" s="708"/>
      <c r="J36" s="667" t="e">
        <f>IF(AND(#REF!="Baja",#REF!="Leve"),CONCATENATE("R",#REF!),"")</f>
        <v>#REF!</v>
      </c>
      <c r="K36" s="668"/>
      <c r="L36" s="668" t="e">
        <f>IF(AND(#REF!="Baja",#REF!="Leve"),CONCATENATE("R",#REF!),"")</f>
        <v>#REF!</v>
      </c>
      <c r="M36" s="668"/>
      <c r="N36" s="668" t="e">
        <f>IF(AND(#REF!="Baja",#REF!="Leve"),CONCATENATE("R",#REF!),"")</f>
        <v>#REF!</v>
      </c>
      <c r="O36" s="669"/>
      <c r="P36" s="677" t="e">
        <f>IF(AND(#REF!="Baja",#REF!="Menor"),CONCATENATE("R",#REF!),"")</f>
        <v>#REF!</v>
      </c>
      <c r="Q36" s="677"/>
      <c r="R36" s="677" t="e">
        <f>IF(AND(#REF!="Baja",#REF!="Menor"),CONCATENATE("R",#REF!),"")</f>
        <v>#REF!</v>
      </c>
      <c r="S36" s="677"/>
      <c r="T36" s="677" t="e">
        <f>IF(AND(#REF!="Baja",#REF!="Menor"),CONCATENATE("R",#REF!),"")</f>
        <v>#REF!</v>
      </c>
      <c r="U36" s="678"/>
      <c r="V36" s="676" t="e">
        <f>IF(AND(#REF!="Baja",#REF!="Moderado"),CONCATENATE("R",#REF!),"")</f>
        <v>#REF!</v>
      </c>
      <c r="W36" s="677"/>
      <c r="X36" s="677" t="e">
        <f>IF(AND(#REF!="Baja",#REF!="Moderado"),CONCATENATE("R",#REF!),"")</f>
        <v>#REF!</v>
      </c>
      <c r="Y36" s="677"/>
      <c r="Z36" s="677" t="e">
        <f>IF(AND(#REF!="Baja",#REF!="Moderado"),CONCATENATE("R",#REF!),"")</f>
        <v>#REF!</v>
      </c>
      <c r="AA36" s="678"/>
      <c r="AB36" s="694" t="e">
        <f>IF(AND(#REF!="Baja",#REF!="Mayor"),CONCATENATE("R",#REF!),"")</f>
        <v>#REF!</v>
      </c>
      <c r="AC36" s="695"/>
      <c r="AD36" s="695" t="e">
        <f>IF(AND(#REF!="Baja",#REF!="Mayor"),CONCATENATE("R",#REF!),"")</f>
        <v>#REF!</v>
      </c>
      <c r="AE36" s="695"/>
      <c r="AF36" s="695" t="e">
        <f>IF(AND(#REF!="Baja",#REF!="Mayor"),CONCATENATE("R",#REF!),"")</f>
        <v>#REF!</v>
      </c>
      <c r="AG36" s="696"/>
      <c r="AH36" s="685" t="e">
        <f>IF(AND(#REF!="Baja",#REF!="Catastrófico"),CONCATENATE("R",#REF!),"")</f>
        <v>#REF!</v>
      </c>
      <c r="AI36" s="686"/>
      <c r="AJ36" s="686" t="e">
        <f>IF(AND(#REF!="Baja",#REF!="Catastrófico"),CONCATENATE("R",#REF!),"")</f>
        <v>#REF!</v>
      </c>
      <c r="AK36" s="686"/>
      <c r="AL36" s="686" t="e">
        <f>IF(AND(#REF!="Baja",#REF!="Catastrófico"),CONCATENATE("R",#REF!),"")</f>
        <v>#REF!</v>
      </c>
      <c r="AM36" s="687"/>
      <c r="AN36" s="73"/>
      <c r="AO36" s="746"/>
      <c r="AP36" s="747"/>
      <c r="AQ36" s="747"/>
      <c r="AR36" s="747"/>
      <c r="AS36" s="747"/>
      <c r="AT36" s="748"/>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714"/>
      <c r="C37" s="714"/>
      <c r="D37" s="715"/>
      <c r="E37" s="710"/>
      <c r="F37" s="711"/>
      <c r="G37" s="711"/>
      <c r="H37" s="711"/>
      <c r="I37" s="711"/>
      <c r="J37" s="670"/>
      <c r="K37" s="671"/>
      <c r="L37" s="671"/>
      <c r="M37" s="671"/>
      <c r="N37" s="671"/>
      <c r="O37" s="672"/>
      <c r="P37" s="680"/>
      <c r="Q37" s="680"/>
      <c r="R37" s="680"/>
      <c r="S37" s="680"/>
      <c r="T37" s="680"/>
      <c r="U37" s="681"/>
      <c r="V37" s="679"/>
      <c r="W37" s="680"/>
      <c r="X37" s="680"/>
      <c r="Y37" s="680"/>
      <c r="Z37" s="680"/>
      <c r="AA37" s="681"/>
      <c r="AB37" s="697"/>
      <c r="AC37" s="698"/>
      <c r="AD37" s="698"/>
      <c r="AE37" s="698"/>
      <c r="AF37" s="698"/>
      <c r="AG37" s="699"/>
      <c r="AH37" s="688"/>
      <c r="AI37" s="689"/>
      <c r="AJ37" s="689"/>
      <c r="AK37" s="689"/>
      <c r="AL37" s="689"/>
      <c r="AM37" s="690"/>
      <c r="AN37" s="73"/>
      <c r="AO37" s="749"/>
      <c r="AP37" s="750"/>
      <c r="AQ37" s="750"/>
      <c r="AR37" s="750"/>
      <c r="AS37" s="750"/>
      <c r="AT37" s="751"/>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714"/>
      <c r="C38" s="714"/>
      <c r="D38" s="715"/>
      <c r="E38" s="704" t="s">
        <v>359</v>
      </c>
      <c r="F38" s="705"/>
      <c r="G38" s="705"/>
      <c r="H38" s="705"/>
      <c r="I38" s="706"/>
      <c r="J38" s="673" t="e">
        <f>IF(AND(#REF!="Muy Baja",#REF!="Leve"),CONCATENATE("R",#REF!),"")</f>
        <v>#REF!</v>
      </c>
      <c r="K38" s="674"/>
      <c r="L38" s="674" t="e">
        <f>IF(AND(#REF!="Muy Baja",#REF!="Leve"),CONCATENATE("R",#REF!),"")</f>
        <v>#REF!</v>
      </c>
      <c r="M38" s="674"/>
      <c r="N38" s="674" t="e">
        <f>IF(AND(#REF!="Muy Baja",#REF!="Leve"),CONCATENATE("R",#REF!),"")</f>
        <v>#REF!</v>
      </c>
      <c r="O38" s="675"/>
      <c r="P38" s="673" t="e">
        <f>IF(AND(#REF!="Muy Baja",#REF!="Menor"),CONCATENATE("R",#REF!),"")</f>
        <v>#REF!</v>
      </c>
      <c r="Q38" s="674"/>
      <c r="R38" s="674" t="e">
        <f>IF(AND(#REF!="Muy Baja",#REF!="Menor"),CONCATENATE("R",#REF!),"")</f>
        <v>#REF!</v>
      </c>
      <c r="S38" s="674"/>
      <c r="T38" s="674" t="e">
        <f>IF(AND(#REF!="Muy Baja",#REF!="Menor"),CONCATENATE("R",#REF!),"")</f>
        <v>#REF!</v>
      </c>
      <c r="U38" s="675"/>
      <c r="V38" s="682" t="e">
        <f>IF(AND(#REF!="Muy Baja",#REF!="Moderado"),CONCATENATE("R",#REF!),"")</f>
        <v>#REF!</v>
      </c>
      <c r="W38" s="683"/>
      <c r="X38" s="683" t="e">
        <f>IF(AND(#REF!="Muy Baja",#REF!="Moderado"),CONCATENATE("R",#REF!),"")</f>
        <v>#REF!</v>
      </c>
      <c r="Y38" s="683"/>
      <c r="Z38" s="683" t="e">
        <f>IF(AND(#REF!="Muy Baja",#REF!="Moderado"),CONCATENATE("R",#REF!),"")</f>
        <v>#REF!</v>
      </c>
      <c r="AA38" s="684"/>
      <c r="AB38" s="700" t="e">
        <f>IF(AND(#REF!="Muy Baja",#REF!="Mayor"),CONCATENATE("R",#REF!),"")</f>
        <v>#REF!</v>
      </c>
      <c r="AC38" s="701"/>
      <c r="AD38" s="701" t="e">
        <f>IF(AND(#REF!="Muy Baja",#REF!="Mayor"),CONCATENATE("R",#REF!),"")</f>
        <v>#REF!</v>
      </c>
      <c r="AE38" s="701"/>
      <c r="AF38" s="701" t="e">
        <f>IF(AND(#REF!="Muy Baja",#REF!="Mayor"),CONCATENATE("R",#REF!),"")</f>
        <v>#REF!</v>
      </c>
      <c r="AG38" s="702"/>
      <c r="AH38" s="691" t="e">
        <f>IF(AND(#REF!="Muy Baja",#REF!="Catastrófico"),CONCATENATE("R",#REF!),"")</f>
        <v>#REF!</v>
      </c>
      <c r="AI38" s="692"/>
      <c r="AJ38" s="692" t="e">
        <f>IF(AND(#REF!="Muy Baja",#REF!="Catastrófico"),CONCATENATE("R",#REF!),"")</f>
        <v>#REF!</v>
      </c>
      <c r="AK38" s="692"/>
      <c r="AL38" s="692" t="e">
        <f>IF(AND(#REF!="Muy Baja",#REF!="Catastrófico"),CONCATENATE("R",#REF!),"")</f>
        <v>#REF!</v>
      </c>
      <c r="AM38" s="69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714"/>
      <c r="C39" s="714"/>
      <c r="D39" s="715"/>
      <c r="E39" s="707"/>
      <c r="F39" s="708"/>
      <c r="G39" s="708"/>
      <c r="H39" s="708"/>
      <c r="I39" s="709"/>
      <c r="J39" s="667"/>
      <c r="K39" s="668"/>
      <c r="L39" s="668"/>
      <c r="M39" s="668"/>
      <c r="N39" s="668"/>
      <c r="O39" s="669"/>
      <c r="P39" s="667"/>
      <c r="Q39" s="668"/>
      <c r="R39" s="668"/>
      <c r="S39" s="668"/>
      <c r="T39" s="668"/>
      <c r="U39" s="669"/>
      <c r="V39" s="676"/>
      <c r="W39" s="677"/>
      <c r="X39" s="677"/>
      <c r="Y39" s="677"/>
      <c r="Z39" s="677"/>
      <c r="AA39" s="678"/>
      <c r="AB39" s="694"/>
      <c r="AC39" s="695"/>
      <c r="AD39" s="695"/>
      <c r="AE39" s="695"/>
      <c r="AF39" s="695"/>
      <c r="AG39" s="696"/>
      <c r="AH39" s="685"/>
      <c r="AI39" s="686"/>
      <c r="AJ39" s="686"/>
      <c r="AK39" s="686"/>
      <c r="AL39" s="686"/>
      <c r="AM39" s="687"/>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714"/>
      <c r="C40" s="714"/>
      <c r="D40" s="715"/>
      <c r="E40" s="707"/>
      <c r="F40" s="708"/>
      <c r="G40" s="708"/>
      <c r="H40" s="708"/>
      <c r="I40" s="709"/>
      <c r="J40" s="667" t="e">
        <f>IF(AND(#REF!="Muy Baja",#REF!="Leve"),CONCATENATE("R",#REF!),"")</f>
        <v>#REF!</v>
      </c>
      <c r="K40" s="668"/>
      <c r="L40" s="668" t="e">
        <f>IF(AND(#REF!="Muy Baja",#REF!="Leve"),CONCATENATE("R",#REF!),"")</f>
        <v>#REF!</v>
      </c>
      <c r="M40" s="668"/>
      <c r="N40" s="668" t="e">
        <f>IF(AND(#REF!="Muy Baja",#REF!="Leve"),CONCATENATE("R",#REF!),"")</f>
        <v>#REF!</v>
      </c>
      <c r="O40" s="669"/>
      <c r="P40" s="667" t="e">
        <f>IF(AND(#REF!="Muy Baja",#REF!="Menor"),CONCATENATE("R",#REF!),"")</f>
        <v>#REF!</v>
      </c>
      <c r="Q40" s="668"/>
      <c r="R40" s="668" t="e">
        <f>IF(AND(#REF!="Muy Baja",#REF!="Menor"),CONCATENATE("R",#REF!),"")</f>
        <v>#REF!</v>
      </c>
      <c r="S40" s="668"/>
      <c r="T40" s="668" t="e">
        <f>IF(AND(#REF!="Muy Baja",#REF!="Menor"),CONCATENATE("R",#REF!),"")</f>
        <v>#REF!</v>
      </c>
      <c r="U40" s="669"/>
      <c r="V40" s="676" t="e">
        <f>IF(AND(#REF!="Muy Baja",#REF!="Moderado"),CONCATENATE("R",#REF!),"")</f>
        <v>#REF!</v>
      </c>
      <c r="W40" s="677"/>
      <c r="X40" s="677" t="e">
        <f>IF(AND(#REF!="Muy Baja",#REF!="Moderado"),CONCATENATE("R",#REF!),"")</f>
        <v>#REF!</v>
      </c>
      <c r="Y40" s="677"/>
      <c r="Z40" s="677" t="e">
        <f>IF(AND(#REF!="Muy Baja",#REF!="Moderado"),CONCATENATE("R",#REF!),"")</f>
        <v>#REF!</v>
      </c>
      <c r="AA40" s="678"/>
      <c r="AB40" s="694" t="e">
        <f>IF(AND(#REF!="Muy Baja",#REF!="Mayor"),CONCATENATE("R",#REF!),"")</f>
        <v>#REF!</v>
      </c>
      <c r="AC40" s="695"/>
      <c r="AD40" s="695" t="e">
        <f>IF(AND(#REF!="Muy Baja",#REF!="Mayor"),CONCATENATE("R",#REF!),"")</f>
        <v>#REF!</v>
      </c>
      <c r="AE40" s="695"/>
      <c r="AF40" s="695" t="e">
        <f>IF(AND(#REF!="Muy Baja",#REF!="Mayor"),CONCATENATE("R",#REF!),"")</f>
        <v>#REF!</v>
      </c>
      <c r="AG40" s="696"/>
      <c r="AH40" s="685" t="e">
        <f>IF(AND(#REF!="Muy Baja",#REF!="Catastrófico"),CONCATENATE("R",#REF!),"")</f>
        <v>#REF!</v>
      </c>
      <c r="AI40" s="686"/>
      <c r="AJ40" s="686" t="e">
        <f>IF(AND(#REF!="Muy Baja",#REF!="Catastrófico"),CONCATENATE("R",#REF!),"")</f>
        <v>#REF!</v>
      </c>
      <c r="AK40" s="686"/>
      <c r="AL40" s="686" t="e">
        <f>IF(AND(#REF!="Muy Baja",#REF!="Catastrófico"),CONCATENATE("R",#REF!),"")</f>
        <v>#REF!</v>
      </c>
      <c r="AM40" s="687"/>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714"/>
      <c r="C41" s="714"/>
      <c r="D41" s="715"/>
      <c r="E41" s="707"/>
      <c r="F41" s="708"/>
      <c r="G41" s="708"/>
      <c r="H41" s="708"/>
      <c r="I41" s="709"/>
      <c r="J41" s="667"/>
      <c r="K41" s="668"/>
      <c r="L41" s="668"/>
      <c r="M41" s="668"/>
      <c r="N41" s="668"/>
      <c r="O41" s="669"/>
      <c r="P41" s="667"/>
      <c r="Q41" s="668"/>
      <c r="R41" s="668"/>
      <c r="S41" s="668"/>
      <c r="T41" s="668"/>
      <c r="U41" s="669"/>
      <c r="V41" s="676"/>
      <c r="W41" s="677"/>
      <c r="X41" s="677"/>
      <c r="Y41" s="677"/>
      <c r="Z41" s="677"/>
      <c r="AA41" s="678"/>
      <c r="AB41" s="694"/>
      <c r="AC41" s="695"/>
      <c r="AD41" s="695"/>
      <c r="AE41" s="695"/>
      <c r="AF41" s="695"/>
      <c r="AG41" s="696"/>
      <c r="AH41" s="685"/>
      <c r="AI41" s="686"/>
      <c r="AJ41" s="686"/>
      <c r="AK41" s="686"/>
      <c r="AL41" s="686"/>
      <c r="AM41" s="687"/>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714"/>
      <c r="C42" s="714"/>
      <c r="D42" s="715"/>
      <c r="E42" s="707"/>
      <c r="F42" s="708"/>
      <c r="G42" s="708"/>
      <c r="H42" s="708"/>
      <c r="I42" s="709"/>
      <c r="J42" s="667" t="e">
        <f>IF(AND(#REF!="Muy Baja",#REF!="Leve"),CONCATENATE("R",#REF!),"")</f>
        <v>#REF!</v>
      </c>
      <c r="K42" s="668"/>
      <c r="L42" s="668" t="e">
        <f>IF(AND(#REF!="Muy Baja",#REF!="Leve"),CONCATENATE("R",#REF!),"")</f>
        <v>#REF!</v>
      </c>
      <c r="M42" s="668"/>
      <c r="N42" s="668" t="e">
        <f>IF(AND(#REF!="Muy Baja",#REF!="Leve"),CONCATENATE("R",#REF!),"")</f>
        <v>#REF!</v>
      </c>
      <c r="O42" s="669"/>
      <c r="P42" s="667" t="e">
        <f>IF(AND(#REF!="Muy Baja",#REF!="Menor"),CONCATENATE("R",#REF!),"")</f>
        <v>#REF!</v>
      </c>
      <c r="Q42" s="668"/>
      <c r="R42" s="668" t="e">
        <f>IF(AND(#REF!="Muy Baja",#REF!="Menor"),CONCATENATE("R",#REF!),"")</f>
        <v>#REF!</v>
      </c>
      <c r="S42" s="668"/>
      <c r="T42" s="668" t="e">
        <f>IF(AND(#REF!="Muy Baja",#REF!="Menor"),CONCATENATE("R",#REF!),"")</f>
        <v>#REF!</v>
      </c>
      <c r="U42" s="669"/>
      <c r="V42" s="676" t="e">
        <f>IF(AND(#REF!="Muy Baja",#REF!="Moderado"),CONCATENATE("R",#REF!),"")</f>
        <v>#REF!</v>
      </c>
      <c r="W42" s="677"/>
      <c r="X42" s="677" t="e">
        <f>IF(AND(#REF!="Muy Baja",#REF!="Moderado"),CONCATENATE("R",#REF!),"")</f>
        <v>#REF!</v>
      </c>
      <c r="Y42" s="677"/>
      <c r="Z42" s="677" t="e">
        <f>IF(AND(#REF!="Muy Baja",#REF!="Moderado"),CONCATENATE("R",#REF!),"")</f>
        <v>#REF!</v>
      </c>
      <c r="AA42" s="678"/>
      <c r="AB42" s="694" t="e">
        <f>IF(AND(#REF!="Muy Baja",#REF!="Mayor"),CONCATENATE("R",#REF!),"")</f>
        <v>#REF!</v>
      </c>
      <c r="AC42" s="695"/>
      <c r="AD42" s="695" t="e">
        <f>IF(AND(#REF!="Muy Baja",#REF!="Mayor"),CONCATENATE("R",#REF!),"")</f>
        <v>#REF!</v>
      </c>
      <c r="AE42" s="695"/>
      <c r="AF42" s="695" t="e">
        <f>IF(AND(#REF!="Muy Baja",#REF!="Mayor"),CONCATENATE("R",#REF!),"")</f>
        <v>#REF!</v>
      </c>
      <c r="AG42" s="696"/>
      <c r="AH42" s="685" t="e">
        <f>IF(AND(#REF!="Muy Baja",#REF!="Catastrófico"),CONCATENATE("R",#REF!),"")</f>
        <v>#REF!</v>
      </c>
      <c r="AI42" s="686"/>
      <c r="AJ42" s="686" t="e">
        <f>IF(AND(#REF!="Muy Baja",#REF!="Catastrófico"),CONCATENATE("R",#REF!),"")</f>
        <v>#REF!</v>
      </c>
      <c r="AK42" s="686"/>
      <c r="AL42" s="686" t="e">
        <f>IF(AND(#REF!="Muy Baja",#REF!="Catastrófico"),CONCATENATE("R",#REF!),"")</f>
        <v>#REF!</v>
      </c>
      <c r="AM42" s="687"/>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714"/>
      <c r="C43" s="714"/>
      <c r="D43" s="715"/>
      <c r="E43" s="707"/>
      <c r="F43" s="708"/>
      <c r="G43" s="708"/>
      <c r="H43" s="708"/>
      <c r="I43" s="709"/>
      <c r="J43" s="667"/>
      <c r="K43" s="668"/>
      <c r="L43" s="668"/>
      <c r="M43" s="668"/>
      <c r="N43" s="668"/>
      <c r="O43" s="669"/>
      <c r="P43" s="667"/>
      <c r="Q43" s="668"/>
      <c r="R43" s="668"/>
      <c r="S43" s="668"/>
      <c r="T43" s="668"/>
      <c r="U43" s="669"/>
      <c r="V43" s="676"/>
      <c r="W43" s="677"/>
      <c r="X43" s="677"/>
      <c r="Y43" s="677"/>
      <c r="Z43" s="677"/>
      <c r="AA43" s="678"/>
      <c r="AB43" s="694"/>
      <c r="AC43" s="695"/>
      <c r="AD43" s="695"/>
      <c r="AE43" s="695"/>
      <c r="AF43" s="695"/>
      <c r="AG43" s="696"/>
      <c r="AH43" s="685"/>
      <c r="AI43" s="686"/>
      <c r="AJ43" s="686"/>
      <c r="AK43" s="686"/>
      <c r="AL43" s="686"/>
      <c r="AM43" s="687"/>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714"/>
      <c r="C44" s="714"/>
      <c r="D44" s="715"/>
      <c r="E44" s="707"/>
      <c r="F44" s="708"/>
      <c r="G44" s="708"/>
      <c r="H44" s="708"/>
      <c r="I44" s="709"/>
      <c r="J44" s="667" t="e">
        <f>IF(AND(#REF!="Muy Baja",#REF!="Leve"),CONCATENATE("R",#REF!),"")</f>
        <v>#REF!</v>
      </c>
      <c r="K44" s="668"/>
      <c r="L44" s="668" t="e">
        <f>IF(AND(#REF!="Muy Baja",#REF!="Leve"),CONCATENATE("R",#REF!),"")</f>
        <v>#REF!</v>
      </c>
      <c r="M44" s="668"/>
      <c r="N44" s="668" t="e">
        <f>IF(AND(#REF!="Muy Baja",#REF!="Leve"),CONCATENATE("R",#REF!),"")</f>
        <v>#REF!</v>
      </c>
      <c r="O44" s="669"/>
      <c r="P44" s="667" t="e">
        <f>IF(AND(#REF!="Muy Baja",#REF!="Menor"),CONCATENATE("R",#REF!),"")</f>
        <v>#REF!</v>
      </c>
      <c r="Q44" s="668"/>
      <c r="R44" s="668" t="e">
        <f>IF(AND(#REF!="Muy Baja",#REF!="Menor"),CONCATENATE("R",#REF!),"")</f>
        <v>#REF!</v>
      </c>
      <c r="S44" s="668"/>
      <c r="T44" s="668" t="e">
        <f>IF(AND(#REF!="Muy Baja",#REF!="Menor"),CONCATENATE("R",#REF!),"")</f>
        <v>#REF!</v>
      </c>
      <c r="U44" s="669"/>
      <c r="V44" s="676" t="e">
        <f>IF(AND(#REF!="Muy Baja",#REF!="Moderado"),CONCATENATE("R",#REF!),"")</f>
        <v>#REF!</v>
      </c>
      <c r="W44" s="677"/>
      <c r="X44" s="677" t="e">
        <f>IF(AND(#REF!="Muy Baja",#REF!="Moderado"),CONCATENATE("R",#REF!),"")</f>
        <v>#REF!</v>
      </c>
      <c r="Y44" s="677"/>
      <c r="Z44" s="677" t="e">
        <f>IF(AND(#REF!="Muy Baja",#REF!="Moderado"),CONCATENATE("R",#REF!),"")</f>
        <v>#REF!</v>
      </c>
      <c r="AA44" s="678"/>
      <c r="AB44" s="694" t="e">
        <f>IF(AND(#REF!="Muy Baja",#REF!="Mayor"),CONCATENATE("R",#REF!),"")</f>
        <v>#REF!</v>
      </c>
      <c r="AC44" s="695"/>
      <c r="AD44" s="695" t="e">
        <f>IF(AND(#REF!="Muy Baja",#REF!="Mayor"),CONCATENATE("R",#REF!),"")</f>
        <v>#REF!</v>
      </c>
      <c r="AE44" s="695"/>
      <c r="AF44" s="695" t="e">
        <f>IF(AND(#REF!="Muy Baja",#REF!="Mayor"),CONCATENATE("R",#REF!),"")</f>
        <v>#REF!</v>
      </c>
      <c r="AG44" s="696"/>
      <c r="AH44" s="685" t="e">
        <f>IF(AND(#REF!="Muy Baja",#REF!="Catastrófico"),CONCATENATE("R",#REF!),"")</f>
        <v>#REF!</v>
      </c>
      <c r="AI44" s="686"/>
      <c r="AJ44" s="686" t="e">
        <f>IF(AND(#REF!="Muy Baja",#REF!="Catastrófico"),CONCATENATE("R",#REF!),"")</f>
        <v>#REF!</v>
      </c>
      <c r="AK44" s="686"/>
      <c r="AL44" s="686" t="e">
        <f>IF(AND(#REF!="Muy Baja",#REF!="Catastrófico"),CONCATENATE("R",#REF!),"")</f>
        <v>#REF!</v>
      </c>
      <c r="AM44" s="687"/>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714"/>
      <c r="C45" s="714"/>
      <c r="D45" s="715"/>
      <c r="E45" s="710"/>
      <c r="F45" s="711"/>
      <c r="G45" s="711"/>
      <c r="H45" s="711"/>
      <c r="I45" s="712"/>
      <c r="J45" s="670"/>
      <c r="K45" s="671"/>
      <c r="L45" s="671"/>
      <c r="M45" s="671"/>
      <c r="N45" s="671"/>
      <c r="O45" s="672"/>
      <c r="P45" s="670"/>
      <c r="Q45" s="671"/>
      <c r="R45" s="671"/>
      <c r="S45" s="671"/>
      <c r="T45" s="671"/>
      <c r="U45" s="672"/>
      <c r="V45" s="679"/>
      <c r="W45" s="680"/>
      <c r="X45" s="680"/>
      <c r="Y45" s="680"/>
      <c r="Z45" s="680"/>
      <c r="AA45" s="681"/>
      <c r="AB45" s="697"/>
      <c r="AC45" s="698"/>
      <c r="AD45" s="698"/>
      <c r="AE45" s="698"/>
      <c r="AF45" s="698"/>
      <c r="AG45" s="699"/>
      <c r="AH45" s="688"/>
      <c r="AI45" s="689"/>
      <c r="AJ45" s="689"/>
      <c r="AK45" s="689"/>
      <c r="AL45" s="689"/>
      <c r="AM45" s="690"/>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704" t="s">
        <v>360</v>
      </c>
      <c r="K46" s="705"/>
      <c r="L46" s="705"/>
      <c r="M46" s="705"/>
      <c r="N46" s="705"/>
      <c r="O46" s="706"/>
      <c r="P46" s="704" t="s">
        <v>361</v>
      </c>
      <c r="Q46" s="705"/>
      <c r="R46" s="705"/>
      <c r="S46" s="705"/>
      <c r="T46" s="705"/>
      <c r="U46" s="706"/>
      <c r="V46" s="704" t="s">
        <v>362</v>
      </c>
      <c r="W46" s="705"/>
      <c r="X46" s="705"/>
      <c r="Y46" s="705"/>
      <c r="Z46" s="705"/>
      <c r="AA46" s="706"/>
      <c r="AB46" s="704" t="s">
        <v>363</v>
      </c>
      <c r="AC46" s="713"/>
      <c r="AD46" s="705"/>
      <c r="AE46" s="705"/>
      <c r="AF46" s="705"/>
      <c r="AG46" s="706"/>
      <c r="AH46" s="704" t="s">
        <v>364</v>
      </c>
      <c r="AI46" s="705"/>
      <c r="AJ46" s="705"/>
      <c r="AK46" s="705"/>
      <c r="AL46" s="705"/>
      <c r="AM46" s="706"/>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707"/>
      <c r="K47" s="708"/>
      <c r="L47" s="708"/>
      <c r="M47" s="708"/>
      <c r="N47" s="708"/>
      <c r="O47" s="709"/>
      <c r="P47" s="707"/>
      <c r="Q47" s="708"/>
      <c r="R47" s="708"/>
      <c r="S47" s="708"/>
      <c r="T47" s="708"/>
      <c r="U47" s="709"/>
      <c r="V47" s="707"/>
      <c r="W47" s="708"/>
      <c r="X47" s="708"/>
      <c r="Y47" s="708"/>
      <c r="Z47" s="708"/>
      <c r="AA47" s="709"/>
      <c r="AB47" s="707"/>
      <c r="AC47" s="708"/>
      <c r="AD47" s="708"/>
      <c r="AE47" s="708"/>
      <c r="AF47" s="708"/>
      <c r="AG47" s="709"/>
      <c r="AH47" s="707"/>
      <c r="AI47" s="708"/>
      <c r="AJ47" s="708"/>
      <c r="AK47" s="708"/>
      <c r="AL47" s="708"/>
      <c r="AM47" s="709"/>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707"/>
      <c r="K48" s="708"/>
      <c r="L48" s="708"/>
      <c r="M48" s="708"/>
      <c r="N48" s="708"/>
      <c r="O48" s="709"/>
      <c r="P48" s="707"/>
      <c r="Q48" s="708"/>
      <c r="R48" s="708"/>
      <c r="S48" s="708"/>
      <c r="T48" s="708"/>
      <c r="U48" s="709"/>
      <c r="V48" s="707"/>
      <c r="W48" s="708"/>
      <c r="X48" s="708"/>
      <c r="Y48" s="708"/>
      <c r="Z48" s="708"/>
      <c r="AA48" s="709"/>
      <c r="AB48" s="707"/>
      <c r="AC48" s="708"/>
      <c r="AD48" s="708"/>
      <c r="AE48" s="708"/>
      <c r="AF48" s="708"/>
      <c r="AG48" s="709"/>
      <c r="AH48" s="707"/>
      <c r="AI48" s="708"/>
      <c r="AJ48" s="708"/>
      <c r="AK48" s="708"/>
      <c r="AL48" s="708"/>
      <c r="AM48" s="709"/>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707"/>
      <c r="K49" s="708"/>
      <c r="L49" s="708"/>
      <c r="M49" s="708"/>
      <c r="N49" s="708"/>
      <c r="O49" s="709"/>
      <c r="P49" s="707"/>
      <c r="Q49" s="708"/>
      <c r="R49" s="708"/>
      <c r="S49" s="708"/>
      <c r="T49" s="708"/>
      <c r="U49" s="709"/>
      <c r="V49" s="707"/>
      <c r="W49" s="708"/>
      <c r="X49" s="708"/>
      <c r="Y49" s="708"/>
      <c r="Z49" s="708"/>
      <c r="AA49" s="709"/>
      <c r="AB49" s="707"/>
      <c r="AC49" s="708"/>
      <c r="AD49" s="708"/>
      <c r="AE49" s="708"/>
      <c r="AF49" s="708"/>
      <c r="AG49" s="709"/>
      <c r="AH49" s="707"/>
      <c r="AI49" s="708"/>
      <c r="AJ49" s="708"/>
      <c r="AK49" s="708"/>
      <c r="AL49" s="708"/>
      <c r="AM49" s="709"/>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707"/>
      <c r="K50" s="708"/>
      <c r="L50" s="708"/>
      <c r="M50" s="708"/>
      <c r="N50" s="708"/>
      <c r="O50" s="709"/>
      <c r="P50" s="707"/>
      <c r="Q50" s="708"/>
      <c r="R50" s="708"/>
      <c r="S50" s="708"/>
      <c r="T50" s="708"/>
      <c r="U50" s="709"/>
      <c r="V50" s="707"/>
      <c r="W50" s="708"/>
      <c r="X50" s="708"/>
      <c r="Y50" s="708"/>
      <c r="Z50" s="708"/>
      <c r="AA50" s="709"/>
      <c r="AB50" s="707"/>
      <c r="AC50" s="708"/>
      <c r="AD50" s="708"/>
      <c r="AE50" s="708"/>
      <c r="AF50" s="708"/>
      <c r="AG50" s="709"/>
      <c r="AH50" s="707"/>
      <c r="AI50" s="708"/>
      <c r="AJ50" s="708"/>
      <c r="AK50" s="708"/>
      <c r="AL50" s="708"/>
      <c r="AM50" s="709"/>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710"/>
      <c r="K51" s="711"/>
      <c r="L51" s="711"/>
      <c r="M51" s="711"/>
      <c r="N51" s="711"/>
      <c r="O51" s="712"/>
      <c r="P51" s="710"/>
      <c r="Q51" s="711"/>
      <c r="R51" s="711"/>
      <c r="S51" s="711"/>
      <c r="T51" s="711"/>
      <c r="U51" s="712"/>
      <c r="V51" s="710"/>
      <c r="W51" s="711"/>
      <c r="X51" s="711"/>
      <c r="Y51" s="711"/>
      <c r="Z51" s="711"/>
      <c r="AA51" s="712"/>
      <c r="AB51" s="710"/>
      <c r="AC51" s="711"/>
      <c r="AD51" s="711"/>
      <c r="AE51" s="711"/>
      <c r="AF51" s="711"/>
      <c r="AG51" s="712"/>
      <c r="AH51" s="710"/>
      <c r="AI51" s="711"/>
      <c r="AJ51" s="711"/>
      <c r="AK51" s="711"/>
      <c r="AL51" s="711"/>
      <c r="AM51" s="712"/>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781" t="s">
        <v>365</v>
      </c>
      <c r="C2" s="782"/>
      <c r="D2" s="782"/>
      <c r="E2" s="782"/>
      <c r="F2" s="782"/>
      <c r="G2" s="782"/>
      <c r="H2" s="782"/>
      <c r="I2" s="782"/>
      <c r="J2" s="703" t="s">
        <v>134</v>
      </c>
      <c r="K2" s="703"/>
      <c r="L2" s="703"/>
      <c r="M2" s="703"/>
      <c r="N2" s="703"/>
      <c r="O2" s="703"/>
      <c r="P2" s="703"/>
      <c r="Q2" s="703"/>
      <c r="R2" s="703"/>
      <c r="S2" s="703"/>
      <c r="T2" s="703"/>
      <c r="U2" s="703"/>
      <c r="V2" s="703"/>
      <c r="W2" s="703"/>
      <c r="X2" s="703"/>
      <c r="Y2" s="703"/>
      <c r="Z2" s="703"/>
      <c r="AA2" s="703"/>
      <c r="AB2" s="703"/>
      <c r="AC2" s="703"/>
      <c r="AD2" s="703"/>
      <c r="AE2" s="703"/>
      <c r="AF2" s="703"/>
      <c r="AG2" s="703"/>
      <c r="AH2" s="703"/>
      <c r="AI2" s="703"/>
      <c r="AJ2" s="703"/>
      <c r="AK2" s="703"/>
      <c r="AL2" s="703"/>
      <c r="AM2" s="70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782"/>
      <c r="C3" s="782"/>
      <c r="D3" s="782"/>
      <c r="E3" s="782"/>
      <c r="F3" s="782"/>
      <c r="G3" s="782"/>
      <c r="H3" s="782"/>
      <c r="I3" s="782"/>
      <c r="J3" s="703"/>
      <c r="K3" s="703"/>
      <c r="L3" s="703"/>
      <c r="M3" s="703"/>
      <c r="N3" s="703"/>
      <c r="O3" s="703"/>
      <c r="P3" s="703"/>
      <c r="Q3" s="703"/>
      <c r="R3" s="703"/>
      <c r="S3" s="703"/>
      <c r="T3" s="703"/>
      <c r="U3" s="703"/>
      <c r="V3" s="703"/>
      <c r="W3" s="703"/>
      <c r="X3" s="703"/>
      <c r="Y3" s="703"/>
      <c r="Z3" s="703"/>
      <c r="AA3" s="703"/>
      <c r="AB3" s="703"/>
      <c r="AC3" s="703"/>
      <c r="AD3" s="703"/>
      <c r="AE3" s="703"/>
      <c r="AF3" s="703"/>
      <c r="AG3" s="703"/>
      <c r="AH3" s="703"/>
      <c r="AI3" s="703"/>
      <c r="AJ3" s="703"/>
      <c r="AK3" s="703"/>
      <c r="AL3" s="703"/>
      <c r="AM3" s="70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782"/>
      <c r="C4" s="782"/>
      <c r="D4" s="782"/>
      <c r="E4" s="782"/>
      <c r="F4" s="782"/>
      <c r="G4" s="782"/>
      <c r="H4" s="782"/>
      <c r="I4" s="782"/>
      <c r="J4" s="703"/>
      <c r="K4" s="703"/>
      <c r="L4" s="703"/>
      <c r="M4" s="703"/>
      <c r="N4" s="703"/>
      <c r="O4" s="703"/>
      <c r="P4" s="703"/>
      <c r="Q4" s="703"/>
      <c r="R4" s="703"/>
      <c r="S4" s="703"/>
      <c r="T4" s="703"/>
      <c r="U4" s="703"/>
      <c r="V4" s="703"/>
      <c r="W4" s="703"/>
      <c r="X4" s="703"/>
      <c r="Y4" s="703"/>
      <c r="Z4" s="703"/>
      <c r="AA4" s="703"/>
      <c r="AB4" s="703"/>
      <c r="AC4" s="703"/>
      <c r="AD4" s="703"/>
      <c r="AE4" s="703"/>
      <c r="AF4" s="703"/>
      <c r="AG4" s="703"/>
      <c r="AH4" s="703"/>
      <c r="AI4" s="703"/>
      <c r="AJ4" s="703"/>
      <c r="AK4" s="703"/>
      <c r="AL4" s="703"/>
      <c r="AM4" s="70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714" t="s">
        <v>351</v>
      </c>
      <c r="C6" s="714"/>
      <c r="D6" s="715"/>
      <c r="E6" s="752" t="s">
        <v>352</v>
      </c>
      <c r="F6" s="753"/>
      <c r="G6" s="753"/>
      <c r="H6" s="753"/>
      <c r="I6" s="754"/>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772" t="s">
        <v>353</v>
      </c>
      <c r="AP6" s="773"/>
      <c r="AQ6" s="773"/>
      <c r="AR6" s="773"/>
      <c r="AS6" s="773"/>
      <c r="AT6" s="774"/>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714"/>
      <c r="C7" s="714"/>
      <c r="D7" s="715"/>
      <c r="E7" s="755"/>
      <c r="F7" s="756"/>
      <c r="G7" s="756"/>
      <c r="H7" s="756"/>
      <c r="I7" s="757"/>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775"/>
      <c r="AP7" s="776"/>
      <c r="AQ7" s="776"/>
      <c r="AR7" s="776"/>
      <c r="AS7" s="776"/>
      <c r="AT7" s="777"/>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714"/>
      <c r="C8" s="714"/>
      <c r="D8" s="715"/>
      <c r="E8" s="755"/>
      <c r="F8" s="756"/>
      <c r="G8" s="756"/>
      <c r="H8" s="756"/>
      <c r="I8" s="757"/>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775"/>
      <c r="AP8" s="776"/>
      <c r="AQ8" s="776"/>
      <c r="AR8" s="776"/>
      <c r="AS8" s="776"/>
      <c r="AT8" s="777"/>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714"/>
      <c r="C9" s="714"/>
      <c r="D9" s="715"/>
      <c r="E9" s="755"/>
      <c r="F9" s="756"/>
      <c r="G9" s="756"/>
      <c r="H9" s="756"/>
      <c r="I9" s="757"/>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775"/>
      <c r="AP9" s="776"/>
      <c r="AQ9" s="776"/>
      <c r="AR9" s="776"/>
      <c r="AS9" s="776"/>
      <c r="AT9" s="777"/>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714"/>
      <c r="C10" s="714"/>
      <c r="D10" s="715"/>
      <c r="E10" s="755"/>
      <c r="F10" s="756"/>
      <c r="G10" s="756"/>
      <c r="H10" s="756"/>
      <c r="I10" s="757"/>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775"/>
      <c r="AP10" s="776"/>
      <c r="AQ10" s="776"/>
      <c r="AR10" s="776"/>
      <c r="AS10" s="776"/>
      <c r="AT10" s="777"/>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714"/>
      <c r="C11" s="714"/>
      <c r="D11" s="715"/>
      <c r="E11" s="755"/>
      <c r="F11" s="756"/>
      <c r="G11" s="756"/>
      <c r="H11" s="756"/>
      <c r="I11" s="757"/>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775"/>
      <c r="AP11" s="776"/>
      <c r="AQ11" s="776"/>
      <c r="AR11" s="776"/>
      <c r="AS11" s="776"/>
      <c r="AT11" s="777"/>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714"/>
      <c r="C12" s="714"/>
      <c r="D12" s="715"/>
      <c r="E12" s="755"/>
      <c r="F12" s="756"/>
      <c r="G12" s="756"/>
      <c r="H12" s="756"/>
      <c r="I12" s="757"/>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775"/>
      <c r="AP12" s="776"/>
      <c r="AQ12" s="776"/>
      <c r="AR12" s="776"/>
      <c r="AS12" s="776"/>
      <c r="AT12" s="777"/>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714"/>
      <c r="C13" s="714"/>
      <c r="D13" s="715"/>
      <c r="E13" s="755"/>
      <c r="F13" s="756"/>
      <c r="G13" s="756"/>
      <c r="H13" s="756"/>
      <c r="I13" s="757"/>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775"/>
      <c r="AP13" s="776"/>
      <c r="AQ13" s="776"/>
      <c r="AR13" s="776"/>
      <c r="AS13" s="776"/>
      <c r="AT13" s="777"/>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714"/>
      <c r="C14" s="714"/>
      <c r="D14" s="715"/>
      <c r="E14" s="755"/>
      <c r="F14" s="756"/>
      <c r="G14" s="756"/>
      <c r="H14" s="756"/>
      <c r="I14" s="757"/>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775"/>
      <c r="AP14" s="776"/>
      <c r="AQ14" s="776"/>
      <c r="AR14" s="776"/>
      <c r="AS14" s="776"/>
      <c r="AT14" s="777"/>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714"/>
      <c r="C15" s="714"/>
      <c r="D15" s="715"/>
      <c r="E15" s="758"/>
      <c r="F15" s="759"/>
      <c r="G15" s="759"/>
      <c r="H15" s="759"/>
      <c r="I15" s="760"/>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78"/>
      <c r="AP15" s="779"/>
      <c r="AQ15" s="779"/>
      <c r="AR15" s="779"/>
      <c r="AS15" s="779"/>
      <c r="AT15" s="780"/>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714"/>
      <c r="C16" s="714"/>
      <c r="D16" s="715"/>
      <c r="E16" s="752" t="s">
        <v>354</v>
      </c>
      <c r="F16" s="753"/>
      <c r="G16" s="753"/>
      <c r="H16" s="753"/>
      <c r="I16" s="753"/>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762" t="s">
        <v>355</v>
      </c>
      <c r="AP16" s="763"/>
      <c r="AQ16" s="763"/>
      <c r="AR16" s="763"/>
      <c r="AS16" s="763"/>
      <c r="AT16" s="764"/>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714"/>
      <c r="C17" s="714"/>
      <c r="D17" s="715"/>
      <c r="E17" s="771"/>
      <c r="F17" s="756"/>
      <c r="G17" s="756"/>
      <c r="H17" s="756"/>
      <c r="I17" s="756"/>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765"/>
      <c r="AP17" s="766"/>
      <c r="AQ17" s="766"/>
      <c r="AR17" s="766"/>
      <c r="AS17" s="766"/>
      <c r="AT17" s="767"/>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714"/>
      <c r="C18" s="714"/>
      <c r="D18" s="715"/>
      <c r="E18" s="755"/>
      <c r="F18" s="756"/>
      <c r="G18" s="756"/>
      <c r="H18" s="756"/>
      <c r="I18" s="756"/>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765"/>
      <c r="AP18" s="766"/>
      <c r="AQ18" s="766"/>
      <c r="AR18" s="766"/>
      <c r="AS18" s="766"/>
      <c r="AT18" s="767"/>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714"/>
      <c r="C19" s="714"/>
      <c r="D19" s="715"/>
      <c r="E19" s="755"/>
      <c r="F19" s="756"/>
      <c r="G19" s="756"/>
      <c r="H19" s="756"/>
      <c r="I19" s="756"/>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765"/>
      <c r="AP19" s="766"/>
      <c r="AQ19" s="766"/>
      <c r="AR19" s="766"/>
      <c r="AS19" s="766"/>
      <c r="AT19" s="767"/>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714"/>
      <c r="C20" s="714"/>
      <c r="D20" s="715"/>
      <c r="E20" s="755"/>
      <c r="F20" s="756"/>
      <c r="G20" s="756"/>
      <c r="H20" s="756"/>
      <c r="I20" s="756"/>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765"/>
      <c r="AP20" s="766"/>
      <c r="AQ20" s="766"/>
      <c r="AR20" s="766"/>
      <c r="AS20" s="766"/>
      <c r="AT20" s="767"/>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714"/>
      <c r="C21" s="714"/>
      <c r="D21" s="715"/>
      <c r="E21" s="755"/>
      <c r="F21" s="756"/>
      <c r="G21" s="756"/>
      <c r="H21" s="756"/>
      <c r="I21" s="756"/>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765"/>
      <c r="AP21" s="766"/>
      <c r="AQ21" s="766"/>
      <c r="AR21" s="766"/>
      <c r="AS21" s="766"/>
      <c r="AT21" s="767"/>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714"/>
      <c r="C22" s="714"/>
      <c r="D22" s="715"/>
      <c r="E22" s="755"/>
      <c r="F22" s="756"/>
      <c r="G22" s="756"/>
      <c r="H22" s="756"/>
      <c r="I22" s="756"/>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765"/>
      <c r="AP22" s="766"/>
      <c r="AQ22" s="766"/>
      <c r="AR22" s="766"/>
      <c r="AS22" s="766"/>
      <c r="AT22" s="767"/>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714"/>
      <c r="C23" s="714"/>
      <c r="D23" s="715"/>
      <c r="E23" s="755"/>
      <c r="F23" s="756"/>
      <c r="G23" s="756"/>
      <c r="H23" s="756"/>
      <c r="I23" s="756"/>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765"/>
      <c r="AP23" s="766"/>
      <c r="AQ23" s="766"/>
      <c r="AR23" s="766"/>
      <c r="AS23" s="766"/>
      <c r="AT23" s="767"/>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714"/>
      <c r="C24" s="714"/>
      <c r="D24" s="715"/>
      <c r="E24" s="755"/>
      <c r="F24" s="756"/>
      <c r="G24" s="756"/>
      <c r="H24" s="756"/>
      <c r="I24" s="756"/>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765"/>
      <c r="AP24" s="766"/>
      <c r="AQ24" s="766"/>
      <c r="AR24" s="766"/>
      <c r="AS24" s="766"/>
      <c r="AT24" s="767"/>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714"/>
      <c r="C25" s="714"/>
      <c r="D25" s="715"/>
      <c r="E25" s="758"/>
      <c r="F25" s="759"/>
      <c r="G25" s="759"/>
      <c r="H25" s="759"/>
      <c r="I25" s="759"/>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768"/>
      <c r="AP25" s="769"/>
      <c r="AQ25" s="769"/>
      <c r="AR25" s="769"/>
      <c r="AS25" s="769"/>
      <c r="AT25" s="770"/>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714"/>
      <c r="C26" s="714"/>
      <c r="D26" s="715"/>
      <c r="E26" s="752" t="s">
        <v>356</v>
      </c>
      <c r="F26" s="753"/>
      <c r="G26" s="753"/>
      <c r="H26" s="753"/>
      <c r="I26" s="754"/>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92" t="s">
        <v>26</v>
      </c>
      <c r="AP26" s="793"/>
      <c r="AQ26" s="793"/>
      <c r="AR26" s="793"/>
      <c r="AS26" s="793"/>
      <c r="AT26" s="794"/>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714"/>
      <c r="C27" s="714"/>
      <c r="D27" s="715"/>
      <c r="E27" s="771"/>
      <c r="F27" s="756"/>
      <c r="G27" s="756"/>
      <c r="H27" s="756"/>
      <c r="I27" s="757"/>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95"/>
      <c r="AP27" s="796"/>
      <c r="AQ27" s="796"/>
      <c r="AR27" s="796"/>
      <c r="AS27" s="796"/>
      <c r="AT27" s="797"/>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714"/>
      <c r="C28" s="714"/>
      <c r="D28" s="715"/>
      <c r="E28" s="755"/>
      <c r="F28" s="756"/>
      <c r="G28" s="756"/>
      <c r="H28" s="756"/>
      <c r="I28" s="757"/>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95"/>
      <c r="AP28" s="796"/>
      <c r="AQ28" s="796"/>
      <c r="AR28" s="796"/>
      <c r="AS28" s="796"/>
      <c r="AT28" s="797"/>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714"/>
      <c r="C29" s="714"/>
      <c r="D29" s="715"/>
      <c r="E29" s="755"/>
      <c r="F29" s="756"/>
      <c r="G29" s="756"/>
      <c r="H29" s="756"/>
      <c r="I29" s="757"/>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95"/>
      <c r="AP29" s="796"/>
      <c r="AQ29" s="796"/>
      <c r="AR29" s="796"/>
      <c r="AS29" s="796"/>
      <c r="AT29" s="797"/>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714"/>
      <c r="C30" s="714"/>
      <c r="D30" s="715"/>
      <c r="E30" s="755"/>
      <c r="F30" s="756"/>
      <c r="G30" s="756"/>
      <c r="H30" s="756"/>
      <c r="I30" s="757"/>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95"/>
      <c r="AP30" s="796"/>
      <c r="AQ30" s="796"/>
      <c r="AR30" s="796"/>
      <c r="AS30" s="796"/>
      <c r="AT30" s="797"/>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714"/>
      <c r="C31" s="714"/>
      <c r="D31" s="715"/>
      <c r="E31" s="755"/>
      <c r="F31" s="756"/>
      <c r="G31" s="756"/>
      <c r="H31" s="756"/>
      <c r="I31" s="757"/>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95"/>
      <c r="AP31" s="796"/>
      <c r="AQ31" s="796"/>
      <c r="AR31" s="796"/>
      <c r="AS31" s="796"/>
      <c r="AT31" s="797"/>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714"/>
      <c r="C32" s="714"/>
      <c r="D32" s="715"/>
      <c r="E32" s="755"/>
      <c r="F32" s="756"/>
      <c r="G32" s="756"/>
      <c r="H32" s="756"/>
      <c r="I32" s="757"/>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95"/>
      <c r="AP32" s="796"/>
      <c r="AQ32" s="796"/>
      <c r="AR32" s="796"/>
      <c r="AS32" s="796"/>
      <c r="AT32" s="797"/>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714"/>
      <c r="C33" s="714"/>
      <c r="D33" s="715"/>
      <c r="E33" s="755"/>
      <c r="F33" s="756"/>
      <c r="G33" s="756"/>
      <c r="H33" s="756"/>
      <c r="I33" s="757"/>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95"/>
      <c r="AP33" s="796"/>
      <c r="AQ33" s="796"/>
      <c r="AR33" s="796"/>
      <c r="AS33" s="796"/>
      <c r="AT33" s="797"/>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714"/>
      <c r="C34" s="714"/>
      <c r="D34" s="715"/>
      <c r="E34" s="755"/>
      <c r="F34" s="756"/>
      <c r="G34" s="756"/>
      <c r="H34" s="756"/>
      <c r="I34" s="757"/>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95"/>
      <c r="AP34" s="796"/>
      <c r="AQ34" s="796"/>
      <c r="AR34" s="796"/>
      <c r="AS34" s="796"/>
      <c r="AT34" s="797"/>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714"/>
      <c r="C35" s="714"/>
      <c r="D35" s="715"/>
      <c r="E35" s="758"/>
      <c r="F35" s="759"/>
      <c r="G35" s="759"/>
      <c r="H35" s="759"/>
      <c r="I35" s="760"/>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98"/>
      <c r="AP35" s="799"/>
      <c r="AQ35" s="799"/>
      <c r="AR35" s="799"/>
      <c r="AS35" s="799"/>
      <c r="AT35" s="800"/>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714"/>
      <c r="C36" s="714"/>
      <c r="D36" s="715"/>
      <c r="E36" s="752" t="s">
        <v>357</v>
      </c>
      <c r="F36" s="753"/>
      <c r="G36" s="753"/>
      <c r="H36" s="753"/>
      <c r="I36" s="753"/>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83" t="s">
        <v>358</v>
      </c>
      <c r="AP36" s="784"/>
      <c r="AQ36" s="784"/>
      <c r="AR36" s="784"/>
      <c r="AS36" s="784"/>
      <c r="AT36" s="785"/>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714"/>
      <c r="C37" s="714"/>
      <c r="D37" s="715"/>
      <c r="E37" s="771"/>
      <c r="F37" s="756"/>
      <c r="G37" s="756"/>
      <c r="H37" s="756"/>
      <c r="I37" s="756"/>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86"/>
      <c r="AP37" s="787"/>
      <c r="AQ37" s="787"/>
      <c r="AR37" s="787"/>
      <c r="AS37" s="787"/>
      <c r="AT37" s="788"/>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714"/>
      <c r="C38" s="714"/>
      <c r="D38" s="715"/>
      <c r="E38" s="755"/>
      <c r="F38" s="756"/>
      <c r="G38" s="756"/>
      <c r="H38" s="756"/>
      <c r="I38" s="756"/>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86"/>
      <c r="AP38" s="787"/>
      <c r="AQ38" s="787"/>
      <c r="AR38" s="787"/>
      <c r="AS38" s="787"/>
      <c r="AT38" s="788"/>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714"/>
      <c r="C39" s="714"/>
      <c r="D39" s="715"/>
      <c r="E39" s="755"/>
      <c r="F39" s="756"/>
      <c r="G39" s="756"/>
      <c r="H39" s="756"/>
      <c r="I39" s="756"/>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86"/>
      <c r="AP39" s="787"/>
      <c r="AQ39" s="787"/>
      <c r="AR39" s="787"/>
      <c r="AS39" s="787"/>
      <c r="AT39" s="788"/>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714"/>
      <c r="C40" s="714"/>
      <c r="D40" s="715"/>
      <c r="E40" s="755"/>
      <c r="F40" s="756"/>
      <c r="G40" s="756"/>
      <c r="H40" s="756"/>
      <c r="I40" s="756"/>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86"/>
      <c r="AP40" s="787"/>
      <c r="AQ40" s="787"/>
      <c r="AR40" s="787"/>
      <c r="AS40" s="787"/>
      <c r="AT40" s="788"/>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714"/>
      <c r="C41" s="714"/>
      <c r="D41" s="715"/>
      <c r="E41" s="755"/>
      <c r="F41" s="756"/>
      <c r="G41" s="756"/>
      <c r="H41" s="756"/>
      <c r="I41" s="756"/>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86"/>
      <c r="AP41" s="787"/>
      <c r="AQ41" s="787"/>
      <c r="AR41" s="787"/>
      <c r="AS41" s="787"/>
      <c r="AT41" s="788"/>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714"/>
      <c r="C42" s="714"/>
      <c r="D42" s="715"/>
      <c r="E42" s="755"/>
      <c r="F42" s="756"/>
      <c r="G42" s="756"/>
      <c r="H42" s="756"/>
      <c r="I42" s="756"/>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86"/>
      <c r="AP42" s="787"/>
      <c r="AQ42" s="787"/>
      <c r="AR42" s="787"/>
      <c r="AS42" s="787"/>
      <c r="AT42" s="788"/>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714"/>
      <c r="C43" s="714"/>
      <c r="D43" s="715"/>
      <c r="E43" s="755"/>
      <c r="F43" s="756"/>
      <c r="G43" s="756"/>
      <c r="H43" s="756"/>
      <c r="I43" s="756"/>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86"/>
      <c r="AP43" s="787"/>
      <c r="AQ43" s="787"/>
      <c r="AR43" s="787"/>
      <c r="AS43" s="787"/>
      <c r="AT43" s="788"/>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714"/>
      <c r="C44" s="714"/>
      <c r="D44" s="715"/>
      <c r="E44" s="755"/>
      <c r="F44" s="756"/>
      <c r="G44" s="756"/>
      <c r="H44" s="756"/>
      <c r="I44" s="756"/>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86"/>
      <c r="AP44" s="787"/>
      <c r="AQ44" s="787"/>
      <c r="AR44" s="787"/>
      <c r="AS44" s="787"/>
      <c r="AT44" s="788"/>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714"/>
      <c r="C45" s="714"/>
      <c r="D45" s="715"/>
      <c r="E45" s="758"/>
      <c r="F45" s="759"/>
      <c r="G45" s="759"/>
      <c r="H45" s="759"/>
      <c r="I45" s="759"/>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89"/>
      <c r="AP45" s="790"/>
      <c r="AQ45" s="790"/>
      <c r="AR45" s="790"/>
      <c r="AS45" s="790"/>
      <c r="AT45" s="791"/>
    </row>
    <row r="46" spans="1:80" ht="46.5" customHeight="1" x14ac:dyDescent="0.35">
      <c r="A46" s="73"/>
      <c r="B46" s="714"/>
      <c r="C46" s="714"/>
      <c r="D46" s="715"/>
      <c r="E46" s="752" t="s">
        <v>359</v>
      </c>
      <c r="F46" s="753"/>
      <c r="G46" s="753"/>
      <c r="H46" s="753"/>
      <c r="I46" s="754"/>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714"/>
      <c r="C47" s="714"/>
      <c r="D47" s="715"/>
      <c r="E47" s="771"/>
      <c r="F47" s="756"/>
      <c r="G47" s="756"/>
      <c r="H47" s="756"/>
      <c r="I47" s="757"/>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714"/>
      <c r="C48" s="714"/>
      <c r="D48" s="715"/>
      <c r="E48" s="771"/>
      <c r="F48" s="756"/>
      <c r="G48" s="756"/>
      <c r="H48" s="756"/>
      <c r="I48" s="757"/>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714"/>
      <c r="C49" s="714"/>
      <c r="D49" s="715"/>
      <c r="E49" s="755"/>
      <c r="F49" s="756"/>
      <c r="G49" s="756"/>
      <c r="H49" s="756"/>
      <c r="I49" s="757"/>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714"/>
      <c r="C50" s="714"/>
      <c r="D50" s="715"/>
      <c r="E50" s="755"/>
      <c r="F50" s="756"/>
      <c r="G50" s="756"/>
      <c r="H50" s="756"/>
      <c r="I50" s="757"/>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714"/>
      <c r="C51" s="714"/>
      <c r="D51" s="715"/>
      <c r="E51" s="755"/>
      <c r="F51" s="756"/>
      <c r="G51" s="756"/>
      <c r="H51" s="756"/>
      <c r="I51" s="757"/>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714"/>
      <c r="C52" s="714"/>
      <c r="D52" s="715"/>
      <c r="E52" s="755"/>
      <c r="F52" s="756"/>
      <c r="G52" s="756"/>
      <c r="H52" s="756"/>
      <c r="I52" s="757"/>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14"/>
      <c r="C53" s="714"/>
      <c r="D53" s="715"/>
      <c r="E53" s="755"/>
      <c r="F53" s="756"/>
      <c r="G53" s="756"/>
      <c r="H53" s="756"/>
      <c r="I53" s="757"/>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14"/>
      <c r="C54" s="714"/>
      <c r="D54" s="715"/>
      <c r="E54" s="755"/>
      <c r="F54" s="756"/>
      <c r="G54" s="756"/>
      <c r="H54" s="756"/>
      <c r="I54" s="757"/>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714"/>
      <c r="C55" s="714"/>
      <c r="D55" s="715"/>
      <c r="E55" s="758"/>
      <c r="F55" s="759"/>
      <c r="G55" s="759"/>
      <c r="H55" s="759"/>
      <c r="I55" s="760"/>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52" t="s">
        <v>360</v>
      </c>
      <c r="K56" s="753"/>
      <c r="L56" s="753"/>
      <c r="M56" s="753"/>
      <c r="N56" s="753"/>
      <c r="O56" s="754"/>
      <c r="P56" s="752" t="s">
        <v>361</v>
      </c>
      <c r="Q56" s="753"/>
      <c r="R56" s="753"/>
      <c r="S56" s="753"/>
      <c r="T56" s="753"/>
      <c r="U56" s="754"/>
      <c r="V56" s="752" t="s">
        <v>362</v>
      </c>
      <c r="W56" s="753"/>
      <c r="X56" s="753"/>
      <c r="Y56" s="753"/>
      <c r="Z56" s="753"/>
      <c r="AA56" s="754"/>
      <c r="AB56" s="752" t="s">
        <v>363</v>
      </c>
      <c r="AC56" s="761"/>
      <c r="AD56" s="753"/>
      <c r="AE56" s="753"/>
      <c r="AF56" s="753"/>
      <c r="AG56" s="754"/>
      <c r="AH56" s="752" t="s">
        <v>364</v>
      </c>
      <c r="AI56" s="753"/>
      <c r="AJ56" s="753"/>
      <c r="AK56" s="753"/>
      <c r="AL56" s="753"/>
      <c r="AM56" s="754"/>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55"/>
      <c r="K57" s="756"/>
      <c r="L57" s="756"/>
      <c r="M57" s="756"/>
      <c r="N57" s="756"/>
      <c r="O57" s="757"/>
      <c r="P57" s="755"/>
      <c r="Q57" s="756"/>
      <c r="R57" s="756"/>
      <c r="S57" s="756"/>
      <c r="T57" s="756"/>
      <c r="U57" s="757"/>
      <c r="V57" s="755"/>
      <c r="W57" s="756"/>
      <c r="X57" s="756"/>
      <c r="Y57" s="756"/>
      <c r="Z57" s="756"/>
      <c r="AA57" s="757"/>
      <c r="AB57" s="755"/>
      <c r="AC57" s="756"/>
      <c r="AD57" s="756"/>
      <c r="AE57" s="756"/>
      <c r="AF57" s="756"/>
      <c r="AG57" s="757"/>
      <c r="AH57" s="755"/>
      <c r="AI57" s="756"/>
      <c r="AJ57" s="756"/>
      <c r="AK57" s="756"/>
      <c r="AL57" s="756"/>
      <c r="AM57" s="757"/>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55"/>
      <c r="K58" s="756"/>
      <c r="L58" s="756"/>
      <c r="M58" s="756"/>
      <c r="N58" s="756"/>
      <c r="O58" s="757"/>
      <c r="P58" s="755"/>
      <c r="Q58" s="756"/>
      <c r="R58" s="756"/>
      <c r="S58" s="756"/>
      <c r="T58" s="756"/>
      <c r="U58" s="757"/>
      <c r="V58" s="755"/>
      <c r="W58" s="756"/>
      <c r="X58" s="756"/>
      <c r="Y58" s="756"/>
      <c r="Z58" s="756"/>
      <c r="AA58" s="757"/>
      <c r="AB58" s="755"/>
      <c r="AC58" s="756"/>
      <c r="AD58" s="756"/>
      <c r="AE58" s="756"/>
      <c r="AF58" s="756"/>
      <c r="AG58" s="757"/>
      <c r="AH58" s="755"/>
      <c r="AI58" s="756"/>
      <c r="AJ58" s="756"/>
      <c r="AK58" s="756"/>
      <c r="AL58" s="756"/>
      <c r="AM58" s="757"/>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55"/>
      <c r="K59" s="756"/>
      <c r="L59" s="756"/>
      <c r="M59" s="756"/>
      <c r="N59" s="756"/>
      <c r="O59" s="757"/>
      <c r="P59" s="755"/>
      <c r="Q59" s="756"/>
      <c r="R59" s="756"/>
      <c r="S59" s="756"/>
      <c r="T59" s="756"/>
      <c r="U59" s="757"/>
      <c r="V59" s="755"/>
      <c r="W59" s="756"/>
      <c r="X59" s="756"/>
      <c r="Y59" s="756"/>
      <c r="Z59" s="756"/>
      <c r="AA59" s="757"/>
      <c r="AB59" s="755"/>
      <c r="AC59" s="756"/>
      <c r="AD59" s="756"/>
      <c r="AE59" s="756"/>
      <c r="AF59" s="756"/>
      <c r="AG59" s="757"/>
      <c r="AH59" s="755"/>
      <c r="AI59" s="756"/>
      <c r="AJ59" s="756"/>
      <c r="AK59" s="756"/>
      <c r="AL59" s="756"/>
      <c r="AM59" s="757"/>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55"/>
      <c r="K60" s="756"/>
      <c r="L60" s="756"/>
      <c r="M60" s="756"/>
      <c r="N60" s="756"/>
      <c r="O60" s="757"/>
      <c r="P60" s="755"/>
      <c r="Q60" s="756"/>
      <c r="R60" s="756"/>
      <c r="S60" s="756"/>
      <c r="T60" s="756"/>
      <c r="U60" s="757"/>
      <c r="V60" s="755"/>
      <c r="W60" s="756"/>
      <c r="X60" s="756"/>
      <c r="Y60" s="756"/>
      <c r="Z60" s="756"/>
      <c r="AA60" s="757"/>
      <c r="AB60" s="755"/>
      <c r="AC60" s="756"/>
      <c r="AD60" s="756"/>
      <c r="AE60" s="756"/>
      <c r="AF60" s="756"/>
      <c r="AG60" s="757"/>
      <c r="AH60" s="755"/>
      <c r="AI60" s="756"/>
      <c r="AJ60" s="756"/>
      <c r="AK60" s="756"/>
      <c r="AL60" s="756"/>
      <c r="AM60" s="757"/>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758"/>
      <c r="K61" s="759"/>
      <c r="L61" s="759"/>
      <c r="M61" s="759"/>
      <c r="N61" s="759"/>
      <c r="O61" s="760"/>
      <c r="P61" s="758"/>
      <c r="Q61" s="759"/>
      <c r="R61" s="759"/>
      <c r="S61" s="759"/>
      <c r="T61" s="759"/>
      <c r="U61" s="760"/>
      <c r="V61" s="758"/>
      <c r="W61" s="759"/>
      <c r="X61" s="759"/>
      <c r="Y61" s="759"/>
      <c r="Z61" s="759"/>
      <c r="AA61" s="760"/>
      <c r="AB61" s="758"/>
      <c r="AC61" s="759"/>
      <c r="AD61" s="759"/>
      <c r="AE61" s="759"/>
      <c r="AF61" s="759"/>
      <c r="AG61" s="760"/>
      <c r="AH61" s="758"/>
      <c r="AI61" s="759"/>
      <c r="AJ61" s="759"/>
      <c r="AK61" s="759"/>
      <c r="AL61" s="759"/>
      <c r="AM61" s="760"/>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sheetPr>
  <dimension ref="A1:AK55"/>
  <sheetViews>
    <sheetView zoomScale="90" zoomScaleNormal="90" workbookViewId="0">
      <selection activeCell="B7" sqref="B7"/>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801" t="s">
        <v>366</v>
      </c>
      <c r="C1" s="801"/>
      <c r="D1" s="801"/>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367</v>
      </c>
      <c r="D3" s="8" t="s">
        <v>351</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368</v>
      </c>
      <c r="C4" s="10" t="s">
        <v>369</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370</v>
      </c>
      <c r="C5" s="13" t="s">
        <v>371</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372</v>
      </c>
      <c r="C6" s="13" t="s">
        <v>373</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374</v>
      </c>
      <c r="C7" s="13" t="s">
        <v>375</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376</v>
      </c>
      <c r="C8" s="13" t="s">
        <v>377</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theme="6" tint="-0.249977111117893"/>
  </sheetPr>
  <dimension ref="A1:U232"/>
  <sheetViews>
    <sheetView zoomScale="60" zoomScaleNormal="60" workbookViewId="0">
      <selection activeCell="C6" sqref="C6"/>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802" t="s">
        <v>378</v>
      </c>
      <c r="C1" s="802"/>
      <c r="D1" s="802"/>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379</v>
      </c>
      <c r="D3" s="26" t="s">
        <v>380</v>
      </c>
      <c r="E3" s="73"/>
      <c r="F3" s="73"/>
      <c r="G3" s="73"/>
      <c r="H3" s="73"/>
      <c r="I3" s="73"/>
      <c r="J3" s="73"/>
      <c r="K3" s="73"/>
      <c r="L3" s="73"/>
      <c r="M3" s="73"/>
      <c r="N3" s="73"/>
      <c r="O3" s="73"/>
      <c r="P3" s="73"/>
      <c r="Q3" s="73"/>
      <c r="R3" s="73"/>
      <c r="S3" s="73"/>
      <c r="T3" s="73"/>
      <c r="U3" s="73"/>
    </row>
    <row r="4" spans="1:21" ht="33.75" x14ac:dyDescent="0.25">
      <c r="A4" s="93" t="s">
        <v>12</v>
      </c>
      <c r="B4" s="29" t="s">
        <v>381</v>
      </c>
      <c r="C4" s="34" t="s">
        <v>382</v>
      </c>
      <c r="D4" s="27" t="s">
        <v>383</v>
      </c>
      <c r="E4" s="73"/>
      <c r="F4" s="73"/>
      <c r="G4" s="73"/>
      <c r="H4" s="73"/>
      <c r="I4" s="73"/>
      <c r="J4" s="73"/>
      <c r="K4" s="73"/>
      <c r="L4" s="73"/>
      <c r="M4" s="73"/>
      <c r="N4" s="73"/>
      <c r="O4" s="73"/>
      <c r="P4" s="73"/>
      <c r="Q4" s="73"/>
      <c r="R4" s="73"/>
      <c r="S4" s="73"/>
      <c r="T4" s="73"/>
      <c r="U4" s="73"/>
    </row>
    <row r="5" spans="1:21" ht="67.5" x14ac:dyDescent="0.25">
      <c r="A5" s="93" t="s">
        <v>384</v>
      </c>
      <c r="B5" s="30" t="s">
        <v>385</v>
      </c>
      <c r="C5" s="35" t="s">
        <v>386</v>
      </c>
      <c r="D5" s="28" t="s">
        <v>387</v>
      </c>
      <c r="E5" s="73"/>
      <c r="F5" s="73"/>
      <c r="G5" s="73"/>
      <c r="H5" s="73"/>
      <c r="I5" s="73"/>
      <c r="J5" s="73"/>
      <c r="K5" s="73"/>
      <c r="L5" s="73"/>
      <c r="M5" s="73"/>
      <c r="N5" s="73"/>
      <c r="O5" s="73"/>
      <c r="P5" s="73"/>
      <c r="Q5" s="73"/>
      <c r="R5" s="73"/>
      <c r="S5" s="73"/>
      <c r="T5" s="73"/>
      <c r="U5" s="73"/>
    </row>
    <row r="6" spans="1:21" ht="67.5" x14ac:dyDescent="0.25">
      <c r="A6" s="93" t="s">
        <v>26</v>
      </c>
      <c r="B6" s="31" t="s">
        <v>388</v>
      </c>
      <c r="C6" s="35" t="s">
        <v>389</v>
      </c>
      <c r="D6" s="28" t="s">
        <v>390</v>
      </c>
      <c r="E6" s="73"/>
      <c r="F6" s="73"/>
      <c r="G6" s="73"/>
      <c r="H6" s="73"/>
      <c r="I6" s="73"/>
      <c r="J6" s="73"/>
      <c r="K6" s="73"/>
      <c r="L6" s="73"/>
      <c r="M6" s="73"/>
      <c r="N6" s="73"/>
      <c r="O6" s="73"/>
      <c r="P6" s="73"/>
      <c r="Q6" s="73"/>
      <c r="R6" s="73"/>
      <c r="S6" s="73"/>
      <c r="T6" s="73"/>
      <c r="U6" s="73"/>
    </row>
    <row r="7" spans="1:21" ht="101.25" x14ac:dyDescent="0.25">
      <c r="A7" s="93" t="s">
        <v>391</v>
      </c>
      <c r="B7" s="32" t="s">
        <v>392</v>
      </c>
      <c r="C7" s="35" t="s">
        <v>393</v>
      </c>
      <c r="D7" s="28" t="s">
        <v>394</v>
      </c>
      <c r="E7" s="73"/>
      <c r="F7" s="73"/>
      <c r="G7" s="73"/>
      <c r="H7" s="73"/>
      <c r="I7" s="73"/>
      <c r="J7" s="73"/>
      <c r="K7" s="73"/>
      <c r="L7" s="73"/>
      <c r="M7" s="73"/>
      <c r="N7" s="73"/>
      <c r="O7" s="73"/>
      <c r="P7" s="73"/>
      <c r="Q7" s="73"/>
      <c r="R7" s="73"/>
      <c r="S7" s="73"/>
      <c r="T7" s="73"/>
      <c r="U7" s="73"/>
    </row>
    <row r="8" spans="1:21" ht="67.5" x14ac:dyDescent="0.25">
      <c r="A8" s="93" t="s">
        <v>40</v>
      </c>
      <c r="B8" s="33" t="s">
        <v>395</v>
      </c>
      <c r="C8" s="35" t="s">
        <v>396</v>
      </c>
      <c r="D8" s="28" t="s">
        <v>397</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398</v>
      </c>
      <c r="C11" s="93" t="s">
        <v>399</v>
      </c>
      <c r="D11" s="93" t="s">
        <v>264</v>
      </c>
      <c r="E11" s="73"/>
      <c r="F11" s="73"/>
      <c r="G11" s="73"/>
      <c r="H11" s="73"/>
      <c r="I11" s="73"/>
      <c r="J11" s="73"/>
      <c r="K11" s="73"/>
      <c r="L11" s="73"/>
      <c r="M11" s="73"/>
      <c r="N11" s="73"/>
      <c r="O11" s="73"/>
      <c r="P11" s="73"/>
      <c r="Q11" s="73"/>
      <c r="R11" s="73"/>
      <c r="S11" s="73"/>
      <c r="T11" s="73"/>
      <c r="U11" s="73"/>
    </row>
    <row r="12" spans="1:21" x14ac:dyDescent="0.25">
      <c r="A12" s="93"/>
      <c r="B12" s="93" t="s">
        <v>400</v>
      </c>
      <c r="C12" s="93" t="s">
        <v>401</v>
      </c>
      <c r="D12" s="93" t="s">
        <v>310</v>
      </c>
      <c r="E12" s="73"/>
      <c r="F12" s="73"/>
      <c r="G12" s="73"/>
      <c r="H12" s="73"/>
      <c r="I12" s="73"/>
      <c r="J12" s="73"/>
      <c r="K12" s="73"/>
      <c r="L12" s="73"/>
      <c r="M12" s="73"/>
      <c r="N12" s="73"/>
      <c r="O12" s="73"/>
      <c r="P12" s="73"/>
      <c r="Q12" s="73"/>
      <c r="R12" s="73"/>
      <c r="S12" s="73"/>
      <c r="T12" s="73"/>
      <c r="U12" s="73"/>
    </row>
    <row r="13" spans="1:21" x14ac:dyDescent="0.25">
      <c r="A13" s="93"/>
      <c r="B13" s="93"/>
      <c r="C13" s="93" t="s">
        <v>402</v>
      </c>
      <c r="D13" s="93" t="s">
        <v>281</v>
      </c>
      <c r="E13" s="73"/>
      <c r="F13" s="73"/>
      <c r="G13" s="73"/>
      <c r="H13" s="73"/>
      <c r="I13" s="73"/>
      <c r="J13" s="73"/>
      <c r="K13" s="73"/>
      <c r="L13" s="73"/>
      <c r="M13" s="73"/>
      <c r="N13" s="73"/>
      <c r="O13" s="73"/>
      <c r="P13" s="73"/>
      <c r="Q13" s="73"/>
      <c r="R13" s="73"/>
      <c r="S13" s="73"/>
      <c r="T13" s="73"/>
      <c r="U13" s="73"/>
    </row>
    <row r="14" spans="1:21" x14ac:dyDescent="0.25">
      <c r="A14" s="93"/>
      <c r="B14" s="93"/>
      <c r="C14" s="93" t="s">
        <v>403</v>
      </c>
      <c r="D14" s="93" t="s">
        <v>300</v>
      </c>
      <c r="E14" s="73"/>
      <c r="F14" s="73"/>
      <c r="G14" s="73"/>
      <c r="H14" s="73"/>
      <c r="I14" s="73"/>
      <c r="J14" s="73"/>
      <c r="K14" s="73"/>
      <c r="L14" s="73"/>
      <c r="M14" s="73"/>
      <c r="N14" s="73"/>
      <c r="O14" s="73"/>
      <c r="P14" s="73"/>
      <c r="Q14" s="73"/>
      <c r="R14" s="73"/>
      <c r="S14" s="73"/>
      <c r="T14" s="73"/>
      <c r="U14" s="73"/>
    </row>
    <row r="15" spans="1:21" x14ac:dyDescent="0.25">
      <c r="A15" s="93"/>
      <c r="B15" s="93"/>
      <c r="C15" s="93" t="s">
        <v>404</v>
      </c>
      <c r="D15" s="93" t="s">
        <v>405</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406</v>
      </c>
      <c r="C209" s="20" t="s">
        <v>407</v>
      </c>
      <c r="D209" s="23" t="s">
        <v>406</v>
      </c>
      <c r="E209" s="23" t="s">
        <v>407</v>
      </c>
    </row>
    <row r="210" spans="1:8" ht="21" x14ac:dyDescent="0.35">
      <c r="A210" s="73"/>
      <c r="B210" s="21" t="s">
        <v>408</v>
      </c>
      <c r="C210" s="21" t="s">
        <v>409</v>
      </c>
      <c r="D210" t="s">
        <v>408</v>
      </c>
      <c r="F210" t="str">
        <f>IF(NOT(ISBLANK(D210)),D210,IF(NOT(ISBLANK(E210)),"     "&amp;E210,FALSE))</f>
        <v>Afectación Económica o presupuestal</v>
      </c>
      <c r="G210" t="s">
        <v>408</v>
      </c>
      <c r="H210" t="str">
        <f>IF(NOT(ISERROR(MATCH(G210,_xlfn.ANCHORARRAY(B221),0))),F223&amp;"Por favor no seleccionar los criterios de impacto",G210)</f>
        <v>❌Por favor no seleccionar los criterios de impacto</v>
      </c>
    </row>
    <row r="211" spans="1:8" ht="21" x14ac:dyDescent="0.35">
      <c r="A211" s="73"/>
      <c r="B211" s="21" t="s">
        <v>408</v>
      </c>
      <c r="C211" s="21" t="s">
        <v>386</v>
      </c>
      <c r="E211" t="s">
        <v>409</v>
      </c>
      <c r="F211" t="str">
        <f t="shared" ref="F211:F221" si="0">IF(NOT(ISBLANK(D211)),D211,IF(NOT(ISBLANK(E211)),"     "&amp;E211,FALSE))</f>
        <v xml:space="preserve">     Afectación menor a 10 SMLMV .</v>
      </c>
    </row>
    <row r="212" spans="1:8" ht="21" x14ac:dyDescent="0.35">
      <c r="A212" s="73"/>
      <c r="B212" s="21" t="s">
        <v>408</v>
      </c>
      <c r="C212" s="21" t="s">
        <v>389</v>
      </c>
      <c r="E212" t="s">
        <v>386</v>
      </c>
      <c r="F212" t="str">
        <f t="shared" si="0"/>
        <v xml:space="preserve">     Entre 10 y 50 SMLMV </v>
      </c>
    </row>
    <row r="213" spans="1:8" ht="21" x14ac:dyDescent="0.35">
      <c r="A213" s="73"/>
      <c r="B213" s="21" t="s">
        <v>408</v>
      </c>
      <c r="C213" s="21" t="s">
        <v>393</v>
      </c>
      <c r="E213" t="s">
        <v>389</v>
      </c>
      <c r="F213" t="str">
        <f t="shared" si="0"/>
        <v xml:space="preserve">     Entre 50 y 100 SMLMV </v>
      </c>
    </row>
    <row r="214" spans="1:8" ht="21" x14ac:dyDescent="0.35">
      <c r="A214" s="73"/>
      <c r="B214" s="21" t="s">
        <v>408</v>
      </c>
      <c r="C214" s="21" t="s">
        <v>396</v>
      </c>
      <c r="E214" t="s">
        <v>393</v>
      </c>
      <c r="F214" t="str">
        <f t="shared" si="0"/>
        <v xml:space="preserve">     Entre 100 y 500 SMLMV </v>
      </c>
    </row>
    <row r="215" spans="1:8" ht="21" x14ac:dyDescent="0.35">
      <c r="A215" s="73"/>
      <c r="B215" s="21" t="s">
        <v>380</v>
      </c>
      <c r="C215" s="21" t="s">
        <v>383</v>
      </c>
      <c r="E215" t="s">
        <v>396</v>
      </c>
      <c r="F215" t="str">
        <f t="shared" si="0"/>
        <v xml:space="preserve">     Mayor a 500 SMLMV </v>
      </c>
    </row>
    <row r="216" spans="1:8" ht="21" x14ac:dyDescent="0.35">
      <c r="A216" s="73"/>
      <c r="B216" s="21" t="s">
        <v>380</v>
      </c>
      <c r="C216" s="21" t="s">
        <v>387</v>
      </c>
      <c r="D216" t="s">
        <v>380</v>
      </c>
      <c r="F216" t="str">
        <f t="shared" si="0"/>
        <v>Pérdida Reputacional</v>
      </c>
    </row>
    <row r="217" spans="1:8" ht="21" x14ac:dyDescent="0.35">
      <c r="A217" s="73"/>
      <c r="B217" s="21" t="s">
        <v>380</v>
      </c>
      <c r="C217" s="21" t="s">
        <v>390</v>
      </c>
      <c r="E217" t="s">
        <v>383</v>
      </c>
      <c r="F217" t="str">
        <f t="shared" si="0"/>
        <v xml:space="preserve">     El riesgo afecta la imagen de alguna área de la organización</v>
      </c>
    </row>
    <row r="218" spans="1:8" ht="21" x14ac:dyDescent="0.35">
      <c r="A218" s="73"/>
      <c r="B218" s="21" t="s">
        <v>380</v>
      </c>
      <c r="C218" s="21" t="s">
        <v>394</v>
      </c>
      <c r="E218" t="s">
        <v>387</v>
      </c>
      <c r="F218" t="str">
        <f t="shared" si="0"/>
        <v xml:space="preserve">     El riesgo afecta la imagen de la entidad internamente, de conocimiento general, nivel interno, de junta dircetiva y accionistas y/o de provedores</v>
      </c>
    </row>
    <row r="219" spans="1:8" ht="21" x14ac:dyDescent="0.35">
      <c r="A219" s="73"/>
      <c r="B219" s="21" t="s">
        <v>380</v>
      </c>
      <c r="C219" s="21" t="s">
        <v>397</v>
      </c>
      <c r="E219" t="s">
        <v>390</v>
      </c>
      <c r="F219" t="str">
        <f t="shared" si="0"/>
        <v xml:space="preserve">     El riesgo afecta la imagen de la entidad con algunos usuarios de relevancia frente al logro de los objetivos</v>
      </c>
    </row>
    <row r="220" spans="1:8" x14ac:dyDescent="0.25">
      <c r="A220" s="73"/>
      <c r="B220" s="22"/>
      <c r="C220" s="22"/>
      <c r="E220" t="s">
        <v>394</v>
      </c>
      <c r="F220" t="str">
        <f t="shared" si="0"/>
        <v xml:space="preserve">     El riesgo afecta la imagen de de la entidad con efecto publicitario sostenido a nivel de sector administrativo, nivel departamental o municipal</v>
      </c>
    </row>
    <row r="221" spans="1:8" x14ac:dyDescent="0.25">
      <c r="A221" s="73"/>
      <c r="B221" s="22" t="str" cm="1">
        <f t="array" ref="B221:B223">_xlfn.UNIQUE(Tabla1[[#All],[Criterios]])</f>
        <v>Criterios</v>
      </c>
      <c r="C221" s="22"/>
      <c r="E221" t="s">
        <v>397</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410</v>
      </c>
    </row>
    <row r="224" spans="1:8" x14ac:dyDescent="0.25">
      <c r="B224" s="18"/>
      <c r="C224" s="18"/>
      <c r="F224" s="25" t="s">
        <v>411</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803" t="s">
        <v>412</v>
      </c>
      <c r="C1" s="804"/>
      <c r="D1" s="804"/>
      <c r="E1" s="804"/>
      <c r="F1" s="805"/>
    </row>
    <row r="2" spans="2:6" ht="16.5" thickBot="1" x14ac:dyDescent="0.3">
      <c r="B2" s="79"/>
      <c r="C2" s="79"/>
      <c r="D2" s="79"/>
      <c r="E2" s="79"/>
      <c r="F2" s="79"/>
    </row>
    <row r="3" spans="2:6" ht="16.5" thickBot="1" x14ac:dyDescent="0.25">
      <c r="B3" s="807" t="s">
        <v>413</v>
      </c>
      <c r="C3" s="808"/>
      <c r="D3" s="808"/>
      <c r="E3" s="91" t="s">
        <v>84</v>
      </c>
      <c r="F3" s="92" t="s">
        <v>414</v>
      </c>
    </row>
    <row r="4" spans="2:6" ht="31.5" x14ac:dyDescent="0.2">
      <c r="B4" s="809" t="s">
        <v>415</v>
      </c>
      <c r="C4" s="811" t="s">
        <v>252</v>
      </c>
      <c r="D4" s="80" t="s">
        <v>266</v>
      </c>
      <c r="E4" s="81" t="s">
        <v>416</v>
      </c>
      <c r="F4" s="82">
        <v>0.25</v>
      </c>
    </row>
    <row r="5" spans="2:6" ht="47.25" x14ac:dyDescent="0.2">
      <c r="B5" s="810"/>
      <c r="C5" s="812"/>
      <c r="D5" s="83" t="s">
        <v>417</v>
      </c>
      <c r="E5" s="84" t="s">
        <v>418</v>
      </c>
      <c r="F5" s="85">
        <v>0.15</v>
      </c>
    </row>
    <row r="6" spans="2:6" ht="47.25" x14ac:dyDescent="0.2">
      <c r="B6" s="810"/>
      <c r="C6" s="812"/>
      <c r="D6" s="83" t="s">
        <v>419</v>
      </c>
      <c r="E6" s="84" t="s">
        <v>420</v>
      </c>
      <c r="F6" s="85">
        <v>0.1</v>
      </c>
    </row>
    <row r="7" spans="2:6" ht="63" x14ac:dyDescent="0.2">
      <c r="B7" s="810"/>
      <c r="C7" s="812" t="s">
        <v>253</v>
      </c>
      <c r="D7" s="83" t="s">
        <v>289</v>
      </c>
      <c r="E7" s="84" t="s">
        <v>421</v>
      </c>
      <c r="F7" s="85">
        <v>0.25</v>
      </c>
    </row>
    <row r="8" spans="2:6" ht="31.5" x14ac:dyDescent="0.2">
      <c r="B8" s="810"/>
      <c r="C8" s="812"/>
      <c r="D8" s="83" t="s">
        <v>267</v>
      </c>
      <c r="E8" s="84" t="s">
        <v>422</v>
      </c>
      <c r="F8" s="85">
        <v>0.15</v>
      </c>
    </row>
    <row r="9" spans="2:6" ht="47.25" x14ac:dyDescent="0.2">
      <c r="B9" s="810" t="s">
        <v>423</v>
      </c>
      <c r="C9" s="812" t="s">
        <v>255</v>
      </c>
      <c r="D9" s="83" t="s">
        <v>268</v>
      </c>
      <c r="E9" s="84" t="s">
        <v>424</v>
      </c>
      <c r="F9" s="86" t="s">
        <v>425</v>
      </c>
    </row>
    <row r="10" spans="2:6" ht="63" x14ac:dyDescent="0.2">
      <c r="B10" s="810"/>
      <c r="C10" s="812"/>
      <c r="D10" s="83" t="s">
        <v>290</v>
      </c>
      <c r="E10" s="84" t="s">
        <v>426</v>
      </c>
      <c r="F10" s="86" t="s">
        <v>425</v>
      </c>
    </row>
    <row r="11" spans="2:6" ht="47.25" x14ac:dyDescent="0.2">
      <c r="B11" s="810"/>
      <c r="C11" s="812" t="s">
        <v>256</v>
      </c>
      <c r="D11" s="83" t="s">
        <v>269</v>
      </c>
      <c r="E11" s="84" t="s">
        <v>427</v>
      </c>
      <c r="F11" s="86" t="s">
        <v>425</v>
      </c>
    </row>
    <row r="12" spans="2:6" ht="47.25" x14ac:dyDescent="0.2">
      <c r="B12" s="810"/>
      <c r="C12" s="812"/>
      <c r="D12" s="83" t="s">
        <v>428</v>
      </c>
      <c r="E12" s="84" t="s">
        <v>429</v>
      </c>
      <c r="F12" s="86" t="s">
        <v>425</v>
      </c>
    </row>
    <row r="13" spans="2:6" ht="31.5" x14ac:dyDescent="0.2">
      <c r="B13" s="810"/>
      <c r="C13" s="812" t="s">
        <v>257</v>
      </c>
      <c r="D13" s="83" t="s">
        <v>270</v>
      </c>
      <c r="E13" s="84" t="s">
        <v>430</v>
      </c>
      <c r="F13" s="86" t="s">
        <v>425</v>
      </c>
    </row>
    <row r="14" spans="2:6" ht="32.25" thickBot="1" x14ac:dyDescent="0.25">
      <c r="B14" s="813"/>
      <c r="C14" s="814"/>
      <c r="D14" s="87" t="s">
        <v>431</v>
      </c>
      <c r="E14" s="88" t="s">
        <v>432</v>
      </c>
      <c r="F14" s="89" t="s">
        <v>425</v>
      </c>
    </row>
    <row r="15" spans="2:6" ht="49.5" customHeight="1" x14ac:dyDescent="0.2">
      <c r="B15" s="806" t="s">
        <v>433</v>
      </c>
      <c r="C15" s="806"/>
      <c r="D15" s="806"/>
      <c r="E15" s="806"/>
      <c r="F15" s="806"/>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B2:G21"/>
  <sheetViews>
    <sheetView workbookViewId="0">
      <selection activeCell="J18" sqref="J18"/>
    </sheetView>
  </sheetViews>
  <sheetFormatPr baseColWidth="10" defaultColWidth="11.42578125" defaultRowHeight="15" x14ac:dyDescent="0.25"/>
  <sheetData>
    <row r="2" spans="2:7" x14ac:dyDescent="0.25">
      <c r="B2" t="s">
        <v>434</v>
      </c>
      <c r="E2" t="s">
        <v>435</v>
      </c>
    </row>
    <row r="3" spans="2:7" x14ac:dyDescent="0.25">
      <c r="B3" t="s">
        <v>436</v>
      </c>
      <c r="E3" t="s">
        <v>437</v>
      </c>
    </row>
    <row r="4" spans="2:7" x14ac:dyDescent="0.25">
      <c r="B4" t="s">
        <v>438</v>
      </c>
      <c r="E4" t="s">
        <v>263</v>
      </c>
    </row>
    <row r="5" spans="2:7" x14ac:dyDescent="0.25">
      <c r="B5" t="s">
        <v>271</v>
      </c>
    </row>
    <row r="8" spans="2:7" x14ac:dyDescent="0.25">
      <c r="B8" t="s">
        <v>439</v>
      </c>
      <c r="G8" t="s">
        <v>440</v>
      </c>
    </row>
    <row r="9" spans="2:7" x14ac:dyDescent="0.25">
      <c r="B9" t="s">
        <v>336</v>
      </c>
      <c r="G9" t="s">
        <v>106</v>
      </c>
    </row>
    <row r="10" spans="2:7" x14ac:dyDescent="0.25">
      <c r="B10" t="s">
        <v>337</v>
      </c>
      <c r="G10" t="s">
        <v>111</v>
      </c>
    </row>
    <row r="12" spans="2:7" x14ac:dyDescent="0.25">
      <c r="G12" t="s">
        <v>441</v>
      </c>
    </row>
    <row r="13" spans="2:7" x14ac:dyDescent="0.25">
      <c r="B13" t="s">
        <v>442</v>
      </c>
      <c r="G13" t="s">
        <v>260</v>
      </c>
    </row>
    <row r="14" spans="2:7" x14ac:dyDescent="0.25">
      <c r="B14" t="s">
        <v>443</v>
      </c>
      <c r="G14" t="s">
        <v>444</v>
      </c>
    </row>
    <row r="15" spans="2:7" x14ac:dyDescent="0.25">
      <c r="B15" t="s">
        <v>445</v>
      </c>
    </row>
    <row r="16" spans="2:7" x14ac:dyDescent="0.25">
      <c r="B16" t="s">
        <v>446</v>
      </c>
    </row>
    <row r="17" spans="2:7" x14ac:dyDescent="0.25">
      <c r="B17" t="s">
        <v>447</v>
      </c>
      <c r="G17" t="s">
        <v>448</v>
      </c>
    </row>
    <row r="18" spans="2:7" x14ac:dyDescent="0.25">
      <c r="B18" t="s">
        <v>449</v>
      </c>
      <c r="G18" t="s">
        <v>450</v>
      </c>
    </row>
    <row r="19" spans="2:7" x14ac:dyDescent="0.25">
      <c r="B19" t="s">
        <v>306</v>
      </c>
      <c r="G19" t="s">
        <v>451</v>
      </c>
    </row>
    <row r="20" spans="2:7" x14ac:dyDescent="0.25">
      <c r="G20" t="s">
        <v>452</v>
      </c>
    </row>
    <row r="21" spans="2:7" x14ac:dyDescent="0.25">
      <c r="G21" t="s">
        <v>453</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9" t="s">
        <v>454</v>
      </c>
    </row>
    <row r="2" spans="1:3" ht="15" x14ac:dyDescent="0.25">
      <c r="C2" t="s">
        <v>455</v>
      </c>
    </row>
    <row r="3" spans="1:3" ht="15" x14ac:dyDescent="0.25">
      <c r="A3" s="6" t="s">
        <v>266</v>
      </c>
      <c r="C3" t="s">
        <v>185</v>
      </c>
    </row>
    <row r="4" spans="1:3" ht="15" x14ac:dyDescent="0.25">
      <c r="A4" s="6" t="s">
        <v>417</v>
      </c>
      <c r="C4" t="s">
        <v>456</v>
      </c>
    </row>
    <row r="5" spans="1:3" ht="15" x14ac:dyDescent="0.25">
      <c r="A5" s="6" t="s">
        <v>419</v>
      </c>
      <c r="C5" t="s">
        <v>457</v>
      </c>
    </row>
    <row r="6" spans="1:3" ht="15" x14ac:dyDescent="0.25">
      <c r="A6" s="6" t="s">
        <v>289</v>
      </c>
      <c r="C6" t="s">
        <v>458</v>
      </c>
    </row>
    <row r="7" spans="1:3" ht="15" x14ac:dyDescent="0.25">
      <c r="A7" s="6" t="s">
        <v>267</v>
      </c>
      <c r="C7" t="s">
        <v>459</v>
      </c>
    </row>
    <row r="8" spans="1:3" ht="15" x14ac:dyDescent="0.25">
      <c r="A8" s="6" t="s">
        <v>268</v>
      </c>
      <c r="C8" t="s">
        <v>460</v>
      </c>
    </row>
    <row r="9" spans="1:3" ht="15" x14ac:dyDescent="0.25">
      <c r="A9" s="6" t="s">
        <v>290</v>
      </c>
      <c r="C9" t="s">
        <v>461</v>
      </c>
    </row>
    <row r="10" spans="1:3" ht="15" x14ac:dyDescent="0.25">
      <c r="A10" s="6" t="s">
        <v>269</v>
      </c>
      <c r="C10" t="s">
        <v>462</v>
      </c>
    </row>
    <row r="11" spans="1:3" ht="15" x14ac:dyDescent="0.25">
      <c r="A11" s="6" t="s">
        <v>428</v>
      </c>
      <c r="C11" t="s">
        <v>463</v>
      </c>
    </row>
    <row r="12" spans="1:3" ht="15" x14ac:dyDescent="0.25">
      <c r="A12" s="6" t="s">
        <v>464</v>
      </c>
      <c r="C12" t="s">
        <v>465</v>
      </c>
    </row>
    <row r="13" spans="1:3" ht="15" x14ac:dyDescent="0.25">
      <c r="A13" s="6" t="s">
        <v>466</v>
      </c>
      <c r="C13" t="s">
        <v>467</v>
      </c>
    </row>
    <row r="14" spans="1:3" ht="15" x14ac:dyDescent="0.25">
      <c r="A14" s="6" t="s">
        <v>468</v>
      </c>
      <c r="C14" t="s">
        <v>469</v>
      </c>
    </row>
    <row r="15" spans="1:3" ht="15" x14ac:dyDescent="0.25">
      <c r="C15" t="s">
        <v>470</v>
      </c>
    </row>
    <row r="16" spans="1:3" ht="15" x14ac:dyDescent="0.25">
      <c r="A16" s="6" t="s">
        <v>471</v>
      </c>
      <c r="C16" t="s">
        <v>472</v>
      </c>
    </row>
    <row r="17" spans="1:3" ht="15" x14ac:dyDescent="0.25">
      <c r="A17" s="6" t="s">
        <v>434</v>
      </c>
      <c r="C17" t="s">
        <v>473</v>
      </c>
    </row>
    <row r="18" spans="1:3" ht="15" x14ac:dyDescent="0.25">
      <c r="A18" s="6" t="s">
        <v>436</v>
      </c>
      <c r="C18" t="s">
        <v>474</v>
      </c>
    </row>
    <row r="19" spans="1:3" ht="15" x14ac:dyDescent="0.25">
      <c r="C19" t="s">
        <v>219</v>
      </c>
    </row>
    <row r="20" spans="1:3" ht="15" x14ac:dyDescent="0.25">
      <c r="A20" s="6" t="s">
        <v>336</v>
      </c>
      <c r="C20" t="s">
        <v>475</v>
      </c>
    </row>
    <row r="21" spans="1:3" ht="15" x14ac:dyDescent="0.25">
      <c r="A21" s="6" t="s">
        <v>337</v>
      </c>
      <c r="C21"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Usuario</cp:lastModifiedBy>
  <cp:revision/>
  <dcterms:created xsi:type="dcterms:W3CDTF">2020-03-24T23:12:47Z</dcterms:created>
  <dcterms:modified xsi:type="dcterms:W3CDTF">2025-11-20T16:17:26Z</dcterms:modified>
  <cp:category/>
  <cp:contentStatus/>
</cp:coreProperties>
</file>