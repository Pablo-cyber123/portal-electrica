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24226"/>
  <mc:AlternateContent xmlns:mc="http://schemas.openxmlformats.org/markup-compatibility/2006">
    <mc:Choice Requires="x15">
      <x15ac:absPath xmlns:x15ac="http://schemas.microsoft.com/office/spreadsheetml/2010/11/ac" url="C:\Users\pr.dgonzalez\Downloads\OneDrive_2025-03-26\3er MONITOREO\Planeación Institucional\"/>
    </mc:Choice>
  </mc:AlternateContent>
  <bookViews>
    <workbookView xWindow="0" yWindow="0" windowWidth="28800" windowHeight="12330" tabRatio="848" firstSheet="3" activeTab="5"/>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Matriz Calor Inherente" sheetId="18" state="hidden" r:id="rId8"/>
    <sheet name="Matriz Calor Residual" sheetId="19" state="hidden" r:id="rId9"/>
    <sheet name="Tabla probabilidad" sheetId="12" state="hidden" r:id="rId10"/>
    <sheet name="Tabla Impacto" sheetId="13" state="hidden" r:id="rId11"/>
    <sheet name="Tabla Valoración controles" sheetId="15" state="hidden" r:id="rId12"/>
    <sheet name="Opciones Tratamiento" sheetId="16" state="hidden" r:id="rId13"/>
    <sheet name="Hoja1" sheetId="11" state="hidden" r:id="rId14"/>
  </sheets>
  <externalReferences>
    <externalReference r:id="rId15"/>
    <externalReference r:id="rId16"/>
    <externalReference r:id="rId17"/>
  </externalReferences>
  <definedNames>
    <definedName name="ALTA">[1]INSTRUCTIVO!$J$1:$J$2</definedName>
    <definedName name="_xlnm.Print_Area" localSheetId="2">DOFA!$A$1:$M$31</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62913" concurrentCalc="0"/>
  <pivotCaches>
    <pivotCache cacheId="0" r:id="rId1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7" i="24" l="1"/>
  <c r="V29" i="25"/>
  <c r="S29" i="25"/>
  <c r="I29" i="25"/>
  <c r="J29" i="25"/>
  <c r="M30" i="25"/>
  <c r="Z29" i="25"/>
  <c r="M31" i="25"/>
  <c r="AA29" i="25"/>
  <c r="AB29" i="25"/>
  <c r="Z30" i="25"/>
  <c r="M32" i="25"/>
  <c r="AA30" i="25"/>
  <c r="AB30" i="25"/>
  <c r="Z31" i="25"/>
  <c r="AA31" i="25"/>
  <c r="S32" i="25"/>
  <c r="AD32" i="25"/>
  <c r="AC32" i="25"/>
  <c r="V32" i="25"/>
  <c r="M33" i="25"/>
  <c r="Z32" i="25"/>
  <c r="AB32" i="25"/>
  <c r="AB31" i="25"/>
  <c r="S33" i="25"/>
  <c r="Z33" i="25"/>
  <c r="V33" i="25"/>
  <c r="M34" i="25"/>
  <c r="AA32" i="25"/>
  <c r="AE32" i="25"/>
  <c r="AD33" i="25"/>
  <c r="AC33" i="25"/>
  <c r="AB33" i="25"/>
  <c r="AA33" i="25"/>
  <c r="S34" i="25"/>
  <c r="AD34" i="25"/>
  <c r="AC34" i="25"/>
  <c r="V34" i="25"/>
  <c r="AE33" i="25"/>
  <c r="Z34" i="25"/>
  <c r="AB34" i="25"/>
  <c r="AA34" i="25"/>
  <c r="AE34" i="25"/>
  <c r="S28" i="25"/>
  <c r="S27" i="25"/>
  <c r="AD28" i="25"/>
  <c r="AC28" i="25"/>
  <c r="S26" i="25"/>
  <c r="AD27" i="25"/>
  <c r="AC27" i="25"/>
  <c r="S23" i="25"/>
  <c r="AB28" i="25"/>
  <c r="AA28" i="25"/>
  <c r="AB27" i="25"/>
  <c r="AA27" i="25"/>
  <c r="AB26" i="25"/>
  <c r="AA26" i="25"/>
  <c r="AE27" i="25"/>
  <c r="AD26" i="25"/>
  <c r="AC26" i="25"/>
  <c r="AE26" i="25"/>
  <c r="AE28" i="25"/>
  <c r="I23" i="25"/>
  <c r="M27" i="25"/>
  <c r="M25" i="25"/>
  <c r="M28" i="25"/>
  <c r="M24" i="25"/>
  <c r="M26" i="25"/>
  <c r="J23" i="25"/>
  <c r="Z23" i="25"/>
  <c r="J14" i="24"/>
  <c r="I14" i="24"/>
  <c r="H14" i="24"/>
  <c r="G14" i="24"/>
  <c r="F14" i="24"/>
  <c r="E14" i="24"/>
  <c r="Q14" i="23"/>
  <c r="P14" i="23"/>
  <c r="O14" i="23"/>
  <c r="N14" i="23"/>
  <c r="M14" i="23"/>
  <c r="L14" i="23"/>
  <c r="K14" i="23"/>
  <c r="J14" i="23"/>
  <c r="I14" i="23"/>
  <c r="G14" i="23"/>
  <c r="F14" i="23"/>
  <c r="E14" i="23"/>
  <c r="I35" i="25"/>
  <c r="M40" i="25"/>
  <c r="M36" i="25"/>
  <c r="M38" i="25"/>
  <c r="M39" i="25"/>
  <c r="M37" i="25"/>
  <c r="AA23" i="25"/>
  <c r="AB23" i="25"/>
  <c r="Z24" i="25"/>
  <c r="J35" i="25"/>
  <c r="AB24" i="25"/>
  <c r="Z25" i="25"/>
  <c r="AA24" i="25"/>
  <c r="V22" i="25"/>
  <c r="S22" i="25"/>
  <c r="V21" i="25"/>
  <c r="S21" i="25"/>
  <c r="V20" i="25"/>
  <c r="S20" i="25"/>
  <c r="V19" i="25"/>
  <c r="S19" i="25"/>
  <c r="V18" i="25"/>
  <c r="S18" i="25"/>
  <c r="V17" i="25"/>
  <c r="S17" i="25"/>
  <c r="I17" i="25"/>
  <c r="AD46" i="25"/>
  <c r="AC46" i="25"/>
  <c r="Z46" i="25"/>
  <c r="AB46" i="25"/>
  <c r="AD45" i="25"/>
  <c r="AC45" i="25"/>
  <c r="Z45" i="25"/>
  <c r="AB45" i="25"/>
  <c r="AD44" i="25"/>
  <c r="AC44" i="25"/>
  <c r="Z44" i="25"/>
  <c r="AA44" i="25"/>
  <c r="AD43" i="25"/>
  <c r="AC43" i="25"/>
  <c r="Z43" i="25"/>
  <c r="AA43" i="25"/>
  <c r="AD42" i="25"/>
  <c r="AC42" i="25"/>
  <c r="Z42" i="25"/>
  <c r="AA42" i="25"/>
  <c r="AD41" i="25"/>
  <c r="AC41" i="25"/>
  <c r="Z41" i="25"/>
  <c r="AA41" i="25"/>
  <c r="M19" i="25"/>
  <c r="M20" i="25"/>
  <c r="M21" i="25"/>
  <c r="M18" i="25"/>
  <c r="M22" i="25"/>
  <c r="AA25" i="25"/>
  <c r="AB25" i="25"/>
  <c r="AE42" i="25"/>
  <c r="AB41" i="25"/>
  <c r="AE44" i="25"/>
  <c r="AB44" i="25"/>
  <c r="AA45" i="25"/>
  <c r="AE45" i="25"/>
  <c r="AA46" i="25"/>
  <c r="AE46" i="25"/>
  <c r="AB43" i="25"/>
  <c r="AB42" i="25"/>
  <c r="AE41" i="25"/>
  <c r="AE43" i="25"/>
  <c r="J17" i="25"/>
  <c r="Z17" i="25"/>
  <c r="AD22" i="25"/>
  <c r="AC22" i="25"/>
  <c r="Z22" i="25"/>
  <c r="D1" i="23"/>
  <c r="T2" i="23"/>
  <c r="D2" i="23"/>
  <c r="A2" i="23"/>
  <c r="N5" i="23"/>
  <c r="N4" i="23"/>
  <c r="D5" i="23"/>
  <c r="D4" i="23"/>
  <c r="R68" i="23"/>
  <c r="R67" i="23"/>
  <c r="H67" i="23"/>
  <c r="P68" i="24"/>
  <c r="P67" i="24"/>
  <c r="I67" i="24"/>
  <c r="D5" i="24"/>
  <c r="D4" i="24"/>
  <c r="V2" i="24"/>
  <c r="D2" i="24"/>
  <c r="D1" i="24"/>
  <c r="A2" i="24"/>
  <c r="F2" i="26"/>
  <c r="A2" i="26"/>
  <c r="B2" i="26"/>
  <c r="B1" i="26"/>
  <c r="F19" i="26"/>
  <c r="F18" i="26"/>
  <c r="D18" i="26"/>
  <c r="B18" i="26"/>
  <c r="AA17" i="25"/>
  <c r="AB17" i="25"/>
  <c r="Z18" i="25"/>
  <c r="AA18" i="25"/>
  <c r="AB22" i="25"/>
  <c r="AA22" i="25"/>
  <c r="AE22" i="25"/>
  <c r="G64" i="24"/>
  <c r="F64" i="24"/>
  <c r="E64" i="24"/>
  <c r="G63" i="24"/>
  <c r="F63" i="24"/>
  <c r="E63" i="24"/>
  <c r="G62" i="24"/>
  <c r="F62" i="24"/>
  <c r="E62" i="24"/>
  <c r="G61" i="24"/>
  <c r="F61" i="24"/>
  <c r="E61" i="24"/>
  <c r="G60" i="24"/>
  <c r="F60" i="24"/>
  <c r="E60" i="24"/>
  <c r="G59" i="24"/>
  <c r="F59" i="24"/>
  <c r="E59" i="24"/>
  <c r="G58" i="24"/>
  <c r="F58" i="24"/>
  <c r="E58" i="24"/>
  <c r="G57" i="24"/>
  <c r="F57" i="24"/>
  <c r="E57" i="24"/>
  <c r="G56" i="24"/>
  <c r="F56" i="24"/>
  <c r="E56" i="24"/>
  <c r="G55" i="24"/>
  <c r="F55" i="24"/>
  <c r="E55" i="24"/>
  <c r="G54" i="24"/>
  <c r="F54" i="24"/>
  <c r="E54" i="24"/>
  <c r="G53" i="24"/>
  <c r="F53" i="24"/>
  <c r="E53" i="24"/>
  <c r="G52" i="24"/>
  <c r="F52" i="24"/>
  <c r="E52" i="24"/>
  <c r="G51" i="24"/>
  <c r="F51" i="24"/>
  <c r="E51" i="24"/>
  <c r="G50" i="24"/>
  <c r="F50" i="24"/>
  <c r="E50" i="24"/>
  <c r="G49" i="24"/>
  <c r="F49" i="24"/>
  <c r="E49" i="24"/>
  <c r="G48" i="24"/>
  <c r="F48" i="24"/>
  <c r="E48" i="24"/>
  <c r="G47" i="24"/>
  <c r="F47" i="24"/>
  <c r="E47" i="24"/>
  <c r="G46" i="24"/>
  <c r="F46" i="24"/>
  <c r="E46" i="24"/>
  <c r="G45" i="24"/>
  <c r="F45" i="24"/>
  <c r="E45" i="24"/>
  <c r="G44" i="24"/>
  <c r="F44" i="24"/>
  <c r="E44" i="24"/>
  <c r="G43" i="24"/>
  <c r="F43" i="24"/>
  <c r="E43" i="24"/>
  <c r="G42" i="24"/>
  <c r="F42" i="24"/>
  <c r="E42" i="24"/>
  <c r="G41" i="24"/>
  <c r="F41" i="24"/>
  <c r="E41" i="24"/>
  <c r="G40" i="24"/>
  <c r="F40" i="24"/>
  <c r="E40" i="24"/>
  <c r="G39" i="24"/>
  <c r="F39" i="24"/>
  <c r="E39" i="24"/>
  <c r="G38" i="24"/>
  <c r="F38" i="24"/>
  <c r="E38" i="24"/>
  <c r="G37" i="24"/>
  <c r="F37" i="24"/>
  <c r="E37" i="24"/>
  <c r="G36" i="24"/>
  <c r="F36" i="24"/>
  <c r="E36" i="24"/>
  <c r="G35" i="24"/>
  <c r="F35" i="24"/>
  <c r="E35" i="24"/>
  <c r="G34" i="24"/>
  <c r="F34" i="24"/>
  <c r="E34" i="24"/>
  <c r="G33" i="24"/>
  <c r="F33" i="24"/>
  <c r="E33" i="24"/>
  <c r="G32" i="24"/>
  <c r="F32" i="24"/>
  <c r="E32" i="24"/>
  <c r="G31" i="24"/>
  <c r="F31" i="24"/>
  <c r="E31" i="24"/>
  <c r="G30" i="24"/>
  <c r="F30" i="24"/>
  <c r="E30" i="24"/>
  <c r="G29" i="24"/>
  <c r="F29" i="24"/>
  <c r="E29" i="24"/>
  <c r="G28" i="24"/>
  <c r="F28" i="24"/>
  <c r="E28" i="24"/>
  <c r="G27" i="24"/>
  <c r="F27" i="24"/>
  <c r="E27" i="24"/>
  <c r="G26" i="24"/>
  <c r="F26" i="24"/>
  <c r="E26" i="24"/>
  <c r="G25" i="24"/>
  <c r="F25" i="24"/>
  <c r="E25" i="24"/>
  <c r="G24" i="24"/>
  <c r="F24" i="24"/>
  <c r="E24" i="24"/>
  <c r="G23" i="24"/>
  <c r="F23" i="24"/>
  <c r="E23" i="24"/>
  <c r="G22" i="24"/>
  <c r="F22" i="24"/>
  <c r="E22" i="24"/>
  <c r="G21" i="24"/>
  <c r="F21" i="24"/>
  <c r="E21" i="24"/>
  <c r="G20" i="24"/>
  <c r="F20" i="24"/>
  <c r="E20" i="24"/>
  <c r="G19" i="24"/>
  <c r="F19" i="24"/>
  <c r="E19" i="24"/>
  <c r="G18" i="24"/>
  <c r="F18" i="24"/>
  <c r="E18" i="24"/>
  <c r="G17" i="24"/>
  <c r="F17" i="24"/>
  <c r="E17" i="24"/>
  <c r="G16" i="24"/>
  <c r="F16" i="24"/>
  <c r="E16" i="24"/>
  <c r="G15" i="24"/>
  <c r="F15" i="24"/>
  <c r="E15" i="24"/>
  <c r="G13" i="24"/>
  <c r="F13" i="24"/>
  <c r="E13" i="24"/>
  <c r="G12" i="24"/>
  <c r="F12" i="24"/>
  <c r="E12" i="24"/>
  <c r="G11" i="24"/>
  <c r="F11" i="24"/>
  <c r="E11"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64" i="23"/>
  <c r="F64" i="23"/>
  <c r="G63" i="23"/>
  <c r="F63" i="23"/>
  <c r="G62" i="23"/>
  <c r="F62" i="23"/>
  <c r="G61" i="23"/>
  <c r="F61" i="23"/>
  <c r="G60" i="23"/>
  <c r="F60" i="23"/>
  <c r="G59" i="23"/>
  <c r="F59" i="23"/>
  <c r="G58" i="23"/>
  <c r="F58" i="23"/>
  <c r="G57" i="23"/>
  <c r="F57" i="23"/>
  <c r="G56" i="23"/>
  <c r="F56" i="23"/>
  <c r="G55" i="23"/>
  <c r="F55" i="23"/>
  <c r="G54" i="23"/>
  <c r="F54" i="23"/>
  <c r="G53" i="23"/>
  <c r="F53" i="23"/>
  <c r="G52" i="23"/>
  <c r="F52" i="23"/>
  <c r="G51" i="23"/>
  <c r="F51" i="23"/>
  <c r="G50" i="23"/>
  <c r="F50" i="23"/>
  <c r="G49" i="23"/>
  <c r="F49" i="23"/>
  <c r="G48" i="23"/>
  <c r="F48" i="23"/>
  <c r="G47" i="23"/>
  <c r="F47" i="23"/>
  <c r="G46" i="23"/>
  <c r="F46" i="23"/>
  <c r="G45" i="23"/>
  <c r="F45" i="23"/>
  <c r="G44" i="23"/>
  <c r="F44" i="23"/>
  <c r="G43" i="23"/>
  <c r="F43" i="23"/>
  <c r="G42" i="23"/>
  <c r="F42" i="23"/>
  <c r="G41" i="23"/>
  <c r="F41" i="23"/>
  <c r="G40" i="23"/>
  <c r="F40" i="23"/>
  <c r="G39" i="23"/>
  <c r="F39" i="23"/>
  <c r="G38" i="23"/>
  <c r="F38" i="23"/>
  <c r="G37" i="23"/>
  <c r="F37" i="23"/>
  <c r="G36" i="23"/>
  <c r="F36" i="23"/>
  <c r="G35" i="23"/>
  <c r="F35" i="23"/>
  <c r="G34" i="23"/>
  <c r="F34" i="23"/>
  <c r="G33" i="23"/>
  <c r="F33" i="23"/>
  <c r="G32" i="23"/>
  <c r="F32" i="23"/>
  <c r="G31" i="23"/>
  <c r="F31" i="23"/>
  <c r="G30" i="23"/>
  <c r="F30" i="23"/>
  <c r="G29" i="23"/>
  <c r="F29" i="23"/>
  <c r="G28" i="23"/>
  <c r="F28" i="23"/>
  <c r="G27" i="23"/>
  <c r="F27" i="23"/>
  <c r="G26" i="23"/>
  <c r="F26" i="23"/>
  <c r="G25" i="23"/>
  <c r="F25" i="23"/>
  <c r="G24" i="23"/>
  <c r="F24" i="23"/>
  <c r="G23" i="23"/>
  <c r="F23" i="23"/>
  <c r="G22" i="23"/>
  <c r="F22" i="23"/>
  <c r="G21" i="23"/>
  <c r="F21" i="23"/>
  <c r="G20" i="23"/>
  <c r="F20" i="23"/>
  <c r="G19" i="23"/>
  <c r="F19" i="23"/>
  <c r="G18" i="23"/>
  <c r="F18" i="23"/>
  <c r="G17" i="23"/>
  <c r="F17" i="23"/>
  <c r="G16" i="23"/>
  <c r="F16" i="23"/>
  <c r="G15" i="23"/>
  <c r="F15" i="23"/>
  <c r="G13" i="23"/>
  <c r="F13" i="23"/>
  <c r="G12" i="23"/>
  <c r="F12" i="23"/>
  <c r="G11" i="23"/>
  <c r="F11" i="23"/>
  <c r="G10" i="23"/>
  <c r="F10" i="23"/>
  <c r="E64" i="23"/>
  <c r="E63" i="23"/>
  <c r="E62" i="23"/>
  <c r="E61" i="23"/>
  <c r="E60" i="23"/>
  <c r="E59" i="23"/>
  <c r="E58" i="23"/>
  <c r="E57" i="23"/>
  <c r="E56" i="23"/>
  <c r="E55" i="23"/>
  <c r="E54" i="23"/>
  <c r="E53" i="23"/>
  <c r="E52" i="23"/>
  <c r="E51" i="23"/>
  <c r="E50" i="23"/>
  <c r="E49" i="23"/>
  <c r="E48" i="23"/>
  <c r="E47" i="23"/>
  <c r="E46" i="23"/>
  <c r="E45" i="23"/>
  <c r="E44" i="23"/>
  <c r="E43" i="23"/>
  <c r="E42" i="23"/>
  <c r="E41" i="23"/>
  <c r="E4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3" i="23"/>
  <c r="E12" i="23"/>
  <c r="E11" i="23"/>
  <c r="E10" i="23"/>
  <c r="G8" i="23"/>
  <c r="F8" i="23"/>
  <c r="E8" i="23"/>
  <c r="D8" i="23"/>
  <c r="C8" i="23"/>
  <c r="B8" i="23"/>
  <c r="A8" i="23"/>
  <c r="AB18" i="25"/>
  <c r="Z19" i="25"/>
  <c r="V10" i="25"/>
  <c r="AA19" i="25"/>
  <c r="AB19" i="25"/>
  <c r="Z20" i="25"/>
  <c r="J64" i="24"/>
  <c r="I64" i="24"/>
  <c r="H64" i="24"/>
  <c r="J63" i="24"/>
  <c r="I63" i="24"/>
  <c r="H63" i="24"/>
  <c r="J62" i="24"/>
  <c r="I62" i="24"/>
  <c r="H62" i="24"/>
  <c r="J61" i="24"/>
  <c r="I61" i="24"/>
  <c r="H61" i="24"/>
  <c r="J60" i="24"/>
  <c r="I60" i="24"/>
  <c r="H60" i="24"/>
  <c r="J59" i="24"/>
  <c r="I59" i="24"/>
  <c r="H59" i="24"/>
  <c r="D59" i="24"/>
  <c r="C59" i="24"/>
  <c r="B59" i="24"/>
  <c r="A59" i="24"/>
  <c r="J58" i="24"/>
  <c r="I58" i="24"/>
  <c r="H58" i="24"/>
  <c r="J57" i="24"/>
  <c r="I57" i="24"/>
  <c r="H57" i="24"/>
  <c r="J56" i="24"/>
  <c r="I56" i="24"/>
  <c r="H56" i="24"/>
  <c r="J55" i="24"/>
  <c r="I55" i="24"/>
  <c r="H55" i="24"/>
  <c r="J54" i="24"/>
  <c r="I54" i="24"/>
  <c r="H54" i="24"/>
  <c r="J53" i="24"/>
  <c r="I53" i="24"/>
  <c r="H53" i="24"/>
  <c r="D53" i="24"/>
  <c r="C53" i="24"/>
  <c r="B53" i="24"/>
  <c r="A53" i="24"/>
  <c r="J52" i="24"/>
  <c r="I52" i="24"/>
  <c r="H52" i="24"/>
  <c r="J51" i="24"/>
  <c r="I51" i="24"/>
  <c r="H51" i="24"/>
  <c r="J50" i="24"/>
  <c r="I50" i="24"/>
  <c r="H50" i="24"/>
  <c r="J49" i="24"/>
  <c r="I49" i="24"/>
  <c r="H49" i="24"/>
  <c r="J48" i="24"/>
  <c r="I48" i="24"/>
  <c r="H48" i="24"/>
  <c r="J47" i="24"/>
  <c r="I47" i="24"/>
  <c r="H47" i="24"/>
  <c r="D47" i="24"/>
  <c r="C47" i="24"/>
  <c r="B47" i="24"/>
  <c r="A47" i="24"/>
  <c r="J46" i="24"/>
  <c r="I46" i="24"/>
  <c r="H46" i="24"/>
  <c r="J45" i="24"/>
  <c r="I45" i="24"/>
  <c r="H45" i="24"/>
  <c r="J44" i="24"/>
  <c r="I44" i="24"/>
  <c r="H44" i="24"/>
  <c r="J43" i="24"/>
  <c r="I43" i="24"/>
  <c r="H43" i="24"/>
  <c r="J42" i="24"/>
  <c r="I42" i="24"/>
  <c r="H42" i="24"/>
  <c r="J41" i="24"/>
  <c r="I41" i="24"/>
  <c r="H41" i="24"/>
  <c r="D41" i="24"/>
  <c r="C41" i="24"/>
  <c r="B41" i="24"/>
  <c r="A41" i="24"/>
  <c r="J40" i="24"/>
  <c r="I40" i="24"/>
  <c r="H40" i="24"/>
  <c r="J39" i="24"/>
  <c r="I39" i="24"/>
  <c r="H39" i="24"/>
  <c r="J38" i="24"/>
  <c r="I38" i="24"/>
  <c r="H38" i="24"/>
  <c r="J37" i="24"/>
  <c r="I37" i="24"/>
  <c r="H37" i="24"/>
  <c r="J36" i="24"/>
  <c r="I36" i="24"/>
  <c r="H36" i="24"/>
  <c r="J35" i="24"/>
  <c r="I35" i="24"/>
  <c r="H35" i="24"/>
  <c r="D35" i="24"/>
  <c r="C35" i="24"/>
  <c r="B35" i="24"/>
  <c r="A35" i="24"/>
  <c r="J34" i="24"/>
  <c r="I34" i="24"/>
  <c r="H34" i="24"/>
  <c r="J33" i="24"/>
  <c r="I33" i="24"/>
  <c r="H33" i="24"/>
  <c r="J32" i="24"/>
  <c r="I32" i="24"/>
  <c r="H32" i="24"/>
  <c r="J31" i="24"/>
  <c r="I31" i="24"/>
  <c r="H31" i="24"/>
  <c r="J30" i="24"/>
  <c r="I30" i="24"/>
  <c r="H30" i="24"/>
  <c r="J29" i="24"/>
  <c r="I29" i="24"/>
  <c r="H29" i="24"/>
  <c r="D29" i="24"/>
  <c r="C29" i="24"/>
  <c r="B29" i="24"/>
  <c r="A29" i="24"/>
  <c r="J28" i="24"/>
  <c r="I28" i="24"/>
  <c r="H28" i="24"/>
  <c r="J27" i="24"/>
  <c r="I27" i="24"/>
  <c r="H27" i="24"/>
  <c r="J26" i="24"/>
  <c r="I26" i="24"/>
  <c r="H26" i="24"/>
  <c r="J25" i="24"/>
  <c r="I25" i="24"/>
  <c r="H25" i="24"/>
  <c r="J24" i="24"/>
  <c r="I24" i="24"/>
  <c r="H24" i="24"/>
  <c r="J23" i="24"/>
  <c r="I23" i="24"/>
  <c r="H23" i="24"/>
  <c r="D23" i="24"/>
  <c r="C23" i="24"/>
  <c r="B23" i="24"/>
  <c r="A23" i="24"/>
  <c r="Q64" i="23"/>
  <c r="O64" i="23"/>
  <c r="N64" i="23"/>
  <c r="M64" i="23"/>
  <c r="L64" i="23"/>
  <c r="K64" i="23"/>
  <c r="J64" i="23"/>
  <c r="I64" i="23"/>
  <c r="Q63" i="23"/>
  <c r="O63" i="23"/>
  <c r="N63" i="23"/>
  <c r="M63" i="23"/>
  <c r="L63" i="23"/>
  <c r="K63" i="23"/>
  <c r="J63" i="23"/>
  <c r="I63" i="23"/>
  <c r="Q62" i="23"/>
  <c r="O62" i="23"/>
  <c r="N62" i="23"/>
  <c r="M62" i="23"/>
  <c r="L62" i="23"/>
  <c r="K62" i="23"/>
  <c r="J62" i="23"/>
  <c r="I62" i="23"/>
  <c r="Q61" i="23"/>
  <c r="O61" i="23"/>
  <c r="N61" i="23"/>
  <c r="M61" i="23"/>
  <c r="L61" i="23"/>
  <c r="K61" i="23"/>
  <c r="J61" i="23"/>
  <c r="I61" i="23"/>
  <c r="Q60" i="23"/>
  <c r="O60" i="23"/>
  <c r="N60" i="23"/>
  <c r="M60" i="23"/>
  <c r="L60" i="23"/>
  <c r="K60" i="23"/>
  <c r="J60" i="23"/>
  <c r="I60" i="23"/>
  <c r="Q59" i="23"/>
  <c r="O59" i="23"/>
  <c r="N59" i="23"/>
  <c r="M59" i="23"/>
  <c r="L59" i="23"/>
  <c r="K59" i="23"/>
  <c r="J59" i="23"/>
  <c r="I59" i="23"/>
  <c r="D59" i="23"/>
  <c r="C59" i="23"/>
  <c r="B59" i="23"/>
  <c r="A59" i="23"/>
  <c r="Q58" i="23"/>
  <c r="O58" i="23"/>
  <c r="N58" i="23"/>
  <c r="M58" i="23"/>
  <c r="L58" i="23"/>
  <c r="K58" i="23"/>
  <c r="J58" i="23"/>
  <c r="I58" i="23"/>
  <c r="Q57" i="23"/>
  <c r="O57" i="23"/>
  <c r="N57" i="23"/>
  <c r="M57" i="23"/>
  <c r="L57" i="23"/>
  <c r="K57" i="23"/>
  <c r="J57" i="23"/>
  <c r="I57" i="23"/>
  <c r="Q56" i="23"/>
  <c r="O56" i="23"/>
  <c r="N56" i="23"/>
  <c r="M56" i="23"/>
  <c r="L56" i="23"/>
  <c r="K56" i="23"/>
  <c r="J56" i="23"/>
  <c r="I56" i="23"/>
  <c r="Q55" i="23"/>
  <c r="O55" i="23"/>
  <c r="N55" i="23"/>
  <c r="M55" i="23"/>
  <c r="L55" i="23"/>
  <c r="K55" i="23"/>
  <c r="J55" i="23"/>
  <c r="I55" i="23"/>
  <c r="Q54" i="23"/>
  <c r="O54" i="23"/>
  <c r="N54" i="23"/>
  <c r="M54" i="23"/>
  <c r="L54" i="23"/>
  <c r="K54" i="23"/>
  <c r="J54" i="23"/>
  <c r="I54" i="23"/>
  <c r="Q53" i="23"/>
  <c r="O53" i="23"/>
  <c r="N53" i="23"/>
  <c r="M53" i="23"/>
  <c r="L53" i="23"/>
  <c r="K53" i="23"/>
  <c r="J53" i="23"/>
  <c r="I53" i="23"/>
  <c r="D53" i="23"/>
  <c r="C53" i="23"/>
  <c r="B53" i="23"/>
  <c r="A53" i="23"/>
  <c r="Q52" i="23"/>
  <c r="O52" i="23"/>
  <c r="N52" i="23"/>
  <c r="M52" i="23"/>
  <c r="L52" i="23"/>
  <c r="K52" i="23"/>
  <c r="J52" i="23"/>
  <c r="I52" i="23"/>
  <c r="Q51" i="23"/>
  <c r="O51" i="23"/>
  <c r="N51" i="23"/>
  <c r="M51" i="23"/>
  <c r="L51" i="23"/>
  <c r="K51" i="23"/>
  <c r="J51" i="23"/>
  <c r="I51" i="23"/>
  <c r="Q50" i="23"/>
  <c r="O50" i="23"/>
  <c r="N50" i="23"/>
  <c r="M50" i="23"/>
  <c r="L50" i="23"/>
  <c r="K50" i="23"/>
  <c r="J50" i="23"/>
  <c r="I50" i="23"/>
  <c r="Q49" i="23"/>
  <c r="O49" i="23"/>
  <c r="N49" i="23"/>
  <c r="M49" i="23"/>
  <c r="L49" i="23"/>
  <c r="K49" i="23"/>
  <c r="J49" i="23"/>
  <c r="I49" i="23"/>
  <c r="Q48" i="23"/>
  <c r="O48" i="23"/>
  <c r="N48" i="23"/>
  <c r="M48" i="23"/>
  <c r="L48" i="23"/>
  <c r="K48" i="23"/>
  <c r="J48" i="23"/>
  <c r="I48" i="23"/>
  <c r="Q47" i="23"/>
  <c r="O47" i="23"/>
  <c r="N47" i="23"/>
  <c r="M47" i="23"/>
  <c r="L47" i="23"/>
  <c r="K47" i="23"/>
  <c r="J47" i="23"/>
  <c r="I47" i="23"/>
  <c r="D47" i="23"/>
  <c r="C47" i="23"/>
  <c r="B47" i="23"/>
  <c r="A47" i="23"/>
  <c r="Q46" i="23"/>
  <c r="O46" i="23"/>
  <c r="N46" i="23"/>
  <c r="M46" i="23"/>
  <c r="L46" i="23"/>
  <c r="K46" i="23"/>
  <c r="J46" i="23"/>
  <c r="I46" i="23"/>
  <c r="Q45" i="23"/>
  <c r="O45" i="23"/>
  <c r="N45" i="23"/>
  <c r="M45" i="23"/>
  <c r="L45" i="23"/>
  <c r="K45" i="23"/>
  <c r="J45" i="23"/>
  <c r="I45" i="23"/>
  <c r="Q44" i="23"/>
  <c r="O44" i="23"/>
  <c r="N44" i="23"/>
  <c r="M44" i="23"/>
  <c r="L44" i="23"/>
  <c r="K44" i="23"/>
  <c r="J44" i="23"/>
  <c r="I44" i="23"/>
  <c r="Q43" i="23"/>
  <c r="O43" i="23"/>
  <c r="N43" i="23"/>
  <c r="M43" i="23"/>
  <c r="L43" i="23"/>
  <c r="K43" i="23"/>
  <c r="J43" i="23"/>
  <c r="I43" i="23"/>
  <c r="Q42" i="23"/>
  <c r="O42" i="23"/>
  <c r="N42" i="23"/>
  <c r="M42" i="23"/>
  <c r="L42" i="23"/>
  <c r="K42" i="23"/>
  <c r="J42" i="23"/>
  <c r="I42" i="23"/>
  <c r="Q41" i="23"/>
  <c r="O41" i="23"/>
  <c r="N41" i="23"/>
  <c r="M41" i="23"/>
  <c r="L41" i="23"/>
  <c r="K41" i="23"/>
  <c r="J41" i="23"/>
  <c r="I41" i="23"/>
  <c r="D41" i="23"/>
  <c r="C41" i="23"/>
  <c r="B41" i="23"/>
  <c r="A41" i="23"/>
  <c r="Q40" i="23"/>
  <c r="O40" i="23"/>
  <c r="N40" i="23"/>
  <c r="M40" i="23"/>
  <c r="L40" i="23"/>
  <c r="K40" i="23"/>
  <c r="J40" i="23"/>
  <c r="I40" i="23"/>
  <c r="Q39" i="23"/>
  <c r="O39" i="23"/>
  <c r="N39" i="23"/>
  <c r="M39" i="23"/>
  <c r="L39" i="23"/>
  <c r="K39" i="23"/>
  <c r="J39" i="23"/>
  <c r="I39" i="23"/>
  <c r="Q38" i="23"/>
  <c r="O38" i="23"/>
  <c r="N38" i="23"/>
  <c r="M38" i="23"/>
  <c r="L38" i="23"/>
  <c r="K38" i="23"/>
  <c r="J38" i="23"/>
  <c r="I38" i="23"/>
  <c r="Q37" i="23"/>
  <c r="O37" i="23"/>
  <c r="N37" i="23"/>
  <c r="M37" i="23"/>
  <c r="L37" i="23"/>
  <c r="K37" i="23"/>
  <c r="J37" i="23"/>
  <c r="I37" i="23"/>
  <c r="Q36" i="23"/>
  <c r="O36" i="23"/>
  <c r="N36" i="23"/>
  <c r="M36" i="23"/>
  <c r="L36" i="23"/>
  <c r="K36" i="23"/>
  <c r="J36" i="23"/>
  <c r="I36" i="23"/>
  <c r="Q35" i="23"/>
  <c r="O35" i="23"/>
  <c r="N35" i="23"/>
  <c r="M35" i="23"/>
  <c r="L35" i="23"/>
  <c r="K35" i="23"/>
  <c r="J35" i="23"/>
  <c r="I35" i="23"/>
  <c r="D35" i="23"/>
  <c r="C35" i="23"/>
  <c r="B35" i="23"/>
  <c r="A35" i="23"/>
  <c r="Q34" i="23"/>
  <c r="O34" i="23"/>
  <c r="N34" i="23"/>
  <c r="M34" i="23"/>
  <c r="L34" i="23"/>
  <c r="K34" i="23"/>
  <c r="J34" i="23"/>
  <c r="I34" i="23"/>
  <c r="Q33" i="23"/>
  <c r="O33" i="23"/>
  <c r="N33" i="23"/>
  <c r="M33" i="23"/>
  <c r="L33" i="23"/>
  <c r="K33" i="23"/>
  <c r="J33" i="23"/>
  <c r="I33" i="23"/>
  <c r="Q32" i="23"/>
  <c r="O32" i="23"/>
  <c r="N32" i="23"/>
  <c r="M32" i="23"/>
  <c r="L32" i="23"/>
  <c r="K32" i="23"/>
  <c r="J32" i="23"/>
  <c r="I32" i="23"/>
  <c r="Q31" i="23"/>
  <c r="O31" i="23"/>
  <c r="N31" i="23"/>
  <c r="M31" i="23"/>
  <c r="L31" i="23"/>
  <c r="K31" i="23"/>
  <c r="J31" i="23"/>
  <c r="I31" i="23"/>
  <c r="Q30" i="23"/>
  <c r="O30" i="23"/>
  <c r="N30" i="23"/>
  <c r="M30" i="23"/>
  <c r="L30" i="23"/>
  <c r="K30" i="23"/>
  <c r="J30" i="23"/>
  <c r="I30" i="23"/>
  <c r="Q29" i="23"/>
  <c r="O29" i="23"/>
  <c r="N29" i="23"/>
  <c r="M29" i="23"/>
  <c r="L29" i="23"/>
  <c r="K29" i="23"/>
  <c r="J29" i="23"/>
  <c r="I29" i="23"/>
  <c r="D29" i="23"/>
  <c r="C29" i="23"/>
  <c r="B29" i="23"/>
  <c r="A29" i="23"/>
  <c r="Q28" i="23"/>
  <c r="O28" i="23"/>
  <c r="N28" i="23"/>
  <c r="M28" i="23"/>
  <c r="L28" i="23"/>
  <c r="K28" i="23"/>
  <c r="J28" i="23"/>
  <c r="I28" i="23"/>
  <c r="Q27" i="23"/>
  <c r="O27" i="23"/>
  <c r="N27" i="23"/>
  <c r="M27" i="23"/>
  <c r="L27" i="23"/>
  <c r="K27" i="23"/>
  <c r="J27" i="23"/>
  <c r="I27" i="23"/>
  <c r="Q26" i="23"/>
  <c r="O26" i="23"/>
  <c r="N26" i="23"/>
  <c r="M26" i="23"/>
  <c r="L26" i="23"/>
  <c r="K26" i="23"/>
  <c r="J26" i="23"/>
  <c r="I26" i="23"/>
  <c r="Q25" i="23"/>
  <c r="O25" i="23"/>
  <c r="N25" i="23"/>
  <c r="M25" i="23"/>
  <c r="L25" i="23"/>
  <c r="K25" i="23"/>
  <c r="J25" i="23"/>
  <c r="I25" i="23"/>
  <c r="Q24" i="23"/>
  <c r="O24" i="23"/>
  <c r="N24" i="23"/>
  <c r="M24" i="23"/>
  <c r="L24" i="23"/>
  <c r="K24" i="23"/>
  <c r="J24" i="23"/>
  <c r="I24" i="23"/>
  <c r="Q23" i="23"/>
  <c r="O23" i="23"/>
  <c r="N23" i="23"/>
  <c r="M23" i="23"/>
  <c r="L23" i="23"/>
  <c r="K23" i="23"/>
  <c r="J23" i="23"/>
  <c r="I23" i="23"/>
  <c r="D23" i="23"/>
  <c r="C23" i="23"/>
  <c r="B23" i="23"/>
  <c r="A23" i="23"/>
  <c r="J22" i="24"/>
  <c r="I22" i="24"/>
  <c r="H22" i="24"/>
  <c r="J21" i="24"/>
  <c r="I21" i="24"/>
  <c r="H21" i="24"/>
  <c r="J20" i="24"/>
  <c r="I20" i="24"/>
  <c r="H20" i="24"/>
  <c r="J19" i="24"/>
  <c r="I19" i="24"/>
  <c r="H19" i="24"/>
  <c r="J18" i="24"/>
  <c r="I18" i="24"/>
  <c r="H18" i="24"/>
  <c r="J17" i="24"/>
  <c r="I17" i="24"/>
  <c r="J16" i="24"/>
  <c r="I16" i="24"/>
  <c r="H16" i="24"/>
  <c r="J15" i="24"/>
  <c r="I15" i="24"/>
  <c r="H15" i="24"/>
  <c r="J13" i="24"/>
  <c r="I13" i="24"/>
  <c r="H13" i="24"/>
  <c r="J12" i="24"/>
  <c r="I12" i="24"/>
  <c r="H12" i="24"/>
  <c r="J11" i="24"/>
  <c r="I11" i="24"/>
  <c r="H11" i="24"/>
  <c r="Q22" i="23"/>
  <c r="O22" i="23"/>
  <c r="N22" i="23"/>
  <c r="M22" i="23"/>
  <c r="L22" i="23"/>
  <c r="K22" i="23"/>
  <c r="J22" i="23"/>
  <c r="I22" i="23"/>
  <c r="Q21" i="23"/>
  <c r="O21" i="23"/>
  <c r="N21" i="23"/>
  <c r="M21" i="23"/>
  <c r="L21" i="23"/>
  <c r="K21" i="23"/>
  <c r="J21" i="23"/>
  <c r="I21" i="23"/>
  <c r="Q20" i="23"/>
  <c r="O20" i="23"/>
  <c r="N20" i="23"/>
  <c r="M20" i="23"/>
  <c r="L20" i="23"/>
  <c r="K20" i="23"/>
  <c r="J20" i="23"/>
  <c r="I20" i="23"/>
  <c r="Q19" i="23"/>
  <c r="O19" i="23"/>
  <c r="N19" i="23"/>
  <c r="M19" i="23"/>
  <c r="L19" i="23"/>
  <c r="K19" i="23"/>
  <c r="J19" i="23"/>
  <c r="I19" i="23"/>
  <c r="Q18" i="23"/>
  <c r="O18" i="23"/>
  <c r="N18" i="23"/>
  <c r="M18" i="23"/>
  <c r="L18" i="23"/>
  <c r="K18" i="23"/>
  <c r="J18" i="23"/>
  <c r="I18" i="23"/>
  <c r="Q17" i="23"/>
  <c r="O17" i="23"/>
  <c r="N17" i="23"/>
  <c r="M17" i="23"/>
  <c r="L17" i="23"/>
  <c r="K17" i="23"/>
  <c r="J17" i="23"/>
  <c r="I17" i="23"/>
  <c r="D17" i="23"/>
  <c r="C17" i="23"/>
  <c r="B17" i="23"/>
  <c r="A17" i="23"/>
  <c r="O16" i="23"/>
  <c r="N16" i="23"/>
  <c r="M16" i="23"/>
  <c r="L16" i="23"/>
  <c r="K16" i="23"/>
  <c r="O15" i="23"/>
  <c r="N15" i="23"/>
  <c r="M15" i="23"/>
  <c r="L15" i="23"/>
  <c r="K15" i="23"/>
  <c r="O13" i="23"/>
  <c r="N13" i="23"/>
  <c r="M13" i="23"/>
  <c r="L13" i="23"/>
  <c r="K13" i="23"/>
  <c r="O12" i="23"/>
  <c r="N12" i="23"/>
  <c r="M12" i="23"/>
  <c r="L12" i="23"/>
  <c r="K12" i="23"/>
  <c r="O11" i="23"/>
  <c r="N11" i="23"/>
  <c r="M11" i="23"/>
  <c r="L11" i="23"/>
  <c r="K11" i="23"/>
  <c r="O10" i="23"/>
  <c r="N10" i="23"/>
  <c r="M10" i="23"/>
  <c r="L10" i="23"/>
  <c r="K10" i="23"/>
  <c r="J16" i="23"/>
  <c r="J15" i="23"/>
  <c r="J13" i="23"/>
  <c r="J12" i="23"/>
  <c r="J11" i="23"/>
  <c r="J10" i="23"/>
  <c r="I16" i="23"/>
  <c r="I15" i="23"/>
  <c r="I13" i="23"/>
  <c r="I12" i="23"/>
  <c r="I11" i="23"/>
  <c r="I10" i="23"/>
  <c r="Q11" i="23"/>
  <c r="Q16" i="23"/>
  <c r="Q15" i="23"/>
  <c r="Q13" i="23"/>
  <c r="Q12" i="23"/>
  <c r="Q10" i="23"/>
  <c r="D17" i="24"/>
  <c r="C17" i="24"/>
  <c r="D10" i="24"/>
  <c r="C10" i="24"/>
  <c r="D10" i="23"/>
  <c r="C10" i="23"/>
  <c r="B10" i="23"/>
  <c r="H10" i="24"/>
  <c r="B17" i="24"/>
  <c r="B10" i="24"/>
  <c r="A17" i="24"/>
  <c r="A10" i="24"/>
  <c r="A10" i="23"/>
  <c r="V64" i="25"/>
  <c r="S64" i="25"/>
  <c r="V63" i="25"/>
  <c r="S63" i="25"/>
  <c r="V62" i="25"/>
  <c r="S62" i="25"/>
  <c r="V61" i="25"/>
  <c r="S61" i="25"/>
  <c r="V60" i="25"/>
  <c r="S60" i="25"/>
  <c r="V59" i="25"/>
  <c r="S59" i="25"/>
  <c r="I59" i="25"/>
  <c r="J59" i="25"/>
  <c r="V58" i="25"/>
  <c r="S58" i="25"/>
  <c r="V57" i="25"/>
  <c r="S57" i="25"/>
  <c r="V56" i="25"/>
  <c r="S56" i="25"/>
  <c r="V55" i="25"/>
  <c r="S55" i="25"/>
  <c r="V54" i="25"/>
  <c r="S54" i="25"/>
  <c r="V53" i="25"/>
  <c r="S53" i="25"/>
  <c r="AD53" i="25"/>
  <c r="AC53" i="25"/>
  <c r="I53" i="25"/>
  <c r="J53" i="25"/>
  <c r="V52" i="25"/>
  <c r="S52" i="25"/>
  <c r="V51" i="25"/>
  <c r="S51" i="25"/>
  <c r="V50" i="25"/>
  <c r="S50" i="25"/>
  <c r="V49" i="25"/>
  <c r="S49" i="25"/>
  <c r="V48" i="25"/>
  <c r="S48" i="25"/>
  <c r="V47" i="25"/>
  <c r="S47" i="25"/>
  <c r="AD47" i="25"/>
  <c r="AC47" i="25"/>
  <c r="V40" i="25"/>
  <c r="S40" i="25"/>
  <c r="V39" i="25"/>
  <c r="S39" i="25"/>
  <c r="V38" i="25"/>
  <c r="S38" i="25"/>
  <c r="V16" i="25"/>
  <c r="S16" i="25"/>
  <c r="V15" i="25"/>
  <c r="S15" i="25"/>
  <c r="V13" i="25"/>
  <c r="S13" i="25"/>
  <c r="V12" i="25"/>
  <c r="S12" i="25"/>
  <c r="V11" i="25"/>
  <c r="S11" i="25"/>
  <c r="S10" i="25"/>
  <c r="I10" i="25"/>
  <c r="J10" i="25"/>
  <c r="J10" i="24"/>
  <c r="I10" i="24"/>
  <c r="M54" i="25"/>
  <c r="M56" i="25"/>
  <c r="M58" i="25"/>
  <c r="AB20" i="25"/>
  <c r="Z21" i="25"/>
  <c r="AA20" i="25"/>
  <c r="AD51" i="25"/>
  <c r="AC51" i="25"/>
  <c r="M57" i="25"/>
  <c r="M62" i="25"/>
  <c r="M63" i="25"/>
  <c r="M12" i="25"/>
  <c r="M60" i="25"/>
  <c r="M11" i="25"/>
  <c r="M55" i="25"/>
  <c r="M64" i="25"/>
  <c r="M15" i="25"/>
  <c r="M61" i="25"/>
  <c r="M13" i="25"/>
  <c r="M16" i="25"/>
  <c r="AA21" i="25"/>
  <c r="AB21" i="25"/>
  <c r="AD52" i="25"/>
  <c r="AC52" i="25"/>
  <c r="AD64" i="25"/>
  <c r="AC64" i="25"/>
  <c r="AD56" i="25"/>
  <c r="AC56" i="25"/>
  <c r="Z47" i="25"/>
  <c r="AA47" i="25"/>
  <c r="AE47" i="25"/>
  <c r="P47" i="23"/>
  <c r="Z15" i="25"/>
  <c r="AA15" i="25"/>
  <c r="Z53" i="25"/>
  <c r="AB53" i="25"/>
  <c r="Z58" i="25"/>
  <c r="AA58" i="25"/>
  <c r="Z16" i="25"/>
  <c r="AA16" i="25"/>
  <c r="AD49" i="25"/>
  <c r="AC49" i="25"/>
  <c r="Z10" i="25"/>
  <c r="Z49" i="25"/>
  <c r="AB49" i="25"/>
  <c r="AD62" i="25"/>
  <c r="AC62" i="25"/>
  <c r="Z52" i="25"/>
  <c r="AB52" i="25"/>
  <c r="Z50" i="25"/>
  <c r="AB50" i="25"/>
  <c r="AD58" i="25"/>
  <c r="AC58" i="25"/>
  <c r="Z51" i="25"/>
  <c r="AB51" i="25"/>
  <c r="AD54" i="25"/>
  <c r="AC54" i="25"/>
  <c r="AD60" i="25"/>
  <c r="AC60" i="25"/>
  <c r="Z40" i="25"/>
  <c r="AD40" i="25"/>
  <c r="AC40" i="25"/>
  <c r="Z39" i="25"/>
  <c r="Z35" i="25"/>
  <c r="AD39" i="25"/>
  <c r="AC39" i="25"/>
  <c r="AD15" i="25"/>
  <c r="AC15" i="25"/>
  <c r="AD16" i="25"/>
  <c r="AC16" i="25"/>
  <c r="Z38" i="25"/>
  <c r="AD38" i="25"/>
  <c r="AC38" i="25"/>
  <c r="Z55" i="25"/>
  <c r="AD55" i="25"/>
  <c r="AC55" i="25"/>
  <c r="Z54" i="25"/>
  <c r="Z57" i="25"/>
  <c r="AD57" i="25"/>
  <c r="AC57" i="25"/>
  <c r="Z56" i="25"/>
  <c r="AD48" i="25"/>
  <c r="AC48" i="25"/>
  <c r="AD50" i="25"/>
  <c r="AC50" i="25"/>
  <c r="Z60" i="25"/>
  <c r="Z62" i="25"/>
  <c r="Z64" i="25"/>
  <c r="AD59" i="25"/>
  <c r="AC59" i="25"/>
  <c r="AD61" i="25"/>
  <c r="AC61" i="25"/>
  <c r="AD63" i="25"/>
  <c r="AC63" i="25"/>
  <c r="Z48" i="25"/>
  <c r="Z59" i="25"/>
  <c r="Z61" i="25"/>
  <c r="Z63" i="25"/>
  <c r="AB10" i="25"/>
  <c r="Z11" i="25"/>
  <c r="AA10" i="25"/>
  <c r="P41" i="23"/>
  <c r="AB16" i="25"/>
  <c r="AB58" i="25"/>
  <c r="AB15" i="25"/>
  <c r="P28" i="23"/>
  <c r="AA49" i="25"/>
  <c r="AE49" i="25"/>
  <c r="P49" i="23"/>
  <c r="AB47" i="25"/>
  <c r="P33" i="23"/>
  <c r="P46" i="23"/>
  <c r="AE16" i="25"/>
  <c r="P16" i="23"/>
  <c r="AA51" i="25"/>
  <c r="AE51" i="25"/>
  <c r="P51" i="23"/>
  <c r="AA53" i="25"/>
  <c r="AE53" i="25"/>
  <c r="P53" i="23"/>
  <c r="AA52" i="25"/>
  <c r="AE52" i="25"/>
  <c r="P52" i="23"/>
  <c r="AA50" i="25"/>
  <c r="AE50" i="25"/>
  <c r="P50" i="23"/>
  <c r="P22" i="23"/>
  <c r="AE58" i="25"/>
  <c r="P58" i="23"/>
  <c r="P34" i="23"/>
  <c r="P44" i="23"/>
  <c r="AB56" i="25"/>
  <c r="AA56" i="25"/>
  <c r="AE56" i="25"/>
  <c r="P56" i="23"/>
  <c r="AB40" i="25"/>
  <c r="AA40" i="25"/>
  <c r="AE40" i="25"/>
  <c r="P40" i="23"/>
  <c r="AA11" i="25"/>
  <c r="AB11" i="25"/>
  <c r="Z12" i="25"/>
  <c r="AB12" i="25"/>
  <c r="Z13" i="25"/>
  <c r="AB64" i="25"/>
  <c r="AA64" i="25"/>
  <c r="AE64" i="25"/>
  <c r="P64" i="23"/>
  <c r="P45" i="23"/>
  <c r="AB35" i="25"/>
  <c r="Z36" i="25"/>
  <c r="AB36" i="25"/>
  <c r="Z37" i="25"/>
  <c r="AA37" i="25"/>
  <c r="AA35" i="25"/>
  <c r="AA61" i="25"/>
  <c r="AE61" i="25"/>
  <c r="P61" i="23"/>
  <c r="AB61" i="25"/>
  <c r="AB60" i="25"/>
  <c r="AA60" i="25"/>
  <c r="AE60" i="25"/>
  <c r="P60" i="23"/>
  <c r="P32" i="23"/>
  <c r="AA63" i="25"/>
  <c r="AE63" i="25"/>
  <c r="P63" i="23"/>
  <c r="AB63" i="25"/>
  <c r="AB48" i="25"/>
  <c r="AA48" i="25"/>
  <c r="AE48" i="25"/>
  <c r="P48" i="23"/>
  <c r="AB62" i="25"/>
  <c r="AA62" i="25"/>
  <c r="AE62" i="25"/>
  <c r="P62" i="23"/>
  <c r="P43" i="23"/>
  <c r="AB57" i="25"/>
  <c r="AA57" i="25"/>
  <c r="AE57" i="25"/>
  <c r="P57" i="23"/>
  <c r="AB38" i="25"/>
  <c r="AA38" i="25"/>
  <c r="AE38" i="25"/>
  <c r="P38" i="23"/>
  <c r="AE15" i="25"/>
  <c r="P15" i="23"/>
  <c r="AB54" i="25"/>
  <c r="AA54" i="25"/>
  <c r="AE54" i="25"/>
  <c r="P54" i="23"/>
  <c r="AA59" i="25"/>
  <c r="AE59" i="25"/>
  <c r="P59" i="23"/>
  <c r="AB59" i="25"/>
  <c r="AB39" i="25"/>
  <c r="AA39" i="25"/>
  <c r="AE39" i="25"/>
  <c r="P39" i="23"/>
  <c r="AB55" i="25"/>
  <c r="AA55" i="25"/>
  <c r="AE55" i="25"/>
  <c r="P55" i="23"/>
  <c r="P27" i="23"/>
  <c r="P42" i="23"/>
  <c r="P26" i="23"/>
  <c r="AA36" i="25"/>
  <c r="AB37" i="25"/>
  <c r="AA12" i="25"/>
  <c r="AB13" i="25"/>
  <c r="AA13" i="25"/>
  <c r="F221" i="13"/>
  <c r="F211" i="13"/>
  <c r="F212" i="13"/>
  <c r="F213" i="13"/>
  <c r="F214" i="13"/>
  <c r="F215" i="13"/>
  <c r="F216" i="13"/>
  <c r="F217" i="13"/>
  <c r="F218" i="13"/>
  <c r="F219" i="13"/>
  <c r="F220" i="13"/>
  <c r="F210" i="13"/>
  <c r="B221" i="13" a="1"/>
  <c r="B221" i="13"/>
  <c r="AL44" i="18"/>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52" i="19"/>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M29" i="25"/>
  <c r="N29" i="25"/>
  <c r="O29" i="25"/>
  <c r="AD29" i="25"/>
  <c r="M23" i="25"/>
  <c r="N23" i="25"/>
  <c r="O23" i="25"/>
  <c r="AD23" i="25"/>
  <c r="M35" i="25"/>
  <c r="N35" i="25"/>
  <c r="M17" i="25"/>
  <c r="N17" i="25"/>
  <c r="M10" i="25"/>
  <c r="N10" i="25"/>
  <c r="M53" i="25"/>
  <c r="N53" i="25"/>
  <c r="M59" i="25"/>
  <c r="N59" i="25"/>
  <c r="P29" i="25"/>
  <c r="AC29" i="25"/>
  <c r="AE29" i="25"/>
  <c r="AD30" i="25"/>
  <c r="P23" i="25"/>
  <c r="AC23" i="25"/>
  <c r="AE23" i="25"/>
  <c r="P23" i="23"/>
  <c r="AD24" i="25"/>
  <c r="H41" i="23"/>
  <c r="H47" i="23"/>
  <c r="O35" i="25"/>
  <c r="AD35" i="25"/>
  <c r="P35" i="25"/>
  <c r="H35" i="23"/>
  <c r="O17" i="25"/>
  <c r="AD17" i="25"/>
  <c r="P17" i="25"/>
  <c r="H17" i="23"/>
  <c r="O59" i="25"/>
  <c r="P59" i="25"/>
  <c r="H59" i="23"/>
  <c r="O10" i="25"/>
  <c r="AD10" i="25"/>
  <c r="P10" i="25"/>
  <c r="H10" i="23"/>
  <c r="P53" i="25"/>
  <c r="H53" i="23"/>
  <c r="O53" i="25"/>
  <c r="X6" i="18"/>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AC30" i="25"/>
  <c r="AE30" i="25"/>
  <c r="AD31" i="25"/>
  <c r="AC31" i="25"/>
  <c r="AE31" i="25"/>
  <c r="AC24" i="25"/>
  <c r="AE24" i="25"/>
  <c r="P24" i="23"/>
  <c r="AD25" i="25"/>
  <c r="AC25" i="25"/>
  <c r="AE25" i="25"/>
  <c r="P25" i="23"/>
  <c r="AC35" i="25"/>
  <c r="AE35" i="25"/>
  <c r="P35" i="23"/>
  <c r="AD36" i="25"/>
  <c r="P29" i="23"/>
  <c r="AC17" i="25"/>
  <c r="AE17" i="25"/>
  <c r="P17" i="23"/>
  <c r="AD18" i="25"/>
  <c r="AC10" i="25"/>
  <c r="AE10" i="25"/>
  <c r="P10" i="23"/>
  <c r="AD11" i="25"/>
  <c r="P16" i="19"/>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P30" i="23"/>
  <c r="P31" i="23"/>
  <c r="AC36" i="25"/>
  <c r="AE36" i="25"/>
  <c r="P36" i="23"/>
  <c r="AD37" i="25"/>
  <c r="AC37" i="25"/>
  <c r="AE37" i="25"/>
  <c r="P37" i="23"/>
  <c r="AC18" i="25"/>
  <c r="AE18" i="25"/>
  <c r="P18" i="23"/>
  <c r="AD19" i="25"/>
  <c r="AC11" i="25"/>
  <c r="AE11" i="25"/>
  <c r="P11" i="23"/>
  <c r="AD12" i="25"/>
  <c r="AC19" i="25"/>
  <c r="AE19" i="25"/>
  <c r="P19" i="23"/>
  <c r="AD20" i="25"/>
  <c r="AC12" i="25"/>
  <c r="AE12" i="25"/>
  <c r="P12" i="23"/>
  <c r="AD13" i="25"/>
  <c r="AC13" i="25"/>
  <c r="AE13" i="25"/>
  <c r="P13" i="23"/>
  <c r="AC20" i="25"/>
  <c r="AE20" i="25"/>
  <c r="P20" i="23"/>
  <c r="AD21" i="25"/>
  <c r="AC21" i="25"/>
  <c r="AE21" i="25"/>
  <c r="P21" i="23"/>
  <c r="H29" i="23"/>
  <c r="H23" i="23"/>
  <c r="B223" i="13"/>
  <c r="B222" i="13"/>
</calcChain>
</file>

<file path=xl/comments1.xml><?xml version="1.0" encoding="utf-8"?>
<comments xmlns="http://schemas.openxmlformats.org/spreadsheetml/2006/main">
  <authors>
    <author>Usuario</author>
    <author>USUARIO</author>
  </authors>
  <commentList>
    <comment ref="A4" authorId="0" shapeId="0">
      <text>
        <r>
          <rPr>
            <sz val="9"/>
            <color indexed="81"/>
            <rFont val="Tahoma"/>
            <family val="2"/>
          </rPr>
          <t>Seleccionar el NOMBRE del Proceso responsable de los riesgos</t>
        </r>
      </text>
    </comment>
    <comment ref="N4" authorId="1" shapeId="0">
      <text>
        <r>
          <rPr>
            <sz val="9"/>
            <color rgb="FF000000"/>
            <rFont val="Tahoma"/>
            <family val="2"/>
          </rPr>
          <t>Ingresar la VIGENCIA correspondiente al  seguimiento de riesgos</t>
        </r>
      </text>
    </comment>
    <comment ref="A5" authorId="0" shapeId="0">
      <text>
        <r>
          <rPr>
            <sz val="9"/>
            <color indexed="81"/>
            <rFont val="Tahoma"/>
            <family val="2"/>
          </rPr>
          <t>Ingresar DEPENDENCIA, GRUPO u OFICINA responsable de los riesgos</t>
        </r>
      </text>
    </comment>
    <comment ref="N5" authorId="1" shapeId="0">
      <text>
        <r>
          <rPr>
            <sz val="9"/>
            <color rgb="FF000000"/>
            <rFont val="Tahoma"/>
            <family val="2"/>
          </rPr>
          <t xml:space="preserve">Ingresar el nombre y cargo del LÍDER que tiene  responsabilidad  en el  cumplimiento de los riesgos </t>
        </r>
      </text>
    </comment>
    <comment ref="A8" authorId="0" shapeId="0">
      <text>
        <r>
          <rPr>
            <sz val="9"/>
            <color indexed="81"/>
            <rFont val="Tahoma"/>
            <family val="2"/>
          </rPr>
          <t xml:space="preserve">Ingresar el NÚMERO (consecutivo) del riesgo </t>
        </r>
      </text>
    </comment>
    <comment ref="B8" authorId="0" shapeId="0">
      <text>
        <r>
          <rPr>
            <sz val="9"/>
            <color indexed="81"/>
            <rFont val="Tahoma"/>
            <family val="2"/>
          </rPr>
          <t>Seleccionar la CATEGORÍA del riesgo según corresponda</t>
        </r>
      </text>
    </comment>
    <comment ref="C8" authorId="0" shapeId="0">
      <text>
        <r>
          <rPr>
            <sz val="9"/>
            <color indexed="81"/>
            <rFont val="Tahoma"/>
            <family val="2"/>
          </rPr>
          <t>Seleccionar la CLASIFICACIÓN del riesgo según corresponda</t>
        </r>
      </text>
    </comment>
    <comment ref="D8" authorId="0" shapeId="0">
      <text>
        <r>
          <rPr>
            <sz val="9"/>
            <color indexed="81"/>
            <rFont val="Tahoma"/>
            <family val="2"/>
          </rPr>
          <t>Describir el RIESGO presente en el proceso</t>
        </r>
      </text>
    </comment>
    <comment ref="E8" authorId="0" shapeId="0">
      <text>
        <r>
          <rPr>
            <sz val="9"/>
            <color indexed="81"/>
            <rFont val="Tahoma"/>
            <family val="2"/>
          </rPr>
          <t>Seleccionar los FACTORES  (internos o externos) que inciden en el riesgo</t>
        </r>
      </text>
    </comment>
    <comment ref="F8" authorId="0" shapeId="0">
      <text>
        <r>
          <rPr>
            <sz val="9"/>
            <color indexed="81"/>
            <rFont val="Tahoma"/>
            <family val="2"/>
          </rPr>
          <t>Ingresar las CAUSAS que generan el riesgo</t>
        </r>
      </text>
    </comment>
    <comment ref="G8" authorId="0" shapeId="0">
      <text>
        <r>
          <rPr>
            <sz val="9"/>
            <color indexed="81"/>
            <rFont val="Tahoma"/>
            <family val="2"/>
          </rPr>
          <t>Ingresar las CONSECUENCIAS que se generan a partir del riesgo</t>
        </r>
      </text>
    </comment>
    <comment ref="H8" authorId="0" shapeId="0">
      <text>
        <r>
          <rPr>
            <sz val="9"/>
            <color indexed="81"/>
            <rFont val="Tahoma"/>
            <family val="2"/>
          </rPr>
          <t>Ingresar la FRECUENCIA con la que se presenta el riesgo</t>
        </r>
      </text>
    </comment>
    <comment ref="I8" authorId="0" shapeId="0">
      <text>
        <r>
          <rPr>
            <sz val="9"/>
            <color indexed="81"/>
            <rFont val="Tahoma"/>
            <family val="2"/>
          </rPr>
          <t>Visualiza la PROBABILIDAD INHERENTE al riesgo dada la frecuencia con la que se presenta</t>
        </r>
      </text>
    </comment>
    <comment ref="K8" authorId="0" shapeId="0">
      <text>
        <r>
          <rPr>
            <sz val="9"/>
            <color indexed="81"/>
            <rFont val="Tahoma"/>
            <family val="2"/>
          </rPr>
          <t>Seleccionar el IMPACTO que causa el riesgo en la Institución</t>
        </r>
      </text>
    </comment>
    <comment ref="L8" authorId="0" shapeId="0">
      <text>
        <r>
          <rPr>
            <sz val="9"/>
            <color indexed="81"/>
            <rFont val="Tahoma"/>
            <family val="2"/>
          </rPr>
          <t>Seleccionar CRITERIOS que causa el impacto del riesgo en la Institución</t>
        </r>
      </text>
    </comment>
    <comment ref="N8" authorId="0" shapeId="0">
      <text>
        <r>
          <rPr>
            <sz val="9"/>
            <color indexed="81"/>
            <rFont val="Tahoma"/>
            <family val="2"/>
          </rPr>
          <t>Visualiza el IMPACTO INHERENTE al riesgo según los criterios seleccionados</t>
        </r>
      </text>
    </comment>
    <comment ref="P8" authorId="0" shapeId="0">
      <text>
        <r>
          <rPr>
            <sz val="9"/>
            <color indexed="81"/>
            <rFont val="Tahoma"/>
            <family val="2"/>
          </rPr>
          <t>Visualiza la ZONA DE RIESGO INHERENTE según la frecuencia y el impacto con el que se presenta el riesgo</t>
        </r>
      </text>
    </comment>
    <comment ref="Q8" authorId="0" shapeId="0">
      <text>
        <r>
          <rPr>
            <sz val="9"/>
            <color indexed="81"/>
            <rFont val="Tahoma"/>
            <family val="2"/>
          </rPr>
          <t xml:space="preserve">Ingresar el NÚMERO (consecutivo) del control del riesgo </t>
        </r>
      </text>
    </comment>
    <comment ref="R8" authorId="0" shapeId="0">
      <text>
        <r>
          <rPr>
            <sz val="9"/>
            <color indexed="81"/>
            <rFont val="Tahoma"/>
            <family val="2"/>
          </rPr>
          <t>Describir el CONTROL que se realiza según el riesgo</t>
        </r>
      </text>
    </comment>
    <comment ref="AA8" authorId="0" shapeId="0">
      <text>
        <r>
          <rPr>
            <sz val="9"/>
            <color indexed="81"/>
            <rFont val="Tahoma"/>
            <family val="2"/>
          </rPr>
          <t>Visualiza la PROBABILIDAD RESIDUAL del riesgo según los controles efectuados</t>
        </r>
      </text>
    </comment>
    <comment ref="AC8" authorId="0" shapeId="0">
      <text>
        <r>
          <rPr>
            <sz val="9"/>
            <color indexed="81"/>
            <rFont val="Tahoma"/>
            <family val="2"/>
          </rPr>
          <t>Visualiza el IMPACTO RESIDUAL del riesgo según los controles efectuados</t>
        </r>
      </text>
    </comment>
    <comment ref="AE8" authorId="0" shapeId="0">
      <text>
        <r>
          <rPr>
            <sz val="9"/>
            <color indexed="81"/>
            <rFont val="Tahoma"/>
            <family val="2"/>
          </rPr>
          <t>Visualiza la ZONA DE RIESGO RESIDUAL según la probabilidad y el impacto con el que se presenta el riesgo</t>
        </r>
      </text>
    </comment>
    <comment ref="AF8" authorId="0" shapeId="0">
      <text>
        <r>
          <rPr>
            <sz val="9"/>
            <color indexed="81"/>
            <rFont val="Tahoma"/>
            <family val="2"/>
          </rPr>
          <t>Seleccionar el TIPO DE TRATAMIENTO que se le dará al riesgo</t>
        </r>
      </text>
    </comment>
    <comment ref="T9" authorId="0" shapeId="0">
      <text>
        <r>
          <rPr>
            <sz val="9"/>
            <color indexed="81"/>
            <rFont val="Tahoma"/>
            <family val="2"/>
          </rPr>
          <t>Seleccionar el TIPO DE CONTROL que realiza según el riesgo</t>
        </r>
      </text>
    </comment>
    <comment ref="U9" authorId="0" shapeId="0">
      <text>
        <r>
          <rPr>
            <sz val="9"/>
            <color indexed="81"/>
            <rFont val="Tahoma"/>
            <family val="2"/>
          </rPr>
          <t>Seleccionar el TIPO DE IMPLEMENTACIÓN que realiza según el control del riesgo</t>
        </r>
      </text>
    </comment>
    <comment ref="W9" authorId="0" shapeId="0">
      <text>
        <r>
          <rPr>
            <sz val="9"/>
            <color indexed="81"/>
            <rFont val="Tahoma"/>
            <family val="2"/>
          </rPr>
          <t>Seleccionar el TIPO DE DOCUMENTACIÓN que realiza según el control del riesgo</t>
        </r>
      </text>
    </comment>
    <comment ref="X9" authorId="0" shapeId="0">
      <text>
        <r>
          <rPr>
            <sz val="9"/>
            <color indexed="81"/>
            <rFont val="Tahoma"/>
            <family val="2"/>
          </rPr>
          <t>Seleccionar la FRECUENCIA con la que se realiza el control del riesgo</t>
        </r>
      </text>
    </comment>
    <comment ref="Y9" authorId="0" shapeId="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authors>
    <author>Usuario</author>
  </authors>
  <commentList>
    <comment ref="R8" authorId="0" shapeId="0">
      <text>
        <r>
          <rPr>
            <sz val="9"/>
            <color indexed="81"/>
            <rFont val="Tahoma"/>
            <family val="2"/>
          </rPr>
          <t>Ingresar las ACCIONES que realizará para dar tratamiento al riesgo</t>
        </r>
      </text>
    </comment>
    <comment ref="S8" authorId="0" shapeId="0">
      <text>
        <r>
          <rPr>
            <sz val="9"/>
            <color indexed="81"/>
            <rFont val="Tahoma"/>
            <family val="2"/>
          </rPr>
          <t>Ingresar el RESPONSABLE de ejecutar las acciones de tratamiento al riesgo</t>
        </r>
      </text>
    </comment>
    <comment ref="T8" authorId="0" shapeId="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authors>
    <author>Usuario</author>
  </authors>
  <commentList>
    <comment ref="K9" authorId="0" shapeId="0">
      <text>
        <r>
          <rPr>
            <sz val="9"/>
            <color indexed="81"/>
            <rFont val="Tahoma"/>
            <family val="2"/>
          </rPr>
          <t>Indicar si existe MATERIALIZACIÓN del riesgo en el período</t>
        </r>
      </text>
    </comment>
    <comment ref="L9" authorId="0" shapeId="0">
      <text>
        <r>
          <rPr>
            <sz val="9"/>
            <color indexed="81"/>
            <rFont val="Tahoma"/>
            <family val="2"/>
          </rPr>
          <t>Ingresar las ACCIONES ejecutadas en el período para dar tratamiento al riesgo</t>
        </r>
      </text>
    </comment>
    <comment ref="M9" authorId="0" shapeId="0">
      <text>
        <r>
          <rPr>
            <sz val="9"/>
            <color indexed="81"/>
            <rFont val="Tahoma"/>
            <family val="2"/>
          </rPr>
          <t>Ingresar las EVIDENCIAS que soportan las acciones de tratamiento al riesgo</t>
        </r>
      </text>
    </comment>
    <comment ref="N9" authorId="0" shapeId="0">
      <text>
        <r>
          <rPr>
            <sz val="9"/>
            <color indexed="81"/>
            <rFont val="Tahoma"/>
            <family val="2"/>
          </rPr>
          <t>Seleccionar el ESTADO de las acciones realizadas en el período para dar tratamiento al riesgo</t>
        </r>
      </text>
    </comment>
    <comment ref="O9" authorId="0" shapeId="0">
      <text>
        <r>
          <rPr>
            <sz val="9"/>
            <color indexed="81"/>
            <rFont val="Tahoma"/>
            <family val="2"/>
          </rPr>
          <t>Indicar si existe MATERIALIZACIÓN del riesgo en el período</t>
        </r>
      </text>
    </comment>
    <comment ref="P9" authorId="0" shapeId="0">
      <text>
        <r>
          <rPr>
            <sz val="9"/>
            <color indexed="81"/>
            <rFont val="Tahoma"/>
            <family val="2"/>
          </rPr>
          <t>Ingresar las ACCIONES ejecutadas en el período para dar tratamiento al riesgo</t>
        </r>
      </text>
    </comment>
    <comment ref="Q9" authorId="0" shapeId="0">
      <text>
        <r>
          <rPr>
            <sz val="9"/>
            <color indexed="81"/>
            <rFont val="Tahoma"/>
            <family val="2"/>
          </rPr>
          <t>Ingresar las EVIDENCIAS que soportan las acciones de tratamiento al riesgo</t>
        </r>
      </text>
    </comment>
    <comment ref="R9" authorId="0" shapeId="0">
      <text>
        <r>
          <rPr>
            <sz val="9"/>
            <color indexed="81"/>
            <rFont val="Tahoma"/>
            <family val="2"/>
          </rPr>
          <t>Seleccionar el ESTADO de las acciones realizadas en el período para dar tratamiento al riesgo</t>
        </r>
      </text>
    </comment>
    <comment ref="S9" authorId="0" shapeId="0">
      <text>
        <r>
          <rPr>
            <sz val="9"/>
            <color indexed="81"/>
            <rFont val="Tahoma"/>
            <family val="2"/>
          </rPr>
          <t>Indicar si existe MATERIALIZACIÓN del riesgo en el período</t>
        </r>
      </text>
    </comment>
    <comment ref="T9" authorId="0" shapeId="0">
      <text>
        <r>
          <rPr>
            <sz val="9"/>
            <color indexed="81"/>
            <rFont val="Tahoma"/>
            <family val="2"/>
          </rPr>
          <t>Ingresar las ACCIONES ejecutadas en el período para dar tratamiento al riesgo</t>
        </r>
      </text>
    </comment>
    <comment ref="U9" authorId="0" shapeId="0">
      <text>
        <r>
          <rPr>
            <sz val="9"/>
            <color indexed="81"/>
            <rFont val="Tahoma"/>
            <family val="2"/>
          </rPr>
          <t>Ingresar las EVIDENCIAS que soportan las acciones de tratamiento al riesgo</t>
        </r>
      </text>
    </comment>
    <comment ref="V9" authorId="0" shapeId="0">
      <text>
        <r>
          <rPr>
            <sz val="9"/>
            <color indexed="81"/>
            <rFont val="Tahoma"/>
            <family val="2"/>
          </rPr>
          <t>Seleccionar el ESTADO de las acciones realizadas en el período para dar tratamiento al riesgo</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<sst xmlns="http://schemas.openxmlformats.org/spreadsheetml/2006/main" count="806" uniqueCount="508">
  <si>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</si>
  <si>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</si>
  <si>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</si>
  <si>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</si>
  <si>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</si>
  <si>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</si>
  <si>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</si>
  <si>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</si>
  <si>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</si>
  <si>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</si>
  <si>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</si>
  <si>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</si>
  <si>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</si>
  <si>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</si>
  <si>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</si>
  <si>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</si>
  <si>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</si>
  <si>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</si>
  <si>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</si>
  <si>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</si>
  <si>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</si>
  <si>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</si>
  <si>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</si>
  <si>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</si>
  <si>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</si>
  <si>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</si>
  <si>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</si>
  <si>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</si>
  <si>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</si>
  <si>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</si>
  <si>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</si>
  <si>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</si>
  <si>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</si>
  <si>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</si>
  <si>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</si>
  <si>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</si>
  <si>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</si>
  <si>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</si>
  <si>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</si>
  <si>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</si>
  <si>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</si>
  <si>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</si>
  <si>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</si>
  <si>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</si>
  <si>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</si>
  <si>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</si>
  <si>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</si>
  <si>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</si>
  <si>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</si>
  <si>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</si>
  <si>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</si>
  <si>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</si>
  <si>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</si>
  <si>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</si>
  <si>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</si>
  <si>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</si>
  <si>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</si>
  <si>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</si>
  <si>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</si>
  <si>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</si>
  <si>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</si>
  <si>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</si>
  <si>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</si>
  <si>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</si>
  <si>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</si>
  <si>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</si>
  <si>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</si>
  <si>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</si>
  <si>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</si>
  <si>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</si>
  <si>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</si>
  <si>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</si>
  <si>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</si>
  <si>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</si>
  <si>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</si>
  <si>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</si>
  <si>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</si>
  <si>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</si>
  <si>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</si>
  <si>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</si>
  <si>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</si>
  <si>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</si>
  <si>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</si>
  <si>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</si>
  <si>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</si>
  <si>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</si>
  <si>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</si>
  <si>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</si>
  <si>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</si>
  <si>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</si>
  <si>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</si>
  <si>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</si>
  <si>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</si>
  <si>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</si>
  <si>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</si>
  <si>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</si>
  <si>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</si>
  <si>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</si>
  <si>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 DEL 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</si>
  <si>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</si>
  <si>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</si>
  <si>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</si>
  <si>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</si>
  <si>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</si>
  <si>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</si>
  <si>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</si>
  <si>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</si>
  <si>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</si>
  <si>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</si>
  <si>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</si>
  <si>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</si>
  <si>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</si>
  <si>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</si>
  <si>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 DE LA 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</si>
  <si>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</si>
  <si>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</si>
  <si>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</si>
  <si>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</si>
  <si>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</si>
  <si>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</si>
  <si>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</si>
  <si>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</si>
  <si>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</si>
  <si>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</si>
  <si>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</si>
  <si>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</si>
  <si>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</si>
  <si>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</si>
  <si>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</si>
  <si>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</si>
  <si>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</si>
  <si>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</si>
  <si>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</si>
  <si>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</si>
  <si>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</si>
  <si>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</si>
  <si>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</si>
  <si>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</si>
  <si>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</si>
  <si>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</si>
  <si>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</si>
  <si>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</si>
  <si>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</si>
  <si>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</si>
  <si>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</si>
  <si>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</si>
  <si>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</si>
  <si>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</si>
  <si>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</si>
  <si>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</si>
  <si>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</si>
  <si>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</si>
  <si>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</si>
  <si>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</si>
  <si>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</si>
  <si>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</si>
  <si>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</si>
  <si>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</si>
  <si>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</si>
  <si>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</si>
  <si>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</si>
  <si>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</si>
  <si>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</si>
  <si>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</si>
  <si>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</si>
  <si>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</si>
  <si>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</si>
  <si>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</si>
  <si>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</si>
  <si>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</si>
  <si>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</si>
  <si>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</si>
  <si>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</si>
  <si>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</si>
  <si>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</si>
  <si>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</si>
  <si>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</si>
  <si>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</si>
  <si>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</si>
  <si>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</si>
  <si>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</si>
  <si>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</si>
  <si>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</si>
  <si>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</si>
  <si>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</si>
  <si>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PLANEACIÓN INSTITUCIONAL</t>
  </si>
  <si>
    <t>RESPONSABLE:</t>
  </si>
  <si>
    <t>ERIKA DELGADO GOMEZ</t>
  </si>
  <si>
    <t>FECHA DE ACTUALIZACIÓN:</t>
  </si>
  <si>
    <t>30 de junio de 2022</t>
  </si>
  <si>
    <t>INTERNAS</t>
  </si>
  <si>
    <t>FORTALEZAS</t>
  </si>
  <si>
    <t>DEBILIDADES</t>
  </si>
  <si>
    <t>1. Personal competente.</t>
  </si>
  <si>
    <t>1. Espacio físico insuficiente.</t>
  </si>
  <si>
    <t>2. Recursos e información necesaria para la planificación y ejecución de las actividades.</t>
  </si>
  <si>
    <t>2. Falta de parametrización y configuración del sistema de información para planificación y seguimiento.</t>
  </si>
  <si>
    <t>3. Compromiso de la Alta Dirección.</t>
  </si>
  <si>
    <t>3. Condiciones ambientales (iluminación) no adecuadas.</t>
  </si>
  <si>
    <t>4. Disponibilidad de los recursos financieros para la inversión institucional.</t>
  </si>
  <si>
    <t>4. Continuidad en los procesos de contratación de personal de apoyo.</t>
  </si>
  <si>
    <t>5. Visibilidad institucional.</t>
  </si>
  <si>
    <t>5. Falta de capacitación sobre planeación, proyectos de inversión y manejo de plataformas.</t>
  </si>
  <si>
    <t>6. Alta dependencia de la información remitida por los líderes de los procesos.</t>
  </si>
  <si>
    <t>OPORTUNIDADES</t>
  </si>
  <si>
    <t>AMENAZAS</t>
  </si>
  <si>
    <t>1. Software para administrar los proyectos de la Institución y el Sistema de Planificación.</t>
  </si>
  <si>
    <t>1. Falta de compromiso de los líderes de los procesos en la entrega de la información solicitada.</t>
  </si>
  <si>
    <t>2. Participación de seminarios y eventos organizados por las Entidades públicas y privadas.</t>
  </si>
  <si>
    <t>2. Actos vandálicos por la falta de control en la entrada de la Institución.</t>
  </si>
  <si>
    <t>3. Sistemas de información para el manejo de indicadores en el mercado.</t>
  </si>
  <si>
    <t>3. Cambios en las políticas públicas para la asignación de los recursos a través de los proyectos de inversión.</t>
  </si>
  <si>
    <t>4. Cambios en la normatividad legal vigente.</t>
  </si>
  <si>
    <t>5. Inseguridad del sector en donde se encuentra la Institución.</t>
  </si>
  <si>
    <t>6. Factores políticos que influyan en el cumplimiento de los objetivos institucionales, establecidos en los planes estratégicos de desarrollo.</t>
  </si>
  <si>
    <t>7. Cambios en las decisiones de los consejeros.</t>
  </si>
  <si>
    <t>8. Desastres naturales y/o riesgos públicos.</t>
  </si>
  <si>
    <t xml:space="preserve">ELABORADO POR: </t>
  </si>
  <si>
    <t xml:space="preserve">REVISADO POR: </t>
  </si>
  <si>
    <t>SISTEMA INTEGRADO DE GESTIÓN</t>
  </si>
  <si>
    <t xml:space="preserve">APROBADO POR: </t>
  </si>
  <si>
    <t>LÍDER DEL SISTEMA INTEGRADO DE GESTIÓN</t>
  </si>
  <si>
    <t>FECHA APROBACIÓN:</t>
  </si>
  <si>
    <t>ABRIL DE 2022</t>
  </si>
  <si>
    <t>PÁGINA 2
DE 5</t>
  </si>
  <si>
    <t>MAPA DE RIESGOS INSTITUCIONAL</t>
  </si>
  <si>
    <t xml:space="preserve">NOMBRE DEL PROCESO </t>
  </si>
  <si>
    <t>VIGENCIA</t>
  </si>
  <si>
    <t>DEPENDENCIA/GRUPO/OFICINA</t>
  </si>
  <si>
    <t>Oficina de Planeación</t>
  </si>
  <si>
    <t>NOMBRE Y CARGO DEL LÍDER</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</si>
  <si>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</si>
  <si>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</si>
  <si>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</si>
  <si>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</si>
  <si>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</si>
  <si>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</si>
  <si>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</si>
  <si>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</si>
  <si>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</si>
  <si>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</si>
  <si>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</si>
  <si>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</si>
  <si>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</si>
  <si>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</si>
  <si>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</si>
  <si>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</si>
  <si>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</si>
  <si>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</si>
  <si>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</si>
  <si>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</si>
  <si>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</si>
  <si>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</si>
  <si>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</si>
  <si>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</si>
  <si>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</si>
  <si>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</si>
  <si>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</si>
  <si>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Ejecución y Administración de procesos</t>
  </si>
  <si>
    <t>Ejecución parcial de las metas establecidas en los indicadores de los Planes de Acción Anuales del Plan Estratégico de Desarrollo Institucional de la Oficina de Planeación.</t>
  </si>
  <si>
    <t>Factores Internos (Debilidades)</t>
  </si>
  <si>
    <t>1. Recursos insuficientes para la ejecución de los indicadores y actividades planeadas.</t>
  </si>
  <si>
    <t>1. Incumplimiento de la gestión  del proceso y de la institución.</t>
  </si>
  <si>
    <t>Económico y Reputacional</t>
  </si>
  <si>
    <t xml:space="preserve">     El riesgo afecta la imagen de alguna área de la organización</t>
  </si>
  <si>
    <t xml:space="preserve">Elaboración de cronogramas con las tareas a desarrollar de los indicadores a cargo de la Oficina de Planeación. </t>
  </si>
  <si>
    <t>Preventivo</t>
  </si>
  <si>
    <t>Manual</t>
  </si>
  <si>
    <t>Documentado</t>
  </si>
  <si>
    <t>Continua</t>
  </si>
  <si>
    <t>Con Registro</t>
  </si>
  <si>
    <t>Reducir (mitigar)</t>
  </si>
  <si>
    <r>
      <t>2. C</t>
    </r>
    <r>
      <rPr>
        <sz val="11"/>
        <color theme="1"/>
        <rFont val="Arial Narrow"/>
        <family val="2"/>
      </rPr>
      <t xml:space="preserve">ambio constante de </t>
    </r>
    <r>
      <rPr>
        <sz val="11"/>
        <color theme="1"/>
        <rFont val="Arial Narrow"/>
        <family val="2"/>
      </rPr>
      <t xml:space="preserve">políticas y directrices institucionales. </t>
    </r>
  </si>
  <si>
    <t>2. Inconformismo de las partes interesadas.</t>
  </si>
  <si>
    <t>Verificación periódica en el cumplimiento de los cronogramas</t>
  </si>
  <si>
    <t xml:space="preserve">3. Inadecuada planificación de las actividades que conlleven al cumplimiento de las metas. </t>
  </si>
  <si>
    <t>3. Insatisfacción de los usuarios.</t>
  </si>
  <si>
    <t>4. Resultados negativos en la evaluación de la gestión.</t>
  </si>
  <si>
    <t>Seguimiento inadecuado al cumplimiento de  metas propuestas en los planes de acción.</t>
  </si>
  <si>
    <t>1. Inadecuada planificación.</t>
  </si>
  <si>
    <t>1. Pérdida de recursos.</t>
  </si>
  <si>
    <t xml:space="preserve">     El riesgo afecta la imagen de la entidad con algunos usuarios de relevancia frente al logro de los objetivos</t>
  </si>
  <si>
    <t>Elaboración de los Planes de Acción derivados del Plan Estratégico de Desarrollo Institucional.</t>
  </si>
  <si>
    <t>2. Revisión inadecuada de la información reportada por los responsables de cada proceso.</t>
  </si>
  <si>
    <t>2. Inversión poco eficaz y eficiente de recursos.</t>
  </si>
  <si>
    <t>Ejecución de Cronogramas de Seguimiento.</t>
  </si>
  <si>
    <t>3. Falta de recursos.</t>
  </si>
  <si>
    <t>3. Pérdida de imagen institucional.</t>
  </si>
  <si>
    <t>Generación de reportes con Herramienta  Tecnológica disponible.</t>
  </si>
  <si>
    <t>Automático</t>
  </si>
  <si>
    <t>Sin Documentar</t>
  </si>
  <si>
    <t>4. Entrega de información incompleta e inoportuna por parte de los responsables de cada proceso.</t>
  </si>
  <si>
    <t>4. Imposibilidad de mejoras por parte de los procesos.</t>
  </si>
  <si>
    <t xml:space="preserve">Revisión detallada de las evidencias validando la información reportada por el proceso. </t>
  </si>
  <si>
    <t>5. Pérdida de visibilidad regional y nacional.</t>
  </si>
  <si>
    <t>Presentación de informes de gestión ante el Comité Institucional de Gestión y Desempeño y Consejo Directivo, y de la gestión institucional en audiencia pública de rendición de cuentas y ante la Asamblea Departamental.</t>
  </si>
  <si>
    <t xml:space="preserve">6. Investigaciones administrativas por entes de control. </t>
  </si>
  <si>
    <t>Revisión inadecuada de los requisitos documentales de formulación y viabilización de los proyectos, por parte del equipo de trabajo del Banco de Proyectos.</t>
  </si>
  <si>
    <t>1. Error humano.</t>
  </si>
  <si>
    <t>1. Sanciones Disciplinarias y/o penales.</t>
  </si>
  <si>
    <t xml:space="preserve">     El riesgo afecta la imagen de de la entidad con efecto publicitario sostenido a nivel de sector administrativo, nivel departamental o municipal</t>
  </si>
  <si>
    <t>Verificación lista de chequeo para  requisitos documentales de los proyectos</t>
  </si>
  <si>
    <t>2. Desconocimiento del proceso de revisión de los proyectos.</t>
  </si>
  <si>
    <t>2. Demoras en las etapas de elaboración del proyecto y contractual.</t>
  </si>
  <si>
    <t>3. Reprocesos.</t>
  </si>
  <si>
    <t>4. Hallazgos en auditorías.</t>
  </si>
  <si>
    <t>Usuarios, productos y practicas , organizacionales</t>
  </si>
  <si>
    <t>Daño en activos de información: comunicaciones, informes, estadísticas, registros, entre otros.</t>
  </si>
  <si>
    <t>1. Uso mal intencionado de la información contenida en los equipos de cómputo y en el correo institucional de la Oficina de Planeación, por parte de usuarios de la información o piratas informáticos.</t>
  </si>
  <si>
    <r>
      <t xml:space="preserve">1. Pérdida de información </t>
    </r>
    <r>
      <rPr>
        <sz val="11"/>
        <color theme="1"/>
        <rFont val="Arial Narrow"/>
        <family val="2"/>
      </rPr>
      <t>de la institución y del proceso de Planeación</t>
    </r>
  </si>
  <si>
    <t xml:space="preserve">     El riesgo afecta la imagen de la entidad internamente, de conocimiento general, nivel interno, de junta dircetiva y accionistas y/o de provedores</t>
  </si>
  <si>
    <t>Uso de ONE DRIVE para las copias de seguridad de información.</t>
  </si>
  <si>
    <t>2. Inadecuado manejo de contraseñas y datos de acceso al correo electrónico y medios de almacenamiento de información de la Oficina de Planeación.</t>
  </si>
  <si>
    <t>2. Reproceso en la recopilación de la información</t>
  </si>
  <si>
    <r>
      <t>3. A</t>
    </r>
    <r>
      <rPr>
        <sz val="11"/>
        <color theme="1"/>
        <rFont val="Arial Narrow"/>
        <family val="2"/>
      </rPr>
      <t>fectación de la imagen institucional</t>
    </r>
  </si>
  <si>
    <t>SISTEMA INTEGRADO DE GESTIÓN SIG</t>
  </si>
  <si>
    <t>FECHA APROBACIÓN</t>
  </si>
  <si>
    <t>PÁGINA 3
DE 5</t>
  </si>
  <si>
    <t>PLAN DE ACCIÓN</t>
  </si>
  <si>
    <t>Acciones</t>
  </si>
  <si>
    <t>Responsable</t>
  </si>
  <si>
    <t>Periodicidad</t>
  </si>
  <si>
    <t>Realizar seguimiento al cumplimiento de lo establecido en los cronogramas.</t>
  </si>
  <si>
    <t>Según corresponda</t>
  </si>
  <si>
    <t xml:space="preserve">Socializar el Plan de Acción anual al interior de las UTS con el fin de dar cumplimiento en las metas establecidas en los indicadores. </t>
  </si>
  <si>
    <t>Verificar los reportes realizados por los responsables de los indicadores del plan de acción con las evidencias reportadas.</t>
  </si>
  <si>
    <t>1. Uso permanente de las listas de verificación documental.</t>
  </si>
  <si>
    <t>ok</t>
  </si>
  <si>
    <t>1. Almacenar la información en el ONE DRIVE de la Oficina de Planeación según Tablas de Retención Documental.</t>
  </si>
  <si>
    <t>PÁGINA 4
DE 5</t>
  </si>
  <si>
    <t>MONITOREO DE RIESGOS</t>
  </si>
  <si>
    <t>1er Monitoreo
Enero-Febrero- Marzo- Abril</t>
  </si>
  <si>
    <t>2do Monitoreo
Mayo- Junio- Julio- Agosto</t>
  </si>
  <si>
    <t>3er Monitoreo
Septiembre- Octubre- Noviembre- Diciembre</t>
  </si>
  <si>
    <t>Materialización del Riesgo</t>
  </si>
  <si>
    <t>Actividades realizadas</t>
  </si>
  <si>
    <t>Evidencias</t>
  </si>
  <si>
    <t xml:space="preserve">Se elaboró el  cronogramas con las tareas a desarrollar en los indicadores a cargo de la Oficina de Planeación. </t>
  </si>
  <si>
    <t xml:space="preserve">F-PL-09 Cronograma de actividades </t>
  </si>
  <si>
    <t>Finalizado</t>
  </si>
  <si>
    <t>La actividad se realizó en el cuatrimestre anterior</t>
  </si>
  <si>
    <t>No aplica para el presente monitoreo</t>
  </si>
  <si>
    <t>La actividad se realizó en el primer cuatrimestre.</t>
  </si>
  <si>
    <t>A través del formato F-PL-09 Cronograma, se realiza seguimiento  a las actividades programadas para el primer semestre de la vigencia</t>
  </si>
  <si>
    <t>En curso</t>
  </si>
  <si>
    <t>Se elabora Circular con fecha Agosto 27 de 2024, en el cual se informa el inicio al segundo seguimiento y evaluación al Plan de Acción 2024.</t>
  </si>
  <si>
    <t>Circular  - Agosto 27 de 2024</t>
  </si>
  <si>
    <t>Se elabora Circular con fecha Noviembre 12 de 2024, en el cual se informa el inicio al tercer seguimiento y evaluación al Plan de Acción 2024.</t>
  </si>
  <si>
    <t>Circular  - Noviembre 12 de 2024</t>
  </si>
  <si>
    <t>El 31 de enero de 2024 se publicó en pagina web el Plan de Acción Anual de la presente vigencia. 
Adicional se realizó socialización por medio de correo electrónico a los líderes de los procesos la publicación en página web y base documental el "Plan de Acción Anual" de la vigencia 2024, correo enviado el día 19 de febrero del presente año</t>
  </si>
  <si>
    <t>Publicación en la página web institucional del Plan de Acción Anual vigencia 2024 
https://www.uts.edu.co/sitio/wp-content/uploads/2019/10/PLAN-DE-ACCION-VIGENCIA-2024-1.pdf 
Copia Correo Socialización Plan de Acción 2024</t>
  </si>
  <si>
    <t xml:space="preserve">En el primer monitoreo se reporto cumplimiento a la actividad planteada, por lo tanto se da finalizada. </t>
  </si>
  <si>
    <t>A partir de mes de abril se realizó el seguimiento cuatrimestral a cumplimiento de metas e indicadores establecidos en el plan de acción anual de la  vigencia 2024, donde se revisa y consolida los soportes presentados por los procesos como evidencias de cumplimiento de los mismos.</t>
  </si>
  <si>
    <t>Evidencias de cumplimiento de los planes de acción , que reposan en el ONE drive de la oficina de planeación.</t>
  </si>
  <si>
    <t xml:space="preserve">Por medio de circular de fecha agosto 27 de 2024 se comunica a los líderes de los procesos el inicio al segundo seguimiento y evaluación al Plan de Acción 2024, adicional se remite por correo electrónico a cada líder el formato F-PL-28 "Seguimiento y evaluación al Plan de Acción Anual" para el correcto reporte de las tareas desarrolladas para cada uno de los indicadores correspondientes al segundo cuatrimestre. </t>
  </si>
  <si>
    <t xml:space="preserve">Circular de fecha agosto 27 de 2024 y ejemplo correo electrónico </t>
  </si>
  <si>
    <t xml:space="preserve">Por medio de circular de fecha Noviembre 12 de 2024 se comunica a los líderes de los procesos el inicio al tercer seguimiento y evaluación al Plan de Acción 2024, adicional se remite por correo electrónico a cada líder el formato F-PL-28 "Seguimiento y evaluación al Plan de Acción Anual" para el correcto reporte de las tareas desarrolladas para cada uno de los indicadores correspondientes al tercer cuatrimestre. </t>
  </si>
  <si>
    <t xml:space="preserve">Circular Noviembre 12 de 2024
Ejemplos correo electrónico </t>
  </si>
  <si>
    <t>En el primer cuatrimestre, se sigue implementado las listas de chequeo en el registro F-PL-25 "Lista d chequeo para proyectos de inversión", para los proyectos que se han viabilizado en la vigencia 2024 por la oficina de planeación</t>
  </si>
  <si>
    <t>Las evidencias de la implementación de las listas de chequeo, reposan en el ONE DRIVE del correo Institucional de la oficina de planeación, se anexa listas de chequeo aplicadas</t>
  </si>
  <si>
    <t>En el segundo cuatrimestre, se sigue implementado las listas de chequeo en el registro F-PL-25 "Lista d chequeo para proyectos de inversión", para los proyectos que se han viabilizado en la vigencia 2024 por la oficina de planeación</t>
  </si>
  <si>
    <t>En el tercer cuatrimestre, se sigue implementado las listas de chequeo en el registro F-PL-25 "Lista de chequeo para proyectos de inversión", para los proyectos que se han viabilizado en la vigencia 2024 por la oficina de planeación</t>
  </si>
  <si>
    <t>En el primer cuatrimestre, se hizo una inducción del instructivo I-PL-01 Instructivo elaboración y trazabilidad proyectos de inversión</t>
  </si>
  <si>
    <t>Instructivo I-PL-01 y lista de asistencia a inducción sobre el procedimiento establecido en el documento</t>
  </si>
  <si>
    <t>En el segundo cuatrimestre, no se hizo una inducción del instructivo I-PL-01 Instructivo elaboración y trazabilidad proyectos de inversión, por tenerse programada para el mes de septiembre 2024</t>
  </si>
  <si>
    <t>En el tercer cuatrimestre, se hizo una inducción del instructivo I-PL-01 Instructivo elaboración y trazabilidad proyectos de inversión. Esta inducción se realizó el 26 de septiembre 2024 y fue dirigida a líderes de proyectos y oficinas gestoras</t>
  </si>
  <si>
    <t>La información relevante producida por la Oficina de Planeación se almacena en el OneDrive del correo institucional, el cual se encuentra organizado teniendo en cuenta las Tablas de Retención Documental aprobadas en la entidad.</t>
  </si>
  <si>
    <t>Captura de Pantalla ONEDRIVE - Planeación</t>
  </si>
  <si>
    <t>PÁGINA 5
DE 5</t>
  </si>
  <si>
    <t>HISTORIAL DE CAMBIOS</t>
  </si>
  <si>
    <t>FECHA</t>
  </si>
  <si>
    <r>
      <t>Actualización de los riesgos y cambio de la información al Formato "</t>
    </r>
    <r>
      <rPr>
        <b/>
        <sz val="11"/>
        <rFont val="Arial"/>
        <family val="2"/>
      </rPr>
      <t>F-PL-13 Mapa de Riesgos Institucional V7</t>
    </r>
    <r>
      <rPr>
        <sz val="11"/>
        <rFont val="Arial"/>
        <family val="2"/>
      </rPr>
      <t>".
Se elimina riesgo "Pérdida de evidencias de los seguimientos realizados a los procesos  como cumplimiento a la ejecución del plan de acción de la vigencia" dado que está inmerso en el riesgo "Daño en activos de información: comunicaciones, informes, estadísticas, registros, entre otros"</t>
    </r>
  </si>
  <si>
    <t>Se elimina el riesgo "Diferencia en el cruce de información estadística.", teniendo en cuenta que a partir del 31 de agosto de 2022 el grupo de estadística fue adscrito a la Vicerrectoría Académica. (Resolución No. 02-963 del 29 de agosto de 2022).</t>
  </si>
  <si>
    <t>01 de septiembre de 2022</t>
  </si>
  <si>
    <t>Modificación del Riesgo "Los planes de acción anuales y por consiguiente el plan estratégico de desarrollo institucional se ejecuten parcialmente" por "Ejecución parcial de los planes de acción anuales y en su defecto del Plan Estratégico de Desarrollo Institucional."</t>
  </si>
  <si>
    <t>Modificación del Riesgo "Falta de seguimiento en el cumplimiento de las metas propuestas en los planes de acción." por "Seguimiento inadecuado al cumplimiento de  metas propuestas en los planes de acción."</t>
  </si>
  <si>
    <t>Modificación del Riesgo "Omitir la revisión de los requisitos documentales de los proyectos por parte del Banco de Proyectos" por "Revisión inadecuada de los requisitos documentales de formulación y viabilización de los proyectos, por parte del Equipo del Banco de Proyectos"</t>
  </si>
  <si>
    <t>Modificación del Riesgo "Daño de activos de información: almacenamiento y comunicaciones, informes, estadísticas y registros" por "Daño en activos de información: comunicaciones, informes, estadísticas, registros, entre otros"</t>
  </si>
  <si>
    <t xml:space="preserve">Se realizó ajuste en la descripción de los tres primeros riesgos, se actualizaron las causas, consecuencias, frecuencias, afectaciones, controles y planes de acción. </t>
  </si>
  <si>
    <t>27 de abril de 2023</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</si>
  <si>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</si>
  <si>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</si>
  <si>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</si>
  <si>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</si>
  <si>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</si>
  <si>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</si>
  <si>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</si>
  <si>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</si>
  <si>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</si>
  <si>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</si>
  <si>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</si>
  <si>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</si>
  <si>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</si>
  <si>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</si>
  <si>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</si>
  <si>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</si>
  <si>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</si>
  <si>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</si>
  <si>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</si>
  <si>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</si>
  <si>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</si>
  <si>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</si>
  <si>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</si>
  <si>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</si>
  <si>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</si>
  <si>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</si>
  <si>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</si>
  <si>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</si>
  <si>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</si>
  <si>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</si>
  <si>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</si>
  <si>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</si>
  <si>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</si>
  <si>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</si>
  <si>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</si>
  <si>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</si>
  <si>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</si>
  <si>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</si>
  <si>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</si>
  <si>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</si>
  <si>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</si>
  <si>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</si>
  <si>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</si>
  <si>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</si>
  <si>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</si>
  <si>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</si>
  <si>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</si>
  <si>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</si>
  <si>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</si>
  <si>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</si>
  <si>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Pérdida_Reputacional</t>
  </si>
  <si>
    <t xml:space="preserve">     Entre 10 y 50 SMLMV </t>
  </si>
  <si>
    <t xml:space="preserve">     Entre 50 y 100 SMLMV </t>
  </si>
  <si>
    <t xml:space="preserve">     Entre 100 y 500 SMLMV </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</si>
  <si>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</si>
  <si>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</si>
  <si>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</si>
  <si>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</si>
  <si>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</si>
  <si>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</si>
  <si>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</si>
  <si>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</si>
  <si>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</si>
  <si>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</si>
  <si>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</si>
  <si>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</si>
  <si>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</si>
  <si>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</si>
  <si>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</si>
  <si>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</si>
  <si>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</si>
  <si>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</si>
  <si>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</si>
  <si>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</si>
  <si>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</si>
  <si>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</si>
  <si>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</si>
  <si>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</si>
  <si>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</si>
  <si>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</si>
  <si>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</si>
  <si>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</si>
  <si>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</si>
  <si>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</si>
  <si>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</si>
  <si>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</si>
  <si>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</si>
  <si>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Reputacional</t>
  </si>
  <si>
    <t>Reducir (compartir)</t>
  </si>
  <si>
    <t>Plan de accion (solo para la opción reducir)</t>
  </si>
  <si>
    <t>Materialización del riesgo</t>
  </si>
  <si>
    <t>Factores de Riesgo</t>
  </si>
  <si>
    <t>Daños Activos Fisicos</t>
  </si>
  <si>
    <t>Ejecucion y Administracion de procesos</t>
  </si>
  <si>
    <t>Factores Externos (Amenazas)</t>
  </si>
  <si>
    <t>Fallas Tecnologicas</t>
  </si>
  <si>
    <t>Fraude Externo</t>
  </si>
  <si>
    <t>Fraude Interno</t>
  </si>
  <si>
    <t>Periodicidad - Acciones</t>
  </si>
  <si>
    <t>Relaciones Laborales</t>
  </si>
  <si>
    <t>Semanal</t>
  </si>
  <si>
    <t>Mensual</t>
  </si>
  <si>
    <t xml:space="preserve">Semestral </t>
  </si>
  <si>
    <t>Anual</t>
  </si>
  <si>
    <t>PROCESOS</t>
  </si>
  <si>
    <t>DIRECCIÓN ESTRATÉGICA</t>
  </si>
  <si>
    <t>COMUNICACIÓN INSTITUCIONAL</t>
  </si>
  <si>
    <t>DOCENCIA</t>
  </si>
  <si>
    <t>INVESTIGACIÓN</t>
  </si>
  <si>
    <t>EXTENSIÓN</t>
  </si>
  <si>
    <t>ADMISIONES Y MATRÍCULAS</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</si>
  <si>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</si>
  <si>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</si>
  <si>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</si>
  <si>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</si>
  <si>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</si>
  <si>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</si>
  <si>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</si>
  <si>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</si>
  <si>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</si>
  <si>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</si>
  <si>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</si>
  <si>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</si>
  <si>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</si>
  <si>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RELACIONES INTERINSTITUCIONALES</t>
  </si>
  <si>
    <t>CONTROL INTERNO DE GESTIÓN</t>
  </si>
  <si>
    <t>CONTROL INTERNO DISCIPLINARIO</t>
  </si>
  <si>
    <t>ERIKA DELGADO GOMEZ -JEFE OFICINA DE PLANEACIÓN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</si>
</sst>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C0A]d\ &quot;de&quot;\ mmmm\ &quot;de&quot;\ yyyy;@"/>
  </numFmts>
  <fonts count="89" x14ac:knownFonts="1">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sz val="9"/>
      <color rgb="FF000000"/>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
      <strike/>
      <sz val="11"/>
      <color rgb="FFFF0000"/>
      <name val="Arial Narrow"/>
      <family val="2"/>
    </font>
    <font>
      <sz val="11"/>
      <color rgb="FF00B0F0"/>
      <name val="Arial Narrow"/>
      <family val="2"/>
    </font>
    <font>
      <sz val="11"/>
      <color rgb="FFFF0000"/>
      <name val="Arial Narrow"/>
      <family val="2"/>
    </font>
    <font>
      <u/>
      <sz val="11"/>
      <color theme="10"/>
      <name val="Calibri"/>
      <family val="2"/>
      <scheme val="minor"/>
    </font>
    <font>
      <sz val="11"/>
      <color rgb="FF000000"/>
      <name val="Arial Narrow"/>
      <family val="2"/>
    </font>
  </fonts>
  <fills count="34">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
      <patternFill patternType="solid">
        <fgColor rgb="FFFFFFFF"/>
        <bgColor indexed="64"/>
      </patternFill>
    </fill>
  </fills>
  <borders count="143">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9">
    <xf numFmtId="0" fontId="0" fillId="0" borderId="0"/>
    <xf numFmtId="9" fontId="14" fillId="0" borderId="0" applyFont="0" applyFill="0" applyBorder="0" applyAlignment="0" applyProtection="0"/>
    <xf numFmtId="0" fontId="46" fillId="0" borderId="0"/>
    <xf numFmtId="0" fontId="47" fillId="0" borderId="0"/>
    <xf numFmtId="0" fontId="5" fillId="0" borderId="0"/>
    <xf numFmtId="0" fontId="57" fillId="0" borderId="0"/>
    <xf numFmtId="0" fontId="46" fillId="0" borderId="0"/>
    <xf numFmtId="0" fontId="35" fillId="0" borderId="0"/>
    <xf numFmtId="0" fontId="87" fillId="0" borderId="0" applyNumberFormat="0" applyFill="0" applyBorder="0" applyAlignment="0" applyProtection="0"/>
  </cellStyleXfs>
  <cellXfs count="810">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5" borderId="0" xfId="0" applyFont="1" applyFill="1" applyAlignment="1">
      <alignment horizontal="center" vertical="center" wrapText="1" readingOrder="1"/>
    </xf>
    <xf numFmtId="0" fontId="10" fillId="4" borderId="2" xfId="0" applyFont="1" applyFill="1" applyBorder="1" applyAlignment="1">
      <alignment horizontal="center" vertical="center" wrapText="1" readingOrder="1"/>
    </xf>
    <xf numFmtId="0" fontId="10" fillId="0" borderId="2" xfId="0" applyFont="1" applyBorder="1" applyAlignment="1">
      <alignment horizontal="justify" vertical="center" wrapText="1" readingOrder="1"/>
    </xf>
    <xf numFmtId="9" fontId="10" fillId="0" borderId="2" xfId="0" applyNumberFormat="1" applyFont="1" applyBorder="1" applyAlignment="1">
      <alignment horizontal="center" vertical="center" wrapText="1" readingOrder="1"/>
    </xf>
    <xf numFmtId="0" fontId="10" fillId="6"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1" fillId="8" borderId="1" xfId="0" applyFont="1" applyFill="1" applyBorder="1" applyAlignment="1">
      <alignment horizontal="center" vertical="center" wrapText="1" readingOrder="1"/>
    </xf>
    <xf numFmtId="0" fontId="15" fillId="0" borderId="0" xfId="0" applyFont="1"/>
    <xf numFmtId="0" fontId="13" fillId="0" borderId="0" xfId="0" applyFont="1"/>
    <xf numFmtId="0" fontId="27" fillId="0" borderId="0" xfId="0" applyFont="1" applyAlignment="1">
      <alignment vertical="center"/>
    </xf>
    <xf numFmtId="0" fontId="28" fillId="0" borderId="0" xfId="0" applyFont="1"/>
    <xf numFmtId="0" fontId="26" fillId="0" borderId="0" xfId="0" applyFont="1"/>
    <xf numFmtId="0" fontId="0" fillId="0" borderId="0" xfId="0" pivotButton="1"/>
    <xf numFmtId="0" fontId="12" fillId="0" borderId="0" xfId="0" applyFont="1" applyAlignment="1">
      <alignment horizontal="justify" vertical="center" wrapText="1" readingOrder="1"/>
    </xf>
    <xf numFmtId="0" fontId="29" fillId="0" borderId="0" xfId="0" applyFont="1"/>
    <xf numFmtId="0" fontId="31" fillId="5" borderId="0" xfId="0" applyFont="1" applyFill="1" applyAlignment="1">
      <alignment horizontal="center" vertical="center" wrapText="1" readingOrder="1"/>
    </xf>
    <xf numFmtId="0" fontId="32" fillId="0" borderId="2" xfId="0" applyFont="1" applyBorder="1" applyAlignment="1">
      <alignment horizontal="justify" vertical="center" wrapText="1" readingOrder="1"/>
    </xf>
    <xf numFmtId="0" fontId="32" fillId="0" borderId="1" xfId="0" applyFont="1" applyBorder="1" applyAlignment="1">
      <alignment horizontal="justify" vertical="center" wrapText="1" readingOrder="1"/>
    </xf>
    <xf numFmtId="0" fontId="32" fillId="4" borderId="2" xfId="0" applyFont="1" applyFill="1" applyBorder="1" applyAlignment="1">
      <alignment horizontal="center" vertical="center" wrapText="1" readingOrder="1"/>
    </xf>
    <xf numFmtId="0" fontId="32" fillId="6" borderId="1" xfId="0" applyFont="1" applyFill="1" applyBorder="1" applyAlignment="1">
      <alignment horizontal="center" vertical="center" wrapText="1" readingOrder="1"/>
    </xf>
    <xf numFmtId="0" fontId="32" fillId="3" borderId="1" xfId="0" applyFont="1" applyFill="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23" fillId="12" borderId="10" xfId="0" applyFont="1" applyFill="1" applyBorder="1" applyAlignment="1" applyProtection="1">
      <alignment horizontal="center" wrapText="1" readingOrder="1"/>
      <protection hidden="1"/>
    </xf>
    <xf numFmtId="0" fontId="0" fillId="2" borderId="0" xfId="0" applyFill="1"/>
    <xf numFmtId="0" fontId="48" fillId="2" borderId="37" xfId="2" applyFont="1" applyFill="1" applyBorder="1"/>
    <xf numFmtId="0" fontId="48" fillId="2" borderId="38" xfId="2" applyFont="1" applyFill="1" applyBorder="1"/>
    <xf numFmtId="0" fontId="48" fillId="2" borderId="39" xfId="2" applyFont="1" applyFill="1" applyBorder="1"/>
    <xf numFmtId="0" fontId="16" fillId="2" borderId="0" xfId="0" applyFont="1" applyFill="1" applyAlignment="1">
      <alignment vertical="center"/>
    </xf>
    <xf numFmtId="0" fontId="5" fillId="2" borderId="0" xfId="0" applyFont="1" applyFill="1"/>
    <xf numFmtId="0" fontId="35" fillId="2" borderId="0" xfId="0" applyFont="1" applyFill="1"/>
    <xf numFmtId="0" fontId="36" fillId="2" borderId="20" xfId="0" applyFont="1" applyFill="1" applyBorder="1" applyAlignment="1">
      <alignment horizontal="center" vertical="center" wrapText="1" readingOrder="1"/>
    </xf>
    <xf numFmtId="0" fontId="37" fillId="2" borderId="20" xfId="0" applyFont="1" applyFill="1" applyBorder="1" applyAlignment="1">
      <alignment horizontal="justify" vertical="center" wrapText="1" readingOrder="1"/>
    </xf>
    <xf numFmtId="9" fontId="36" fillId="2" borderId="29" xfId="0" applyNumberFormat="1"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7" fillId="2" borderId="19" xfId="0" applyFont="1" applyFill="1" applyBorder="1" applyAlignment="1">
      <alignment horizontal="justify" vertical="center" wrapText="1" readingOrder="1"/>
    </xf>
    <xf numFmtId="9" fontId="36" fillId="2" borderId="24" xfId="0" applyNumberFormat="1" applyFont="1" applyFill="1" applyBorder="1" applyAlignment="1">
      <alignment horizontal="center" vertical="center" wrapText="1" readingOrder="1"/>
    </xf>
    <xf numFmtId="0" fontId="37" fillId="2" borderId="24"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37" fillId="2" borderId="26" xfId="0" applyFont="1" applyFill="1" applyBorder="1" applyAlignment="1">
      <alignment horizontal="justify" vertical="center" wrapText="1" readingOrder="1"/>
    </xf>
    <xf numFmtId="0" fontId="37" fillId="2" borderId="27" xfId="0" applyFont="1" applyFill="1" applyBorder="1" applyAlignment="1">
      <alignment horizontal="center" vertical="center" wrapText="1" readingOrder="1"/>
    </xf>
    <xf numFmtId="0" fontId="45" fillId="2" borderId="0" xfId="0" applyFont="1" applyFill="1"/>
    <xf numFmtId="0" fontId="36" fillId="14" borderId="31" xfId="0" applyFont="1" applyFill="1" applyBorder="1" applyAlignment="1">
      <alignment horizontal="center" vertical="center" wrapText="1" readingOrder="1"/>
    </xf>
    <xf numFmtId="0" fontId="36" fillId="14" borderId="32" xfId="0" applyFont="1" applyFill="1" applyBorder="1" applyAlignment="1">
      <alignment horizontal="center" vertical="center" wrapText="1" readingOrder="1"/>
    </xf>
    <xf numFmtId="0" fontId="13" fillId="2" borderId="0" xfId="0" applyFont="1" applyFill="1"/>
    <xf numFmtId="0" fontId="30" fillId="2" borderId="0" xfId="0" applyFont="1" applyFill="1" applyAlignment="1">
      <alignment horizontal="center" vertical="center" wrapText="1"/>
    </xf>
    <xf numFmtId="0" fontId="12" fillId="2" borderId="0" xfId="0" applyFont="1" applyFill="1" applyAlignment="1">
      <alignment horizontal="justify" vertical="center" wrapText="1" readingOrder="1"/>
    </xf>
    <xf numFmtId="0" fontId="4" fillId="2" borderId="0" xfId="0" applyFont="1" applyFill="1" applyAlignment="1">
      <alignment vertical="center"/>
    </xf>
    <xf numFmtId="0" fontId="15" fillId="2" borderId="0" xfId="0" applyFont="1" applyFill="1"/>
    <xf numFmtId="0" fontId="4" fillId="2" borderId="0" xfId="0" applyFont="1" applyFill="1" applyAlignment="1">
      <alignment horizontal="left" vertical="center"/>
    </xf>
    <xf numFmtId="0" fontId="48" fillId="2" borderId="5" xfId="2" applyFont="1" applyFill="1" applyBorder="1"/>
    <xf numFmtId="0" fontId="53" fillId="2" borderId="0" xfId="0" applyFont="1" applyFill="1" applyAlignment="1">
      <alignment horizontal="left" vertical="center" wrapText="1"/>
    </xf>
    <xf numFmtId="0" fontId="54" fillId="2" borderId="0" xfId="0" applyFont="1" applyFill="1" applyAlignment="1">
      <alignment horizontal="left" vertical="top" wrapText="1"/>
    </xf>
    <xf numFmtId="0" fontId="48" fillId="2" borderId="0" xfId="2" applyFont="1" applyFill="1"/>
    <xf numFmtId="0" fontId="48" fillId="2" borderId="6" xfId="2" applyFont="1" applyFill="1" applyBorder="1"/>
    <xf numFmtId="0" fontId="48" fillId="2" borderId="7" xfId="2" applyFont="1" applyFill="1" applyBorder="1"/>
    <xf numFmtId="0" fontId="48" fillId="2" borderId="9" xfId="2" applyFont="1" applyFill="1" applyBorder="1"/>
    <xf numFmtId="0" fontId="48" fillId="2" borderId="8" xfId="2" applyFont="1" applyFill="1" applyBorder="1"/>
    <xf numFmtId="0" fontId="52" fillId="2" borderId="0" xfId="2" applyFont="1" applyFill="1" applyAlignment="1">
      <alignment horizontal="left" vertical="center" wrapText="1"/>
    </xf>
    <xf numFmtId="0" fontId="48" fillId="2" borderId="0" xfId="2" applyFont="1" applyFill="1" applyAlignment="1">
      <alignment horizontal="left" vertical="center" wrapText="1"/>
    </xf>
    <xf numFmtId="0" fontId="48" fillId="2" borderId="0" xfId="2" quotePrefix="1" applyFont="1" applyFill="1" applyAlignment="1">
      <alignment horizontal="left" vertical="center" wrapText="1"/>
    </xf>
    <xf numFmtId="0" fontId="50" fillId="2" borderId="5" xfId="2" quotePrefix="1" applyFont="1" applyFill="1" applyBorder="1" applyAlignment="1">
      <alignment horizontal="left" vertical="top" wrapText="1"/>
    </xf>
    <xf numFmtId="0" fontId="51" fillId="2" borderId="0" xfId="2" quotePrefix="1" applyFont="1" applyFill="1" applyAlignment="1">
      <alignment horizontal="left" vertical="top" wrapText="1"/>
    </xf>
    <xf numFmtId="0" fontId="51" fillId="2" borderId="6" xfId="2" quotePrefix="1" applyFont="1" applyFill="1" applyBorder="1" applyAlignment="1">
      <alignment horizontal="left" vertical="top" wrapText="1"/>
    </xf>
    <xf numFmtId="0" fontId="57" fillId="0" borderId="0" xfId="5"/>
    <xf numFmtId="0" fontId="58" fillId="15" borderId="0" xfId="5" applyFont="1" applyFill="1"/>
    <xf numFmtId="0" fontId="59" fillId="15" borderId="61" xfId="5" applyFont="1" applyFill="1" applyBorder="1"/>
    <xf numFmtId="0" fontId="58" fillId="15" borderId="62" xfId="5" applyFont="1" applyFill="1" applyBorder="1"/>
    <xf numFmtId="0" fontId="58" fillId="0" borderId="62" xfId="5" applyFont="1" applyBorder="1"/>
    <xf numFmtId="0" fontId="58" fillId="0" borderId="63" xfId="5" applyFont="1" applyBorder="1"/>
    <xf numFmtId="0" fontId="58" fillId="0" borderId="61" xfId="5" applyFont="1" applyBorder="1"/>
    <xf numFmtId="0" fontId="58" fillId="0" borderId="64" xfId="5" applyFont="1" applyBorder="1"/>
    <xf numFmtId="0" fontId="58" fillId="15" borderId="65" xfId="5" applyFont="1" applyFill="1" applyBorder="1"/>
    <xf numFmtId="0" fontId="58" fillId="0" borderId="0" xfId="5" applyFont="1"/>
    <xf numFmtId="0" fontId="58" fillId="0" borderId="69" xfId="5" applyFont="1" applyBorder="1"/>
    <xf numFmtId="0" fontId="58" fillId="0" borderId="65" xfId="5" applyFont="1" applyBorder="1"/>
    <xf numFmtId="0" fontId="63" fillId="17" borderId="70" xfId="5" applyFont="1" applyFill="1" applyBorder="1" applyAlignment="1">
      <alignment horizontal="center" vertical="center"/>
    </xf>
    <xf numFmtId="0" fontId="64" fillId="17" borderId="70" xfId="5" applyFont="1" applyFill="1" applyBorder="1" applyAlignment="1">
      <alignment horizontal="center" vertical="center" wrapText="1"/>
    </xf>
    <xf numFmtId="0" fontId="64" fillId="17" borderId="75" xfId="5" applyFont="1" applyFill="1" applyBorder="1" applyAlignment="1">
      <alignment horizontal="center" vertical="center" wrapText="1"/>
    </xf>
    <xf numFmtId="0" fontId="64" fillId="17" borderId="76" xfId="5" applyFont="1" applyFill="1" applyBorder="1" applyAlignment="1">
      <alignment horizontal="center" vertical="center" wrapText="1"/>
    </xf>
    <xf numFmtId="0" fontId="65" fillId="15" borderId="70" xfId="5" applyFont="1" applyFill="1" applyBorder="1" applyAlignment="1">
      <alignment horizontal="center" vertical="center"/>
    </xf>
    <xf numFmtId="0" fontId="66" fillId="0" borderId="70" xfId="5" applyFont="1" applyBorder="1" applyAlignment="1">
      <alignment horizontal="center" vertical="center" wrapText="1"/>
    </xf>
    <xf numFmtId="0" fontId="66" fillId="0" borderId="75" xfId="5" applyFont="1" applyBorder="1" applyAlignment="1">
      <alignment horizontal="center" vertical="center" wrapText="1"/>
    </xf>
    <xf numFmtId="0" fontId="66" fillId="0" borderId="76" xfId="5" applyFont="1" applyBorder="1" applyAlignment="1">
      <alignment horizontal="center" vertical="center" wrapText="1"/>
    </xf>
    <xf numFmtId="0" fontId="65" fillId="0" borderId="70" xfId="5" applyFont="1" applyBorder="1" applyAlignment="1">
      <alignment horizontal="center" vertical="center" wrapText="1"/>
    </xf>
    <xf numFmtId="0" fontId="65" fillId="0" borderId="76" xfId="5" applyFont="1" applyBorder="1" applyAlignment="1">
      <alignment horizontal="left" vertical="center" wrapText="1"/>
    </xf>
    <xf numFmtId="0" fontId="65" fillId="15" borderId="77" xfId="5" applyFont="1" applyFill="1" applyBorder="1" applyAlignment="1">
      <alignment horizontal="center" vertical="center"/>
    </xf>
    <xf numFmtId="0" fontId="66" fillId="0" borderId="77" xfId="5" applyFont="1" applyBorder="1" applyAlignment="1">
      <alignment horizontal="center" vertical="center" wrapText="1"/>
    </xf>
    <xf numFmtId="0" fontId="66" fillId="0" borderId="82" xfId="5" applyFont="1" applyBorder="1" applyAlignment="1">
      <alignment horizontal="center" vertical="center" wrapText="1"/>
    </xf>
    <xf numFmtId="0" fontId="66" fillId="0" borderId="83" xfId="5" applyFont="1" applyBorder="1" applyAlignment="1">
      <alignment horizontal="center" vertical="center" wrapText="1"/>
    </xf>
    <xf numFmtId="0" fontId="65" fillId="0" borderId="77" xfId="5" applyFont="1" applyBorder="1" applyAlignment="1">
      <alignment horizontal="center" vertical="center" wrapText="1"/>
    </xf>
    <xf numFmtId="0" fontId="65" fillId="0" borderId="83" xfId="5" applyFont="1" applyBorder="1" applyAlignment="1">
      <alignment horizontal="left" vertical="center" wrapText="1"/>
    </xf>
    <xf numFmtId="0" fontId="65" fillId="0" borderId="84" xfId="5" applyFont="1" applyBorder="1" applyAlignment="1">
      <alignment horizontal="center" vertical="center" wrapText="1"/>
    </xf>
    <xf numFmtId="0" fontId="65" fillId="0" borderId="85" xfId="5" applyFont="1" applyBorder="1" applyAlignment="1">
      <alignment horizontal="left" vertical="center" wrapText="1"/>
    </xf>
    <xf numFmtId="0" fontId="58" fillId="15" borderId="86" xfId="5" applyFont="1" applyFill="1" applyBorder="1"/>
    <xf numFmtId="0" fontId="58" fillId="15" borderId="87" xfId="5" applyFont="1" applyFill="1" applyBorder="1"/>
    <xf numFmtId="0" fontId="58" fillId="0" borderId="87" xfId="5" applyFont="1" applyBorder="1"/>
    <xf numFmtId="0" fontId="58" fillId="0" borderId="88" xfId="5" applyFont="1" applyBorder="1"/>
    <xf numFmtId="0" fontId="58" fillId="0" borderId="86" xfId="5" applyFont="1" applyBorder="1"/>
    <xf numFmtId="0" fontId="58" fillId="15" borderId="63" xfId="5" applyFont="1" applyFill="1" applyBorder="1"/>
    <xf numFmtId="0" fontId="58" fillId="15" borderId="69" xfId="5" applyFont="1" applyFill="1" applyBorder="1"/>
    <xf numFmtId="0" fontId="60" fillId="0" borderId="69" xfId="5" applyFont="1" applyBorder="1" applyAlignment="1">
      <alignment horizontal="center"/>
    </xf>
    <xf numFmtId="0" fontId="67" fillId="15" borderId="0" xfId="5" applyFont="1" applyFill="1" applyAlignment="1">
      <alignment horizontal="center" vertical="center" wrapText="1"/>
    </xf>
    <xf numFmtId="0" fontId="67" fillId="18" borderId="89" xfId="5" applyFont="1" applyFill="1" applyBorder="1" applyAlignment="1">
      <alignment horizontal="center" vertical="center"/>
    </xf>
    <xf numFmtId="0" fontId="67" fillId="18" borderId="90" xfId="5" applyFont="1" applyFill="1" applyBorder="1" applyAlignment="1">
      <alignment horizontal="center" vertical="center"/>
    </xf>
    <xf numFmtId="0" fontId="67" fillId="19" borderId="90" xfId="5" applyFont="1" applyFill="1" applyBorder="1" applyAlignment="1">
      <alignment horizontal="center" vertical="center"/>
    </xf>
    <xf numFmtId="0" fontId="67" fillId="19" borderId="91" xfId="5" applyFont="1" applyFill="1" applyBorder="1" applyAlignment="1">
      <alignment horizontal="center" vertical="center"/>
    </xf>
    <xf numFmtId="0" fontId="58" fillId="0" borderId="69" xfId="5" applyFont="1" applyBorder="1" applyAlignment="1">
      <alignment horizontal="left" vertical="center" wrapText="1"/>
    </xf>
    <xf numFmtId="0" fontId="65" fillId="0" borderId="65" xfId="5" applyFont="1" applyBorder="1" applyAlignment="1">
      <alignment wrapText="1"/>
    </xf>
    <xf numFmtId="0" fontId="65" fillId="0" borderId="0" xfId="5" applyFont="1" applyAlignment="1">
      <alignment wrapText="1"/>
    </xf>
    <xf numFmtId="0" fontId="65" fillId="0" borderId="69" xfId="5" applyFont="1" applyBorder="1" applyAlignment="1">
      <alignment wrapText="1"/>
    </xf>
    <xf numFmtId="0" fontId="67" fillId="15" borderId="0" xfId="5" applyFont="1" applyFill="1" applyAlignment="1">
      <alignment horizontal="center" vertical="center"/>
    </xf>
    <xf numFmtId="0" fontId="65" fillId="15" borderId="65" xfId="5" applyFont="1" applyFill="1" applyBorder="1"/>
    <xf numFmtId="0" fontId="67" fillId="20" borderId="70" xfId="5" applyFont="1" applyFill="1" applyBorder="1" applyAlignment="1">
      <alignment horizontal="center" vertical="center"/>
    </xf>
    <xf numFmtId="0" fontId="67" fillId="18" borderId="75" xfId="5" applyFont="1" applyFill="1" applyBorder="1" applyAlignment="1">
      <alignment horizontal="center" vertical="center"/>
    </xf>
    <xf numFmtId="0" fontId="67" fillId="19" borderId="75" xfId="5" applyFont="1" applyFill="1" applyBorder="1" applyAlignment="1">
      <alignment horizontal="center" vertical="center"/>
    </xf>
    <xf numFmtId="0" fontId="67" fillId="19" borderId="76" xfId="5" applyFont="1" applyFill="1" applyBorder="1" applyAlignment="1">
      <alignment horizontal="center" vertical="center"/>
    </xf>
    <xf numFmtId="0" fontId="67" fillId="21" borderId="70" xfId="5" applyFont="1" applyFill="1" applyBorder="1" applyAlignment="1">
      <alignment horizontal="center" vertical="center"/>
    </xf>
    <xf numFmtId="0" fontId="67" fillId="20" borderId="75" xfId="5" applyFont="1" applyFill="1" applyBorder="1" applyAlignment="1">
      <alignment horizontal="center" vertical="center"/>
    </xf>
    <xf numFmtId="0" fontId="67" fillId="21" borderId="75" xfId="5" applyFont="1" applyFill="1" applyBorder="1" applyAlignment="1">
      <alignment horizontal="center" vertical="center"/>
    </xf>
    <xf numFmtId="0" fontId="67" fillId="21" borderId="77" xfId="5" applyFont="1" applyFill="1" applyBorder="1" applyAlignment="1">
      <alignment horizontal="center" vertical="center"/>
    </xf>
    <xf numFmtId="0" fontId="67" fillId="21" borderId="82" xfId="5" applyFont="1" applyFill="1" applyBorder="1" applyAlignment="1">
      <alignment horizontal="center" vertical="center"/>
    </xf>
    <xf numFmtId="0" fontId="67" fillId="20" borderId="82" xfId="5" applyFont="1" applyFill="1" applyBorder="1" applyAlignment="1">
      <alignment horizontal="center" vertical="center"/>
    </xf>
    <xf numFmtId="0" fontId="67" fillId="18" borderId="82" xfId="5" applyFont="1" applyFill="1" applyBorder="1" applyAlignment="1">
      <alignment horizontal="center" vertical="center"/>
    </xf>
    <xf numFmtId="0" fontId="67" fillId="18" borderId="83" xfId="5" applyFont="1" applyFill="1" applyBorder="1" applyAlignment="1">
      <alignment horizontal="center" vertical="center"/>
    </xf>
    <xf numFmtId="0" fontId="68" fillId="0" borderId="0" xfId="5" applyFont="1" applyAlignment="1">
      <alignment vertical="center" wrapText="1"/>
    </xf>
    <xf numFmtId="0" fontId="68" fillId="22" borderId="70" xfId="5" applyFont="1" applyFill="1" applyBorder="1" applyAlignment="1">
      <alignment horizontal="center" vertical="center" wrapText="1"/>
    </xf>
    <xf numFmtId="0" fontId="69" fillId="0" borderId="70" xfId="5" applyFont="1" applyBorder="1" applyAlignment="1">
      <alignment horizontal="center" vertical="center" wrapText="1"/>
    </xf>
    <xf numFmtId="0" fontId="69" fillId="0" borderId="77" xfId="5" applyFont="1" applyBorder="1" applyAlignment="1">
      <alignment horizontal="center" vertical="center" wrapText="1"/>
    </xf>
    <xf numFmtId="0" fontId="68" fillId="0" borderId="87" xfId="5" applyFont="1" applyBorder="1" applyAlignment="1">
      <alignment horizontal="center" vertical="center" wrapText="1"/>
    </xf>
    <xf numFmtId="0" fontId="68" fillId="0" borderId="0" xfId="5" applyFont="1" applyAlignment="1">
      <alignment horizontal="center" vertical="center"/>
    </xf>
    <xf numFmtId="0" fontId="68" fillId="0" borderId="0" xfId="5" applyFont="1" applyAlignment="1">
      <alignment horizontal="center" vertical="center" wrapText="1"/>
    </xf>
    <xf numFmtId="0" fontId="70" fillId="0" borderId="0" xfId="5" applyFont="1"/>
    <xf numFmtId="0" fontId="71" fillId="0" borderId="0" xfId="5" applyFont="1" applyAlignment="1">
      <alignment horizontal="left" vertical="center"/>
    </xf>
    <xf numFmtId="0" fontId="4" fillId="0" borderId="0" xfId="0" applyFont="1" applyAlignment="1">
      <alignment horizontal="center" vertical="center"/>
    </xf>
    <xf numFmtId="0" fontId="1" fillId="0" borderId="0" xfId="0" applyFont="1" applyAlignment="1">
      <alignment vertical="center"/>
    </xf>
    <xf numFmtId="0" fontId="4" fillId="23" borderId="110" xfId="0" applyFont="1" applyFill="1" applyBorder="1" applyAlignment="1">
      <alignment horizontal="center" vertical="center" textRotation="90"/>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4" fillId="23" borderId="19" xfId="0" applyFont="1" applyFill="1" applyBorder="1" applyAlignment="1">
      <alignment horizontal="center" vertical="center" textRotation="90"/>
    </xf>
    <xf numFmtId="0" fontId="1" fillId="29" borderId="112"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6" xfId="0" applyFont="1" applyFill="1" applyBorder="1" applyAlignment="1">
      <alignment horizontal="center" vertical="center"/>
    </xf>
    <xf numFmtId="0" fontId="61" fillId="2" borderId="0" xfId="6" applyFont="1" applyFill="1" applyAlignment="1">
      <alignment horizontal="center" vertical="center" wrapText="1"/>
    </xf>
    <xf numFmtId="0" fontId="79" fillId="30" borderId="19" xfId="0" applyFont="1" applyFill="1" applyBorder="1" applyAlignment="1">
      <alignment horizontal="left" vertical="center"/>
    </xf>
    <xf numFmtId="0" fontId="79"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1" fillId="2" borderId="0" xfId="7" applyFont="1" applyFill="1"/>
    <xf numFmtId="0" fontId="61" fillId="0" borderId="0" xfId="7" applyFont="1" applyAlignment="1">
      <alignment vertical="center"/>
    </xf>
    <xf numFmtId="0" fontId="61" fillId="0" borderId="0" xfId="7" applyFont="1"/>
    <xf numFmtId="0" fontId="61" fillId="2" borderId="0" xfId="7" applyFont="1" applyFill="1" applyAlignment="1">
      <alignment horizontal="center" vertical="center"/>
    </xf>
    <xf numFmtId="0" fontId="61" fillId="0" borderId="0" xfId="7" applyFont="1" applyAlignment="1">
      <alignment horizontal="center" vertical="center"/>
    </xf>
    <xf numFmtId="0" fontId="76" fillId="23" borderId="19" xfId="6" applyFont="1" applyFill="1" applyBorder="1" applyAlignment="1">
      <alignment horizontal="center" vertical="center"/>
    </xf>
    <xf numFmtId="166" fontId="61" fillId="2" borderId="19" xfId="6" applyNumberFormat="1" applyFont="1" applyFill="1" applyBorder="1" applyAlignment="1">
      <alignment horizontal="center" vertical="center"/>
    </xf>
    <xf numFmtId="0" fontId="15" fillId="2" borderId="0" xfId="7" applyFont="1" applyFill="1"/>
    <xf numFmtId="0" fontId="15" fillId="0" borderId="0" xfId="7" applyFont="1"/>
    <xf numFmtId="0" fontId="35" fillId="2" borderId="0" xfId="7" applyFill="1"/>
    <xf numFmtId="0" fontId="35" fillId="0" borderId="0" xfId="7"/>
    <xf numFmtId="0" fontId="80" fillId="0" borderId="19" xfId="7" applyFont="1" applyBorder="1" applyAlignment="1">
      <alignment horizontal="center" vertical="center"/>
    </xf>
    <xf numFmtId="0" fontId="5" fillId="0" borderId="0" xfId="7" applyFont="1"/>
    <xf numFmtId="0" fontId="79" fillId="31" borderId="19" xfId="7" applyFont="1" applyFill="1" applyBorder="1" applyAlignment="1">
      <alignment horizontal="left" vertical="center"/>
    </xf>
    <xf numFmtId="0" fontId="57" fillId="2" borderId="0" xfId="6" applyFont="1" applyFill="1" applyAlignment="1">
      <alignment horizontal="center" vertical="center" wrapText="1"/>
    </xf>
    <xf numFmtId="0" fontId="1" fillId="0" borderId="112" xfId="0" applyFont="1" applyBorder="1" applyAlignment="1" applyProtection="1">
      <alignment horizontal="center" vertical="center"/>
      <protection hidden="1"/>
    </xf>
    <xf numFmtId="0" fontId="1" fillId="29" borderId="112" xfId="0" applyFont="1" applyFill="1" applyBorder="1" applyAlignment="1" applyProtection="1">
      <alignment horizontal="center" vertical="center" textRotation="90"/>
      <protection locked="0"/>
    </xf>
    <xf numFmtId="9" fontId="1" fillId="0" borderId="112" xfId="0" applyNumberFormat="1" applyFont="1" applyBorder="1" applyAlignment="1" applyProtection="1">
      <alignment horizontal="center" vertical="center"/>
      <protection hidden="1"/>
    </xf>
    <xf numFmtId="164" fontId="1" fillId="0" borderId="112" xfId="1" applyNumberFormat="1" applyFont="1" applyBorder="1" applyAlignment="1">
      <alignment horizontal="center" vertical="center"/>
    </xf>
    <xf numFmtId="0" fontId="4" fillId="0" borderId="112" xfId="0" applyFont="1" applyBorder="1" applyAlignment="1" applyProtection="1">
      <alignment horizontal="center" vertical="center"/>
      <protection hidden="1"/>
    </xf>
    <xf numFmtId="0" fontId="1" fillId="29" borderId="113" xfId="0" applyFont="1" applyFill="1" applyBorder="1" applyAlignment="1" applyProtection="1">
      <alignment horizontal="center" vertical="center" wrapText="1"/>
      <protection locked="0"/>
    </xf>
    <xf numFmtId="0" fontId="1" fillId="0" borderId="19" xfId="0" applyFont="1" applyBorder="1" applyAlignment="1" applyProtection="1">
      <alignment horizontal="center" vertical="center"/>
      <protection hidden="1"/>
    </xf>
    <xf numFmtId="0" fontId="1" fillId="29" borderId="19" xfId="0" applyFont="1" applyFill="1" applyBorder="1" applyAlignment="1" applyProtection="1">
      <alignment horizontal="center" vertical="center" textRotation="90"/>
      <protection locked="0"/>
    </xf>
    <xf numFmtId="9" fontId="1" fillId="0" borderId="19" xfId="0" applyNumberFormat="1" applyFont="1" applyBorder="1" applyAlignment="1" applyProtection="1">
      <alignment horizontal="center" vertical="center"/>
      <protection hidden="1"/>
    </xf>
    <xf numFmtId="164" fontId="1" fillId="0" borderId="19" xfId="1" applyNumberFormat="1" applyFont="1" applyBorder="1" applyAlignment="1">
      <alignment horizontal="center" vertical="center"/>
    </xf>
    <xf numFmtId="0" fontId="4" fillId="0" borderId="19" xfId="0" applyFont="1" applyBorder="1" applyAlignment="1" applyProtection="1">
      <alignment horizontal="center" vertical="center"/>
      <protection hidden="1"/>
    </xf>
    <xf numFmtId="0" fontId="1" fillId="29" borderId="24" xfId="0" applyFont="1" applyFill="1" applyBorder="1" applyAlignment="1" applyProtection="1">
      <alignment horizontal="center" vertical="center" wrapText="1"/>
      <protection locked="0"/>
    </xf>
    <xf numFmtId="0" fontId="1" fillId="0" borderId="26" xfId="0" applyFont="1" applyBorder="1" applyAlignment="1" applyProtection="1">
      <alignment horizontal="center" vertical="center"/>
      <protection hidden="1"/>
    </xf>
    <xf numFmtId="0" fontId="1" fillId="29" borderId="26" xfId="0" applyFont="1" applyFill="1" applyBorder="1" applyAlignment="1" applyProtection="1">
      <alignment horizontal="center" vertical="center" textRotation="90"/>
      <protection locked="0"/>
    </xf>
    <xf numFmtId="9" fontId="1" fillId="0" borderId="26" xfId="0" applyNumberFormat="1" applyFont="1" applyBorder="1" applyAlignment="1" applyProtection="1">
      <alignment horizontal="center" vertical="center"/>
      <protection hidden="1"/>
    </xf>
    <xf numFmtId="164" fontId="1" fillId="0" borderId="26" xfId="1" applyNumberFormat="1" applyFont="1" applyBorder="1" applyAlignment="1">
      <alignment horizontal="center" vertical="center"/>
    </xf>
    <xf numFmtId="0" fontId="4" fillId="0" borderId="26" xfId="0" applyFont="1" applyBorder="1" applyAlignment="1" applyProtection="1">
      <alignment horizontal="center" vertical="center"/>
      <protection hidden="1"/>
    </xf>
    <xf numFmtId="0" fontId="1" fillId="29" borderId="27" xfId="0" applyFont="1" applyFill="1" applyBorder="1" applyAlignment="1" applyProtection="1">
      <alignment horizontal="center" vertical="center" wrapText="1"/>
      <protection locked="0"/>
    </xf>
    <xf numFmtId="9" fontId="1" fillId="29" borderId="112" xfId="0" applyNumberFormat="1" applyFont="1" applyFill="1" applyBorder="1" applyAlignment="1" applyProtection="1">
      <alignment horizontal="center" vertical="center"/>
      <protection hidden="1"/>
    </xf>
    <xf numFmtId="9" fontId="1" fillId="29" borderId="19" xfId="0" applyNumberFormat="1" applyFont="1" applyFill="1" applyBorder="1" applyAlignment="1" applyProtection="1">
      <alignment horizontal="center" vertical="center"/>
      <protection hidden="1"/>
    </xf>
    <xf numFmtId="9" fontId="1" fillId="29" borderId="26" xfId="0" applyNumberFormat="1" applyFont="1" applyFill="1" applyBorder="1" applyAlignment="1" applyProtection="1">
      <alignment horizontal="center" vertical="center"/>
      <protection hidden="1"/>
    </xf>
    <xf numFmtId="164" fontId="1" fillId="0" borderId="112" xfId="1" applyNumberFormat="1" applyFont="1" applyFill="1" applyBorder="1" applyAlignment="1">
      <alignment horizontal="center" vertical="center"/>
    </xf>
    <xf numFmtId="164" fontId="1" fillId="0" borderId="19" xfId="1" applyNumberFormat="1" applyFont="1" applyFill="1" applyBorder="1" applyAlignment="1">
      <alignment horizontal="center" vertical="center"/>
    </xf>
    <xf numFmtId="164" fontId="1" fillId="0" borderId="26" xfId="1" applyNumberFormat="1" applyFont="1" applyFill="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19" xfId="0" applyFont="1" applyFill="1" applyBorder="1" applyAlignment="1" applyProtection="1">
      <alignment horizontal="center" vertical="center"/>
      <protection locked="0"/>
    </xf>
    <xf numFmtId="14" fontId="1" fillId="29" borderId="24" xfId="0" applyNumberFormat="1" applyFont="1" applyFill="1" applyBorder="1" applyAlignment="1" applyProtection="1">
      <alignment horizontal="center" vertical="center"/>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6" xfId="0" applyFont="1" applyFill="1" applyBorder="1" applyAlignment="1" applyProtection="1">
      <alignment horizontal="center" vertical="center"/>
      <protection locked="0"/>
    </xf>
    <xf numFmtId="14" fontId="1" fillId="29" borderId="27" xfId="0" applyNumberFormat="1" applyFont="1" applyFill="1" applyBorder="1" applyAlignment="1" applyProtection="1">
      <alignment horizontal="center" vertical="center"/>
      <protection locked="0"/>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4" xfId="0" applyFont="1" applyBorder="1" applyAlignment="1">
      <alignment horizontal="center" vertical="center"/>
    </xf>
    <xf numFmtId="14" fontId="1" fillId="29" borderId="19" xfId="0" applyNumberFormat="1" applyFont="1" applyFill="1" applyBorder="1" applyAlignment="1" applyProtection="1">
      <alignment horizontal="center" vertical="center"/>
      <protection locked="0"/>
    </xf>
    <xf numFmtId="0" fontId="1" fillId="29" borderId="24" xfId="0" applyFont="1" applyFill="1" applyBorder="1" applyAlignment="1" applyProtection="1">
      <alignment horizontal="center" vertical="center"/>
      <protection locked="0"/>
    </xf>
    <xf numFmtId="14" fontId="1" fillId="29" borderId="116" xfId="0" applyNumberFormat="1" applyFont="1" applyFill="1" applyBorder="1" applyAlignment="1" applyProtection="1">
      <alignment horizontal="center" vertical="center"/>
      <protection locked="0"/>
    </xf>
    <xf numFmtId="14" fontId="1" fillId="29" borderId="110" xfId="0" applyNumberFormat="1"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14" fontId="1" fillId="29" borderId="117" xfId="0" applyNumberFormat="1" applyFont="1" applyFill="1" applyBorder="1" applyAlignment="1" applyProtection="1">
      <alignment horizontal="center" vertical="center"/>
      <protection locked="0"/>
    </xf>
    <xf numFmtId="0" fontId="1" fillId="0" borderId="27" xfId="0" applyFont="1" applyBorder="1" applyAlignment="1">
      <alignment horizontal="center" vertical="center"/>
    </xf>
    <xf numFmtId="14" fontId="1" fillId="29" borderId="26" xfId="0" applyNumberFormat="1" applyFont="1" applyFill="1" applyBorder="1" applyAlignment="1" applyProtection="1">
      <alignment horizontal="center" vertical="center"/>
      <protection locked="0"/>
    </xf>
    <xf numFmtId="0" fontId="1" fillId="29" borderId="27" xfId="0" applyFont="1" applyFill="1" applyBorder="1" applyAlignment="1" applyProtection="1">
      <alignment horizontal="center" vertical="center"/>
      <protection locked="0"/>
    </xf>
    <xf numFmtId="14" fontId="1" fillId="29" borderId="118" xfId="0" applyNumberFormat="1" applyFont="1" applyFill="1" applyBorder="1" applyAlignment="1" applyProtection="1">
      <alignment horizontal="center" vertical="center"/>
      <protection locked="0"/>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9" fontId="1" fillId="0" borderId="26" xfId="0" applyNumberFormat="1" applyFont="1" applyBorder="1" applyAlignment="1" applyProtection="1">
      <alignment horizontal="center" vertical="center" wrapText="1"/>
      <protection hidden="1"/>
    </xf>
    <xf numFmtId="0" fontId="2"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2" fillId="29" borderId="26" xfId="0" applyFont="1" applyFill="1" applyBorder="1" applyAlignment="1" applyProtection="1">
      <alignment horizontal="center" vertical="center" wrapText="1"/>
      <protection locked="0"/>
    </xf>
    <xf numFmtId="0" fontId="57" fillId="15" borderId="0" xfId="5" applyFill="1" applyAlignment="1">
      <alignment wrapText="1"/>
    </xf>
    <xf numFmtId="0" fontId="57" fillId="15" borderId="0" xfId="5" applyFill="1" applyAlignment="1">
      <alignment horizontal="left" vertical="center" wrapText="1"/>
    </xf>
    <xf numFmtId="0" fontId="57" fillId="15" borderId="0" xfId="5" applyFill="1" applyAlignment="1">
      <alignment horizontal="center" vertical="center" wrapText="1"/>
    </xf>
    <xf numFmtId="0" fontId="57" fillId="0" borderId="0" xfId="5" applyAlignment="1">
      <alignment horizontal="center" vertical="center"/>
    </xf>
    <xf numFmtId="0" fontId="57" fillId="0" borderId="0" xfId="5" applyAlignment="1">
      <alignment horizontal="left" vertical="center"/>
    </xf>
    <xf numFmtId="0" fontId="80" fillId="15" borderId="0" xfId="5" applyFont="1" applyFill="1" applyAlignment="1">
      <alignment horizontal="left" vertical="center" wrapText="1"/>
    </xf>
    <xf numFmtId="0" fontId="80" fillId="0" borderId="0" xfId="5" applyFont="1"/>
    <xf numFmtId="0" fontId="80" fillId="15" borderId="0" xfId="5" applyFont="1" applyFill="1" applyAlignment="1">
      <alignment wrapText="1"/>
    </xf>
    <xf numFmtId="0" fontId="2" fillId="0" borderId="19" xfId="0" applyFont="1" applyBorder="1" applyAlignment="1">
      <alignment horizontal="left" vertical="center" wrapText="1"/>
    </xf>
    <xf numFmtId="0" fontId="1" fillId="0" borderId="19" xfId="0" applyFont="1" applyBorder="1" applyAlignment="1">
      <alignment horizontal="left" vertical="center" wrapText="1"/>
    </xf>
    <xf numFmtId="0" fontId="1" fillId="0" borderId="24" xfId="0" applyFont="1" applyBorder="1" applyAlignment="1">
      <alignment horizontal="left" vertical="center" wrapText="1"/>
    </xf>
    <xf numFmtId="0" fontId="2" fillId="0" borderId="26" xfId="0" applyFont="1" applyBorder="1" applyAlignment="1">
      <alignment horizontal="left"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1" fillId="29" borderId="19" xfId="0" applyFont="1" applyFill="1" applyBorder="1" applyAlignment="1" applyProtection="1">
      <alignment vertical="center" wrapText="1"/>
      <protection locked="0"/>
    </xf>
    <xf numFmtId="0" fontId="1" fillId="29" borderId="19" xfId="0" applyFont="1" applyFill="1" applyBorder="1" applyAlignment="1" applyProtection="1">
      <alignment vertical="center"/>
      <protection locked="0"/>
    </xf>
    <xf numFmtId="0" fontId="1" fillId="29" borderId="112" xfId="0" applyFont="1" applyFill="1" applyBorder="1" applyAlignment="1" applyProtection="1">
      <alignment vertical="center" wrapText="1"/>
      <protection locked="0"/>
    </xf>
    <xf numFmtId="0" fontId="1" fillId="29" borderId="26" xfId="0" applyFont="1" applyFill="1" applyBorder="1" applyAlignment="1" applyProtection="1">
      <alignment vertical="center" wrapText="1"/>
      <protection locked="0"/>
    </xf>
    <xf numFmtId="0" fontId="1" fillId="29" borderId="23" xfId="0" applyFont="1" applyFill="1" applyBorder="1" applyAlignment="1" applyProtection="1">
      <alignment horizontal="left" vertical="center" wrapText="1"/>
      <protection locked="0"/>
    </xf>
    <xf numFmtId="0" fontId="1" fillId="29" borderId="19" xfId="0" applyFont="1" applyFill="1" applyBorder="1" applyAlignment="1" applyProtection="1">
      <alignment horizontal="center" vertical="center" wrapText="1"/>
      <protection locked="0"/>
    </xf>
    <xf numFmtId="0" fontId="85" fillId="29" borderId="19" xfId="0" applyFont="1" applyFill="1" applyBorder="1" applyAlignment="1" applyProtection="1">
      <alignment horizontal="center" vertical="center"/>
      <protection locked="0"/>
    </xf>
    <xf numFmtId="0" fontId="85" fillId="0" borderId="0" xfId="0" applyFont="1"/>
    <xf numFmtId="0" fontId="86" fillId="29" borderId="19" xfId="0" applyFont="1" applyFill="1" applyBorder="1" applyAlignment="1" applyProtection="1">
      <alignment vertical="center" wrapText="1"/>
      <protection locked="0"/>
    </xf>
    <xf numFmtId="0" fontId="86" fillId="29" borderId="26" xfId="0" applyFont="1" applyFill="1" applyBorder="1" applyAlignment="1" applyProtection="1">
      <alignment vertical="center" wrapText="1"/>
      <protection locked="0"/>
    </xf>
    <xf numFmtId="0" fontId="84" fillId="29" borderId="112" xfId="0" applyFont="1" applyFill="1" applyBorder="1" applyAlignment="1" applyProtection="1">
      <alignment horizontal="center" vertical="center" wrapText="1"/>
      <protection locked="0"/>
    </xf>
    <xf numFmtId="0" fontId="84" fillId="29" borderId="112" xfId="0" applyFont="1" applyFill="1" applyBorder="1" applyAlignment="1" applyProtection="1">
      <alignment vertical="center" wrapText="1"/>
      <protection locked="0"/>
    </xf>
    <xf numFmtId="0" fontId="84" fillId="29" borderId="19" xfId="0" applyFont="1" applyFill="1" applyBorder="1" applyAlignment="1" applyProtection="1">
      <alignment horizontal="center" vertical="center" wrapText="1"/>
      <protection locked="0"/>
    </xf>
    <xf numFmtId="0" fontId="84" fillId="29" borderId="19" xfId="0" applyFont="1" applyFill="1" applyBorder="1" applyAlignment="1" applyProtection="1">
      <alignment vertical="center" wrapText="1"/>
      <protection locked="0"/>
    </xf>
    <xf numFmtId="0" fontId="84" fillId="29" borderId="26" xfId="0" applyFont="1" applyFill="1" applyBorder="1" applyAlignment="1" applyProtection="1">
      <alignment horizontal="center" vertical="center" wrapText="1"/>
      <protection locked="0"/>
    </xf>
    <xf numFmtId="0" fontId="84" fillId="29" borderId="26" xfId="0" applyFont="1" applyFill="1" applyBorder="1" applyAlignment="1" applyProtection="1">
      <alignment vertical="center" wrapText="1"/>
      <protection locked="0"/>
    </xf>
    <xf numFmtId="0" fontId="6" fillId="0" borderId="19" xfId="0" applyFont="1" applyBorder="1" applyAlignment="1">
      <alignment horizontal="justify" vertical="center" wrapText="1"/>
    </xf>
    <xf numFmtId="0" fontId="6" fillId="0" borderId="26" xfId="0" applyFont="1" applyBorder="1" applyAlignment="1">
      <alignment horizontal="justify" vertical="center" wrapText="1"/>
    </xf>
    <xf numFmtId="0" fontId="1" fillId="29" borderId="23" xfId="0" applyFont="1" applyFill="1" applyBorder="1" applyAlignment="1" applyProtection="1">
      <alignment horizontal="justify" vertical="center" wrapText="1"/>
      <protection locked="0"/>
    </xf>
    <xf numFmtId="0" fontId="85" fillId="29" borderId="23" xfId="0" applyFont="1" applyFill="1" applyBorder="1" applyAlignment="1" applyProtection="1">
      <alignment horizontal="justify" vertical="center" wrapText="1"/>
      <protection locked="0"/>
    </xf>
    <xf numFmtId="0" fontId="1" fillId="29" borderId="25" xfId="0" applyFont="1" applyFill="1" applyBorder="1" applyAlignment="1" applyProtection="1">
      <alignment horizontal="justify" vertical="center" wrapText="1"/>
      <protection locked="0"/>
    </xf>
    <xf numFmtId="0" fontId="1" fillId="0" borderId="19" xfId="0" applyFont="1" applyBorder="1" applyAlignment="1">
      <alignment horizontal="justify" vertical="center" wrapText="1"/>
    </xf>
    <xf numFmtId="0" fontId="1" fillId="0" borderId="124" xfId="0" applyFont="1" applyBorder="1" applyAlignment="1">
      <alignment horizontal="justify" vertical="center" wrapText="1"/>
    </xf>
    <xf numFmtId="0" fontId="1" fillId="0" borderId="23" xfId="0" applyFont="1" applyBorder="1" applyAlignment="1">
      <alignment horizontal="justify" vertical="center" wrapText="1"/>
    </xf>
    <xf numFmtId="0" fontId="1" fillId="0" borderId="26" xfId="0" applyFont="1" applyBorder="1" applyAlignment="1">
      <alignment horizontal="justify" vertical="center" wrapText="1"/>
    </xf>
    <xf numFmtId="0" fontId="1" fillId="0" borderId="27" xfId="0" applyFont="1" applyBorder="1" applyAlignment="1">
      <alignment horizontal="justify" vertical="center" wrapText="1"/>
    </xf>
    <xf numFmtId="0" fontId="1" fillId="0" borderId="25" xfId="0" applyFont="1" applyBorder="1" applyAlignment="1">
      <alignment horizontal="justify" vertical="center" wrapText="1"/>
    </xf>
    <xf numFmtId="14" fontId="1" fillId="29" borderId="117" xfId="0" applyNumberFormat="1" applyFont="1" applyFill="1" applyBorder="1" applyAlignment="1" applyProtection="1">
      <alignment horizontal="left" vertical="center" wrapText="1"/>
      <protection locked="0"/>
    </xf>
    <xf numFmtId="14" fontId="1" fillId="29" borderId="110" xfId="0" applyNumberFormat="1" applyFont="1" applyFill="1" applyBorder="1" applyAlignment="1" applyProtection="1">
      <alignment horizontal="center" vertical="center" wrapText="1"/>
      <protection locked="0"/>
    </xf>
    <xf numFmtId="14" fontId="1" fillId="29" borderId="110" xfId="0" applyNumberFormat="1" applyFont="1" applyFill="1" applyBorder="1" applyAlignment="1" applyProtection="1">
      <alignment horizontal="left" vertical="center" wrapText="1"/>
      <protection locked="0"/>
    </xf>
    <xf numFmtId="14" fontId="1" fillId="29" borderId="116" xfId="0" applyNumberFormat="1" applyFont="1" applyFill="1" applyBorder="1" applyAlignment="1" applyProtection="1">
      <alignment horizontal="left" vertical="center" wrapText="1"/>
      <protection locked="0"/>
    </xf>
    <xf numFmtId="14" fontId="1" fillId="29" borderId="19" xfId="0" applyNumberFormat="1" applyFont="1" applyFill="1" applyBorder="1" applyAlignment="1" applyProtection="1">
      <alignment horizontal="left" vertical="center" wrapText="1"/>
      <protection locked="0"/>
    </xf>
    <xf numFmtId="14" fontId="1" fillId="29" borderId="118" xfId="0" applyNumberFormat="1" applyFont="1" applyFill="1" applyBorder="1" applyAlignment="1" applyProtection="1">
      <alignment horizontal="left" vertical="center" wrapText="1"/>
      <protection locked="0"/>
    </xf>
    <xf numFmtId="14" fontId="1" fillId="29" borderId="26" xfId="0" applyNumberFormat="1" applyFont="1" applyFill="1" applyBorder="1" applyAlignment="1" applyProtection="1">
      <alignment horizontal="left" vertical="center" wrapText="1"/>
      <protection locked="0"/>
    </xf>
    <xf numFmtId="14" fontId="1" fillId="29" borderId="19" xfId="0" applyNumberFormat="1" applyFont="1" applyFill="1" applyBorder="1" applyAlignment="1" applyProtection="1">
      <alignment horizontal="center" vertical="center" wrapText="1"/>
      <protection locked="0"/>
    </xf>
    <xf numFmtId="14" fontId="87" fillId="29" borderId="19" xfId="8" applyNumberFormat="1" applyFill="1" applyBorder="1" applyAlignment="1" applyProtection="1">
      <alignment horizontal="center" vertical="center" wrapText="1"/>
      <protection locked="0"/>
    </xf>
    <xf numFmtId="14" fontId="2" fillId="29" borderId="110" xfId="0" applyNumberFormat="1" applyFont="1" applyFill="1" applyBorder="1" applyAlignment="1" applyProtection="1">
      <alignment horizontal="left" vertical="center" wrapText="1"/>
      <protection locked="0"/>
    </xf>
    <xf numFmtId="0" fontId="2" fillId="29" borderId="126" xfId="0" applyFont="1" applyFill="1" applyBorder="1" applyAlignment="1" applyProtection="1">
      <alignment horizontal="center" vertical="center"/>
      <protection locked="0"/>
    </xf>
    <xf numFmtId="0" fontId="57" fillId="15" borderId="0" xfId="5" applyFill="1"/>
    <xf numFmtId="0" fontId="1" fillId="33" borderId="23" xfId="0" applyFont="1" applyFill="1" applyBorder="1" applyAlignment="1">
      <alignment horizontal="justify" vertical="center" wrapText="1"/>
    </xf>
    <xf numFmtId="0" fontId="88" fillId="29" borderId="23" xfId="0" applyFont="1" applyFill="1" applyBorder="1" applyAlignment="1" applyProtection="1">
      <alignment horizontal="justify" vertical="center" wrapText="1"/>
      <protection locked="0"/>
    </xf>
    <xf numFmtId="0" fontId="2" fillId="29" borderId="112" xfId="0" applyFont="1" applyFill="1" applyBorder="1" applyAlignment="1" applyProtection="1">
      <alignment horizontal="justify" vertical="center" wrapText="1"/>
      <protection locked="0"/>
    </xf>
    <xf numFmtId="0" fontId="1" fillId="29" borderId="112" xfId="0" applyFont="1" applyFill="1" applyBorder="1" applyAlignment="1" applyProtection="1">
      <alignment horizontal="justify" vertical="center" wrapText="1"/>
      <protection locked="0"/>
    </xf>
    <xf numFmtId="0" fontId="2" fillId="29" borderId="19" xfId="0" applyFont="1" applyFill="1" applyBorder="1" applyAlignment="1" applyProtection="1">
      <alignment horizontal="justify" vertical="center" wrapText="1"/>
      <protection locked="0"/>
    </xf>
    <xf numFmtId="0" fontId="1" fillId="29" borderId="19" xfId="0" applyFont="1" applyFill="1" applyBorder="1" applyAlignment="1" applyProtection="1">
      <alignment horizontal="justify" vertical="center" wrapText="1"/>
      <protection locked="0"/>
    </xf>
    <xf numFmtId="0" fontId="86" fillId="29" borderId="19" xfId="0" applyFont="1" applyFill="1" applyBorder="1" applyAlignment="1" applyProtection="1">
      <alignment horizontal="justify" vertical="center" wrapText="1"/>
      <protection locked="0"/>
    </xf>
    <xf numFmtId="0" fontId="2" fillId="29" borderId="26" xfId="0" applyFont="1" applyFill="1" applyBorder="1" applyAlignment="1" applyProtection="1">
      <alignment horizontal="justify" vertical="center" wrapText="1"/>
      <protection locked="0"/>
    </xf>
    <xf numFmtId="0" fontId="1" fillId="29" borderId="26" xfId="0" applyFont="1" applyFill="1" applyBorder="1" applyAlignment="1" applyProtection="1">
      <alignment horizontal="justify" vertical="center" wrapText="1"/>
      <protection locked="0"/>
    </xf>
    <xf numFmtId="0" fontId="1" fillId="29" borderId="0" xfId="0" applyFont="1" applyFill="1" applyAlignment="1">
      <alignment horizontal="center" vertical="center" wrapText="1"/>
    </xf>
    <xf numFmtId="14" fontId="2" fillId="29" borderId="110" xfId="0" applyNumberFormat="1" applyFont="1" applyFill="1" applyBorder="1" applyAlignment="1" applyProtection="1">
      <alignment horizontal="center" vertical="center" wrapText="1"/>
      <protection locked="0"/>
    </xf>
    <xf numFmtId="14" fontId="1" fillId="29" borderId="117" xfId="0" applyNumberFormat="1" applyFont="1" applyFill="1" applyBorder="1" applyAlignment="1" applyProtection="1">
      <alignment horizontal="justify" vertical="center" wrapText="1"/>
      <protection locked="0"/>
    </xf>
    <xf numFmtId="14" fontId="1" fillId="29" borderId="110" xfId="0" applyNumberFormat="1" applyFont="1" applyFill="1" applyBorder="1" applyAlignment="1" applyProtection="1">
      <alignment horizontal="justify" vertical="center" wrapText="1"/>
      <protection locked="0"/>
    </xf>
    <xf numFmtId="14" fontId="1" fillId="29" borderId="110" xfId="0" applyNumberFormat="1" applyFont="1" applyFill="1" applyBorder="1" applyAlignment="1" applyProtection="1">
      <alignment horizontal="justify" vertical="center"/>
      <protection locked="0"/>
    </xf>
    <xf numFmtId="0" fontId="88" fillId="29" borderId="19" xfId="0" applyFont="1" applyFill="1" applyBorder="1" applyAlignment="1" applyProtection="1">
      <alignment vertical="center" wrapText="1"/>
      <protection locked="0"/>
    </xf>
    <xf numFmtId="0" fontId="58" fillId="15" borderId="0" xfId="5" applyFont="1" applyFill="1" applyAlignment="1">
      <alignment horizontal="center"/>
    </xf>
    <xf numFmtId="0" fontId="61" fillId="0" borderId="0" xfId="5" applyFont="1" applyAlignment="1"/>
    <xf numFmtId="0" fontId="58" fillId="0" borderId="109" xfId="5" applyFont="1" applyBorder="1" applyAlignment="1">
      <alignment horizontal="center" vertical="center"/>
    </xf>
    <xf numFmtId="0" fontId="61" fillId="0" borderId="79" xfId="5" applyFont="1" applyBorder="1" applyAlignment="1"/>
    <xf numFmtId="0" fontId="58" fillId="15" borderId="78" xfId="5" applyFont="1" applyFill="1" applyBorder="1" applyAlignment="1">
      <alignment horizontal="left" vertical="center" wrapText="1"/>
    </xf>
    <xf numFmtId="0" fontId="61" fillId="0" borderId="80" xfId="5" applyFont="1" applyBorder="1" applyAlignment="1"/>
    <xf numFmtId="0" fontId="61" fillId="0" borderId="81" xfId="5" applyFont="1" applyBorder="1" applyAlignment="1"/>
    <xf numFmtId="0" fontId="69" fillId="0" borderId="71" xfId="5" applyFont="1" applyBorder="1" applyAlignment="1">
      <alignment horizontal="center" vertical="center" wrapText="1"/>
    </xf>
    <xf numFmtId="0" fontId="61" fillId="0" borderId="74" xfId="5" applyFont="1" applyBorder="1" applyAlignment="1"/>
    <xf numFmtId="0" fontId="58" fillId="0" borderId="0" xfId="5" applyFont="1" applyAlignment="1">
      <alignment horizontal="center"/>
    </xf>
    <xf numFmtId="0" fontId="57" fillId="0" borderId="0" xfId="5" applyAlignment="1"/>
    <xf numFmtId="0" fontId="69" fillId="0" borderId="78" xfId="5" applyFont="1" applyBorder="1" applyAlignment="1">
      <alignment horizontal="center" vertical="center" wrapText="1"/>
    </xf>
    <xf numFmtId="0" fontId="58" fillId="0" borderId="108" xfId="5" applyFont="1" applyBorder="1" applyAlignment="1">
      <alignment horizontal="center" vertical="center"/>
    </xf>
    <xf numFmtId="0" fontId="61" fillId="0" borderId="72" xfId="5" applyFont="1" applyBorder="1" applyAlignment="1"/>
    <xf numFmtId="0" fontId="58" fillId="15" borderId="71" xfId="5" applyFont="1" applyFill="1" applyBorder="1" applyAlignment="1">
      <alignment horizontal="left" vertical="center" wrapText="1"/>
    </xf>
    <xf numFmtId="0" fontId="61" fillId="0" borderId="73" xfId="5" applyFont="1" applyBorder="1" applyAlignment="1"/>
    <xf numFmtId="0" fontId="61" fillId="0" borderId="73" xfId="5" applyFont="1" applyBorder="1" applyAlignment="1">
      <alignment vertical="center"/>
    </xf>
    <xf numFmtId="0" fontId="61" fillId="0" borderId="74" xfId="5" applyFont="1" applyBorder="1" applyAlignment="1">
      <alignment vertical="center"/>
    </xf>
    <xf numFmtId="0" fontId="60" fillId="17" borderId="66" xfId="5" applyFont="1" applyFill="1" applyBorder="1" applyAlignment="1">
      <alignment horizontal="center"/>
    </xf>
    <xf numFmtId="0" fontId="61" fillId="0" borderId="106" xfId="5" applyFont="1" applyBorder="1" applyAlignment="1"/>
    <xf numFmtId="0" fontId="60" fillId="17" borderId="107" xfId="5" applyFont="1" applyFill="1" applyBorder="1" applyAlignment="1">
      <alignment horizontal="center"/>
    </xf>
    <xf numFmtId="0" fontId="61" fillId="0" borderId="67" xfId="5" applyFont="1" applyBorder="1" applyAlignment="1"/>
    <xf numFmtId="0" fontId="61" fillId="0" borderId="68" xfId="5" applyFont="1" applyBorder="1" applyAlignment="1"/>
    <xf numFmtId="0" fontId="68" fillId="22" borderId="66" xfId="5" applyFont="1" applyFill="1" applyBorder="1" applyAlignment="1">
      <alignment horizontal="center" vertical="center" wrapText="1"/>
    </xf>
    <xf numFmtId="0" fontId="68" fillId="22" borderId="71" xfId="5" applyFont="1" applyFill="1" applyBorder="1" applyAlignment="1">
      <alignment horizontal="center" vertical="center" wrapText="1"/>
    </xf>
    <xf numFmtId="0" fontId="58" fillId="0" borderId="92" xfId="5" applyFont="1" applyBorder="1" applyAlignment="1">
      <alignment horizontal="center" vertical="center" wrapText="1"/>
    </xf>
    <xf numFmtId="0" fontId="61" fillId="0" borderId="97" xfId="5" applyFont="1" applyBorder="1" applyAlignment="1"/>
    <xf numFmtId="0" fontId="61" fillId="0" borderId="100" xfId="5" applyFont="1" applyBorder="1" applyAlignment="1"/>
    <xf numFmtId="0" fontId="58" fillId="0" borderId="93" xfId="5" applyFont="1" applyBorder="1" applyAlignment="1">
      <alignment horizontal="left" vertical="center" wrapText="1"/>
    </xf>
    <xf numFmtId="0" fontId="61" fillId="0" borderId="94" xfId="5" applyFont="1" applyBorder="1" applyAlignment="1"/>
    <xf numFmtId="0" fontId="61" fillId="0" borderId="95" xfId="5" applyFont="1" applyBorder="1" applyAlignment="1"/>
    <xf numFmtId="0" fontId="61" fillId="0" borderId="98" xfId="5" applyFont="1" applyBorder="1" applyAlignment="1"/>
    <xf numFmtId="0" fontId="61" fillId="0" borderId="69" xfId="5" applyFont="1" applyBorder="1" applyAlignment="1"/>
    <xf numFmtId="0" fontId="61" fillId="0" borderId="102" xfId="5" applyFont="1" applyBorder="1" applyAlignment="1"/>
    <xf numFmtId="0" fontId="61" fillId="0" borderId="103" xfId="5" applyFont="1" applyBorder="1" applyAlignment="1"/>
    <xf numFmtId="0" fontId="61" fillId="0" borderId="104" xfId="5" applyFont="1" applyBorder="1" applyAlignment="1"/>
    <xf numFmtId="0" fontId="59" fillId="0" borderId="92" xfId="5" applyFont="1" applyBorder="1" applyAlignment="1">
      <alignment horizontal="center" vertical="center" wrapText="1"/>
    </xf>
    <xf numFmtId="0" fontId="58" fillId="0" borderId="96" xfId="5" applyFont="1" applyBorder="1" applyAlignment="1">
      <alignment horizontal="left" vertical="center" wrapText="1"/>
    </xf>
    <xf numFmtId="0" fontId="61" fillId="0" borderId="99" xfId="5" applyFont="1" applyBorder="1" applyAlignment="1"/>
    <xf numFmtId="0" fontId="61" fillId="0" borderId="101" xfId="5" applyFont="1" applyBorder="1" applyAlignment="1"/>
    <xf numFmtId="0" fontId="61" fillId="0" borderId="84" xfId="5" applyFont="1" applyBorder="1" applyAlignment="1"/>
    <xf numFmtId="0" fontId="61" fillId="0" borderId="105" xfId="5" applyFont="1" applyBorder="1" applyAlignment="1"/>
    <xf numFmtId="0" fontId="61" fillId="0" borderId="87" xfId="5" applyFont="1" applyBorder="1" applyAlignment="1"/>
    <xf numFmtId="0" fontId="61" fillId="0" borderId="88" xfId="5" applyFont="1" applyBorder="1" applyAlignment="1"/>
    <xf numFmtId="0" fontId="61" fillId="0" borderId="85" xfId="5" applyFont="1" applyBorder="1" applyAlignment="1"/>
    <xf numFmtId="0" fontId="60" fillId="16" borderId="66" xfId="5" applyFont="1" applyFill="1" applyBorder="1" applyAlignment="1">
      <alignment horizontal="center"/>
    </xf>
    <xf numFmtId="0" fontId="65" fillId="15" borderId="73" xfId="5" applyFont="1" applyFill="1" applyBorder="1" applyAlignment="1">
      <alignment horizontal="center" vertical="center"/>
    </xf>
    <xf numFmtId="0" fontId="65" fillId="15" borderId="71" xfId="5" applyFont="1" applyFill="1" applyBorder="1" applyAlignment="1">
      <alignment horizontal="center" vertical="center" wrapText="1"/>
    </xf>
    <xf numFmtId="0" fontId="65" fillId="15" borderId="78" xfId="5" applyFont="1" applyFill="1" applyBorder="1" applyAlignment="1">
      <alignment horizontal="center" vertical="center"/>
    </xf>
    <xf numFmtId="0" fontId="65" fillId="15" borderId="78" xfId="5" applyFont="1" applyFill="1" applyBorder="1" applyAlignment="1">
      <alignment horizontal="center" vertical="center" wrapText="1"/>
    </xf>
    <xf numFmtId="0" fontId="60" fillId="15" borderId="0" xfId="5" applyFont="1" applyFill="1" applyAlignment="1">
      <alignment horizontal="center"/>
    </xf>
    <xf numFmtId="0" fontId="62" fillId="16" borderId="66" xfId="5" applyFont="1" applyFill="1" applyBorder="1" applyAlignment="1">
      <alignment horizontal="center" vertical="center" wrapText="1"/>
    </xf>
    <xf numFmtId="0" fontId="59" fillId="16" borderId="66" xfId="5" applyFont="1" applyFill="1" applyBorder="1" applyAlignment="1">
      <alignment horizontal="center"/>
    </xf>
    <xf numFmtId="0" fontId="63" fillId="17" borderId="71" xfId="5" applyFont="1" applyFill="1" applyBorder="1" applyAlignment="1">
      <alignment horizontal="center" vertical="center"/>
    </xf>
    <xf numFmtId="0" fontId="49" fillId="13" borderId="34" xfId="2" applyFont="1" applyFill="1" applyBorder="1" applyAlignment="1">
      <alignment horizontal="center" vertical="center" wrapText="1"/>
    </xf>
    <xf numFmtId="0" fontId="49" fillId="13" borderId="35" xfId="2" applyFont="1" applyFill="1" applyBorder="1" applyAlignment="1">
      <alignment horizontal="center" vertical="center" wrapText="1"/>
    </xf>
    <xf numFmtId="0" fontId="49" fillId="13" borderId="36" xfId="2" applyFont="1" applyFill="1" applyBorder="1" applyAlignment="1">
      <alignment horizontal="center" vertical="center" wrapText="1"/>
    </xf>
    <xf numFmtId="0" fontId="48" fillId="0" borderId="5" xfId="2" quotePrefix="1" applyFont="1" applyBorder="1" applyAlignment="1">
      <alignment horizontal="left" vertical="center" wrapText="1"/>
    </xf>
    <xf numFmtId="0" fontId="48" fillId="0" borderId="0" xfId="2" quotePrefix="1" applyFont="1" applyAlignment="1">
      <alignment horizontal="left" vertical="center" wrapText="1"/>
    </xf>
    <xf numFmtId="0" fontId="48" fillId="0" borderId="6" xfId="2" quotePrefix="1" applyFont="1" applyBorder="1" applyAlignment="1">
      <alignment horizontal="left" vertical="center" wrapText="1"/>
    </xf>
    <xf numFmtId="0" fontId="48" fillId="0" borderId="54" xfId="2" quotePrefix="1" applyFont="1" applyBorder="1" applyAlignment="1">
      <alignment horizontal="left" vertical="center" wrapText="1"/>
    </xf>
    <xf numFmtId="0" fontId="48" fillId="0" borderId="55" xfId="2" quotePrefix="1" applyFont="1" applyBorder="1" applyAlignment="1">
      <alignment horizontal="left" vertical="center" wrapText="1"/>
    </xf>
    <xf numFmtId="0" fontId="48" fillId="0" borderId="56" xfId="2" quotePrefix="1" applyFont="1" applyBorder="1" applyAlignment="1">
      <alignment horizontal="left" vertical="center" wrapText="1"/>
    </xf>
    <xf numFmtId="0" fontId="50" fillId="2" borderId="37" xfId="2" quotePrefix="1" applyFont="1" applyFill="1" applyBorder="1" applyAlignment="1">
      <alignment horizontal="left" vertical="top" wrapText="1"/>
    </xf>
    <xf numFmtId="0" fontId="51" fillId="2" borderId="38" xfId="2" quotePrefix="1" applyFont="1" applyFill="1" applyBorder="1" applyAlignment="1">
      <alignment horizontal="left" vertical="top" wrapText="1"/>
    </xf>
    <xf numFmtId="0" fontId="51" fillId="2" borderId="39" xfId="2" quotePrefix="1" applyFont="1" applyFill="1" applyBorder="1" applyAlignment="1">
      <alignment horizontal="left" vertical="top" wrapText="1"/>
    </xf>
    <xf numFmtId="0" fontId="48" fillId="0" borderId="5" xfId="2" quotePrefix="1" applyFont="1" applyBorder="1" applyAlignment="1">
      <alignment horizontal="left" vertical="top" wrapText="1"/>
    </xf>
    <xf numFmtId="0" fontId="48" fillId="0" borderId="0" xfId="2" quotePrefix="1" applyFont="1" applyAlignment="1">
      <alignment horizontal="left" vertical="top" wrapText="1"/>
    </xf>
    <xf numFmtId="0" fontId="48" fillId="0" borderId="6" xfId="2" quotePrefix="1" applyFont="1" applyBorder="1" applyAlignment="1">
      <alignment horizontal="left" vertical="top" wrapText="1"/>
    </xf>
    <xf numFmtId="0" fontId="53" fillId="13" borderId="40" xfId="3" applyFont="1" applyFill="1" applyBorder="1" applyAlignment="1">
      <alignment horizontal="center" vertical="center" wrapText="1"/>
    </xf>
    <xf numFmtId="0" fontId="53" fillId="13" borderId="41" xfId="3" applyFont="1" applyFill="1" applyBorder="1" applyAlignment="1">
      <alignment horizontal="center" vertical="center" wrapText="1"/>
    </xf>
    <xf numFmtId="0" fontId="53" fillId="13" borderId="42" xfId="2" applyFont="1" applyFill="1" applyBorder="1" applyAlignment="1">
      <alignment horizontal="center" vertical="center"/>
    </xf>
    <xf numFmtId="0" fontId="53"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53" fillId="12" borderId="44" xfId="3" applyFont="1" applyFill="1" applyBorder="1" applyAlignment="1">
      <alignment horizontal="left" vertical="top" wrapText="1" readingOrder="1"/>
    </xf>
    <xf numFmtId="0" fontId="53" fillId="12" borderId="45" xfId="3" applyFont="1" applyFill="1" applyBorder="1" applyAlignment="1">
      <alignment horizontal="left" vertical="top" wrapText="1" readingOrder="1"/>
    </xf>
    <xf numFmtId="0" fontId="54" fillId="2" borderId="46" xfId="2" applyFont="1" applyFill="1" applyBorder="1" applyAlignment="1">
      <alignment horizontal="justify" vertical="center" wrapText="1"/>
    </xf>
    <xf numFmtId="0" fontId="54" fillId="2" borderId="47" xfId="2" applyFont="1" applyFill="1" applyBorder="1" applyAlignment="1">
      <alignment horizontal="justify" vertical="center" wrapText="1"/>
    </xf>
    <xf numFmtId="0" fontId="53" fillId="2" borderId="48" xfId="0" applyFont="1" applyFill="1" applyBorder="1" applyAlignment="1">
      <alignment horizontal="left" vertical="center" wrapText="1"/>
    </xf>
    <xf numFmtId="0" fontId="53" fillId="2" borderId="49" xfId="0" applyFont="1" applyFill="1" applyBorder="1" applyAlignment="1">
      <alignment horizontal="left" vertical="center" wrapText="1"/>
    </xf>
    <xf numFmtId="0" fontId="54" fillId="2" borderId="50" xfId="2" applyFont="1" applyFill="1" applyBorder="1" applyAlignment="1">
      <alignment horizontal="justify" vertical="center" wrapText="1"/>
    </xf>
    <xf numFmtId="0" fontId="54" fillId="2" borderId="51" xfId="2" applyFont="1" applyFill="1" applyBorder="1" applyAlignment="1">
      <alignment horizontal="justify" vertical="center" wrapText="1"/>
    </xf>
    <xf numFmtId="0" fontId="48" fillId="2" borderId="5" xfId="2" applyFont="1" applyFill="1" applyBorder="1" applyAlignment="1">
      <alignment horizontal="left" vertical="top" wrapText="1"/>
    </xf>
    <xf numFmtId="0" fontId="48" fillId="2" borderId="0" xfId="2" applyFont="1" applyFill="1" applyAlignment="1">
      <alignment horizontal="left" vertical="top" wrapText="1"/>
    </xf>
    <xf numFmtId="0" fontId="48" fillId="2" borderId="6" xfId="2" applyFont="1" applyFill="1" applyBorder="1" applyAlignment="1">
      <alignment horizontal="left" vertical="top" wrapText="1"/>
    </xf>
    <xf numFmtId="0" fontId="53" fillId="2" borderId="57" xfId="0" applyFont="1" applyFill="1" applyBorder="1" applyAlignment="1">
      <alignment horizontal="left" vertical="center" wrapText="1"/>
    </xf>
    <xf numFmtId="0" fontId="53" fillId="2" borderId="58" xfId="0" applyFont="1" applyFill="1" applyBorder="1" applyAlignment="1">
      <alignment horizontal="left" vertical="center" wrapText="1"/>
    </xf>
    <xf numFmtId="0" fontId="54" fillId="12" borderId="50" xfId="2" applyFont="1" applyFill="1" applyBorder="1" applyAlignment="1">
      <alignment horizontal="justify" vertical="center" wrapText="1"/>
    </xf>
    <xf numFmtId="0" fontId="54" fillId="12" borderId="51" xfId="2" applyFont="1" applyFill="1" applyBorder="1" applyAlignment="1">
      <alignment horizontal="justify" vertical="center" wrapText="1"/>
    </xf>
    <xf numFmtId="0" fontId="53" fillId="2" borderId="59" xfId="0" applyFont="1" applyFill="1" applyBorder="1" applyAlignment="1">
      <alignment horizontal="left" vertical="center" wrapText="1"/>
    </xf>
    <xf numFmtId="0" fontId="53" fillId="2" borderId="60" xfId="0" applyFont="1" applyFill="1" applyBorder="1" applyAlignment="1">
      <alignment horizontal="left" vertical="center" wrapText="1"/>
    </xf>
    <xf numFmtId="0" fontId="54" fillId="2" borderId="52" xfId="0" applyFont="1" applyFill="1" applyBorder="1" applyAlignment="1">
      <alignment horizontal="justify" vertical="center" wrapText="1"/>
    </xf>
    <xf numFmtId="0" fontId="54" fillId="2" borderId="53" xfId="0" applyFont="1" applyFill="1" applyBorder="1" applyAlignment="1">
      <alignment horizontal="justify" vertical="center" wrapText="1"/>
    </xf>
    <xf numFmtId="0" fontId="53" fillId="2" borderId="44" xfId="3" applyFont="1" applyFill="1" applyBorder="1" applyAlignment="1">
      <alignment horizontal="left" vertical="top" wrapText="1" readingOrder="1"/>
    </xf>
    <xf numFmtId="0" fontId="53" fillId="2" borderId="45" xfId="3" applyFont="1" applyFill="1" applyBorder="1" applyAlignment="1">
      <alignment horizontal="left" vertical="top" wrapText="1" readingOrder="1"/>
    </xf>
    <xf numFmtId="0" fontId="76" fillId="23" borderId="19" xfId="0" applyFont="1" applyFill="1" applyBorder="1" applyAlignment="1">
      <alignment horizontal="center" vertical="center"/>
    </xf>
    <xf numFmtId="0" fontId="61" fillId="0" borderId="124" xfId="5" applyFont="1" applyBorder="1" applyAlignment="1">
      <alignment horizontal="center" vertical="center"/>
    </xf>
    <xf numFmtId="0" fontId="61" fillId="0" borderId="130" xfId="5" applyFont="1" applyBorder="1" applyAlignment="1">
      <alignment horizontal="center" vertical="center"/>
    </xf>
    <xf numFmtId="0" fontId="61" fillId="0" borderId="116" xfId="5" applyFont="1" applyBorder="1" applyAlignment="1">
      <alignment horizontal="center" vertical="center"/>
    </xf>
    <xf numFmtId="0" fontId="57" fillId="15" borderId="71" xfId="5" applyFill="1" applyBorder="1" applyAlignment="1">
      <alignment horizontal="center" vertical="center" wrapText="1"/>
    </xf>
    <xf numFmtId="0" fontId="61" fillId="0" borderId="73" xfId="5" applyFont="1" applyBorder="1" applyAlignment="1">
      <alignment horizontal="center" vertical="center"/>
    </xf>
    <xf numFmtId="0" fontId="61" fillId="0" borderId="72" xfId="5" applyFont="1" applyBorder="1" applyAlignment="1">
      <alignment horizontal="center" vertical="center"/>
    </xf>
    <xf numFmtId="0" fontId="57" fillId="15" borderId="0" xfId="5" applyFill="1" applyAlignment="1">
      <alignment horizontal="center" vertical="center" wrapText="1"/>
    </xf>
    <xf numFmtId="0" fontId="57" fillId="15" borderId="0" xfId="5" applyFill="1" applyAlignment="1">
      <alignment horizontal="center" wrapText="1"/>
    </xf>
    <xf numFmtId="14" fontId="57" fillId="15" borderId="124" xfId="5" applyNumberFormat="1" applyFill="1" applyBorder="1" applyAlignment="1">
      <alignment horizontal="center" vertical="center" wrapText="1"/>
    </xf>
    <xf numFmtId="14" fontId="57" fillId="15" borderId="130" xfId="5" applyNumberFormat="1" applyFill="1" applyBorder="1" applyAlignment="1">
      <alignment horizontal="center" vertical="center" wrapText="1"/>
    </xf>
    <xf numFmtId="14" fontId="57" fillId="15" borderId="116" xfId="5" applyNumberFormat="1" applyFill="1" applyBorder="1" applyAlignment="1">
      <alignment horizontal="center" vertical="center" wrapText="1"/>
    </xf>
    <xf numFmtId="0" fontId="70" fillId="32" borderId="93" xfId="5" applyFont="1" applyFill="1" applyBorder="1" applyAlignment="1">
      <alignment horizontal="left" vertical="center" textRotation="90" wrapText="1"/>
    </xf>
    <xf numFmtId="0" fontId="70" fillId="32" borderId="98" xfId="5" applyFont="1" applyFill="1" applyBorder="1" applyAlignment="1">
      <alignment horizontal="left" vertical="center" textRotation="90" wrapText="1"/>
    </xf>
    <xf numFmtId="0" fontId="70" fillId="32" borderId="102" xfId="5" applyFont="1" applyFill="1" applyBorder="1" applyAlignment="1">
      <alignment horizontal="left" vertical="center" textRotation="90" wrapText="1"/>
    </xf>
    <xf numFmtId="0" fontId="76" fillId="23" borderId="124" xfId="0" applyFont="1" applyFill="1" applyBorder="1" applyAlignment="1">
      <alignment horizontal="center" vertical="center"/>
    </xf>
    <xf numFmtId="0" fontId="76" fillId="23" borderId="130" xfId="0" applyFont="1" applyFill="1" applyBorder="1" applyAlignment="1">
      <alignment horizontal="center" vertical="center"/>
    </xf>
    <xf numFmtId="0" fontId="76" fillId="23" borderId="116" xfId="0" applyFont="1" applyFill="1" applyBorder="1" applyAlignment="1">
      <alignment horizontal="center" vertical="center"/>
    </xf>
    <xf numFmtId="0" fontId="57" fillId="2" borderId="19" xfId="5" applyFill="1" applyBorder="1" applyAlignment="1">
      <alignment horizontal="left" vertical="center" wrapText="1"/>
    </xf>
    <xf numFmtId="0" fontId="57" fillId="15" borderId="71" xfId="5" applyFill="1" applyBorder="1" applyAlignment="1">
      <alignment horizontal="left" vertical="center" wrapText="1"/>
    </xf>
    <xf numFmtId="0" fontId="61" fillId="0" borderId="73" xfId="5" applyFont="1" applyBorder="1" applyAlignment="1">
      <alignment horizontal="left" vertical="center"/>
    </xf>
    <xf numFmtId="0" fontId="61" fillId="0" borderId="72" xfId="5" applyFont="1" applyBorder="1" applyAlignment="1">
      <alignment horizontal="left" vertical="center"/>
    </xf>
    <xf numFmtId="0" fontId="57" fillId="15" borderId="73" xfId="5" applyFill="1" applyBorder="1" applyAlignment="1">
      <alignment horizontal="left" vertical="center" wrapText="1"/>
    </xf>
    <xf numFmtId="0" fontId="57" fillId="15" borderId="72" xfId="5" applyFill="1" applyBorder="1" applyAlignment="1">
      <alignment horizontal="left" vertical="center" wrapText="1"/>
    </xf>
    <xf numFmtId="0" fontId="70" fillId="32" borderId="134" xfId="5" applyFont="1" applyFill="1" applyBorder="1" applyAlignment="1">
      <alignment horizontal="left" vertical="center" textRotation="90" wrapText="1"/>
    </xf>
    <xf numFmtId="0" fontId="76" fillId="0" borderId="135" xfId="5" applyFont="1" applyBorder="1" applyAlignment="1">
      <alignment horizontal="left" vertical="center"/>
    </xf>
    <xf numFmtId="0" fontId="76" fillId="0" borderId="136" xfId="5" applyFont="1" applyBorder="1" applyAlignment="1">
      <alignment horizontal="left" vertical="center"/>
    </xf>
    <xf numFmtId="0" fontId="76" fillId="23" borderId="140" xfId="0" applyFont="1" applyFill="1" applyBorder="1" applyAlignment="1">
      <alignment horizontal="center" vertical="center"/>
    </xf>
    <xf numFmtId="0" fontId="76" fillId="23" borderId="138" xfId="0" applyFont="1" applyFill="1" applyBorder="1" applyAlignment="1">
      <alignment horizontal="center" vertical="center"/>
    </xf>
    <xf numFmtId="0" fontId="76" fillId="23" borderId="139" xfId="0" applyFont="1" applyFill="1" applyBorder="1" applyAlignment="1">
      <alignment horizontal="center" vertical="center"/>
    </xf>
    <xf numFmtId="0" fontId="76" fillId="23" borderId="137" xfId="0" applyFont="1" applyFill="1" applyBorder="1" applyAlignment="1">
      <alignment horizontal="center" vertical="center"/>
    </xf>
    <xf numFmtId="0" fontId="80" fillId="15" borderId="124" xfId="5" applyFont="1" applyFill="1" applyBorder="1" applyAlignment="1">
      <alignment horizontal="center" vertical="center" wrapText="1"/>
    </xf>
    <xf numFmtId="0" fontId="80" fillId="15" borderId="130" xfId="5" applyFont="1" applyFill="1" applyBorder="1" applyAlignment="1">
      <alignment horizontal="center" vertical="center" wrapText="1"/>
    </xf>
    <xf numFmtId="0" fontId="80" fillId="15" borderId="116" xfId="5" applyFont="1" applyFill="1" applyBorder="1" applyAlignment="1">
      <alignment horizontal="center" vertical="center" wrapText="1"/>
    </xf>
    <xf numFmtId="0" fontId="79" fillId="31" borderId="19" xfId="0" applyFont="1" applyFill="1" applyBorder="1" applyAlignment="1">
      <alignment horizontal="center" vertical="center"/>
    </xf>
    <xf numFmtId="0" fontId="80" fillId="15" borderId="132" xfId="5" applyFont="1" applyFill="1" applyBorder="1" applyAlignment="1">
      <alignment horizontal="center" vertical="center" wrapText="1"/>
    </xf>
    <xf numFmtId="0" fontId="80" fillId="15" borderId="117" xfId="5" applyFont="1" applyFill="1" applyBorder="1" applyAlignment="1">
      <alignment horizontal="center" vertical="center" wrapText="1"/>
    </xf>
    <xf numFmtId="0" fontId="80" fillId="15" borderId="133" xfId="5" applyFont="1" applyFill="1" applyBorder="1" applyAlignment="1">
      <alignment horizontal="center" vertical="center" wrapText="1"/>
    </xf>
    <xf numFmtId="0" fontId="80" fillId="15" borderId="131" xfId="5" applyFont="1" applyFill="1" applyBorder="1" applyAlignment="1">
      <alignment horizontal="center" vertical="center" wrapText="1"/>
    </xf>
    <xf numFmtId="0" fontId="80" fillId="15" borderId="38" xfId="5" applyFont="1" applyFill="1" applyBorder="1" applyAlignment="1">
      <alignment horizontal="center" vertical="center" wrapText="1"/>
    </xf>
    <xf numFmtId="0" fontId="80" fillId="15" borderId="55" xfId="5" applyFont="1" applyFill="1" applyBorder="1" applyAlignment="1">
      <alignment horizontal="center" vertical="center" wrapText="1"/>
    </xf>
    <xf numFmtId="0" fontId="79" fillId="31" borderId="124" xfId="0" applyFont="1" applyFill="1" applyBorder="1" applyAlignment="1">
      <alignment horizontal="center" vertical="center"/>
    </xf>
    <xf numFmtId="0" fontId="79" fillId="31" borderId="116" xfId="0" applyFont="1" applyFill="1" applyBorder="1" applyAlignment="1">
      <alignment horizontal="center" vertical="center"/>
    </xf>
    <xf numFmtId="0" fontId="79" fillId="31" borderId="19" xfId="0" applyFont="1" applyFill="1" applyBorder="1" applyAlignment="1">
      <alignment horizontal="left" vertical="center"/>
    </xf>
    <xf numFmtId="0" fontId="80" fillId="0" borderId="19" xfId="0" applyFont="1" applyBorder="1" applyAlignment="1">
      <alignment horizontal="center" vertical="center"/>
    </xf>
    <xf numFmtId="0" fontId="46" fillId="0" borderId="132" xfId="0" applyFont="1" applyBorder="1" applyAlignment="1">
      <alignment horizontal="center" vertical="center"/>
    </xf>
    <xf numFmtId="0" fontId="46" fillId="0" borderId="38" xfId="0" applyFont="1" applyBorder="1" applyAlignment="1">
      <alignment horizontal="center" vertical="center"/>
    </xf>
    <xf numFmtId="0" fontId="46" fillId="0" borderId="117" xfId="0" applyFont="1" applyBorder="1" applyAlignment="1">
      <alignment horizontal="center" vertical="center"/>
    </xf>
    <xf numFmtId="0" fontId="46" fillId="0" borderId="133" xfId="0" applyFont="1" applyBorder="1" applyAlignment="1">
      <alignment horizontal="center" vertical="center"/>
    </xf>
    <xf numFmtId="0" fontId="46" fillId="0" borderId="55" xfId="0" applyFont="1" applyBorder="1" applyAlignment="1">
      <alignment horizontal="center" vertical="center"/>
    </xf>
    <xf numFmtId="0" fontId="46" fillId="0" borderId="131" xfId="0" applyFont="1" applyBorder="1" applyAlignment="1">
      <alignment horizontal="center" vertical="center"/>
    </xf>
    <xf numFmtId="0" fontId="46" fillId="0" borderId="19" xfId="0" applyFont="1" applyBorder="1" applyAlignment="1">
      <alignment horizontal="center" vertical="center"/>
    </xf>
    <xf numFmtId="0" fontId="61" fillId="2" borderId="0" xfId="6" applyFont="1" applyFill="1" applyAlignment="1">
      <alignment horizontal="center" vertical="center" wrapText="1"/>
    </xf>
    <xf numFmtId="0" fontId="76" fillId="23" borderId="19" xfId="0" applyFont="1" applyFill="1" applyBorder="1" applyAlignment="1">
      <alignment horizontal="left" vertical="center"/>
    </xf>
    <xf numFmtId="0" fontId="76" fillId="23" borderId="19" xfId="0" applyFont="1" applyFill="1" applyBorder="1" applyAlignment="1">
      <alignment horizontal="left" vertical="center" wrapText="1"/>
    </xf>
    <xf numFmtId="0" fontId="61" fillId="29" borderId="19" xfId="0" applyFont="1" applyFill="1" applyBorder="1" applyAlignment="1" applyProtection="1">
      <alignment horizontal="left" vertical="center" indent="2"/>
      <protection locked="0"/>
    </xf>
    <xf numFmtId="0" fontId="61" fillId="0" borderId="19" xfId="0" applyFont="1" applyBorder="1" applyAlignment="1">
      <alignment horizontal="left" vertical="center" indent="2"/>
    </xf>
    <xf numFmtId="0" fontId="76" fillId="0" borderId="19" xfId="0" applyFont="1" applyBorder="1" applyAlignment="1">
      <alignment horizontal="left" vertical="center" indent="2"/>
    </xf>
    <xf numFmtId="0" fontId="81" fillId="2" borderId="0" xfId="0" applyFont="1" applyFill="1" applyAlignment="1">
      <alignment horizontal="center" vertical="center"/>
    </xf>
    <xf numFmtId="0" fontId="1" fillId="0" borderId="0" xfId="0" applyFont="1" applyAlignment="1">
      <alignment horizontal="center" vertical="center"/>
    </xf>
    <xf numFmtId="0" fontId="61" fillId="2" borderId="0" xfId="0" applyFont="1" applyFill="1" applyAlignment="1">
      <alignment horizontal="center" vertical="center"/>
    </xf>
    <xf numFmtId="0" fontId="4" fillId="26" borderId="19" xfId="0" applyFont="1" applyFill="1" applyBorder="1" applyAlignment="1">
      <alignment horizontal="center" vertical="center" wrapText="1"/>
    </xf>
    <xf numFmtId="0" fontId="74" fillId="28" borderId="19" xfId="0" applyFont="1" applyFill="1" applyBorder="1" applyAlignment="1">
      <alignment horizontal="center" vertical="center" wrapText="1"/>
    </xf>
    <xf numFmtId="0" fontId="4" fillId="27" borderId="124" xfId="0" applyFont="1" applyFill="1" applyBorder="1" applyAlignment="1">
      <alignment horizontal="center" vertical="center"/>
    </xf>
    <xf numFmtId="0" fontId="4" fillId="27" borderId="130" xfId="0" applyFont="1" applyFill="1" applyBorder="1" applyAlignment="1">
      <alignment horizontal="center" vertical="center"/>
    </xf>
    <xf numFmtId="0" fontId="4" fillId="27" borderId="116" xfId="0" applyFont="1" applyFill="1" applyBorder="1" applyAlignment="1">
      <alignment horizontal="center" vertical="center"/>
    </xf>
    <xf numFmtId="0" fontId="4" fillId="25" borderId="124" xfId="0" applyFont="1" applyFill="1" applyBorder="1" applyAlignment="1">
      <alignment horizontal="center" vertical="center"/>
    </xf>
    <xf numFmtId="0" fontId="4" fillId="25" borderId="130" xfId="0" applyFont="1" applyFill="1" applyBorder="1" applyAlignment="1">
      <alignment horizontal="center" vertical="center"/>
    </xf>
    <xf numFmtId="0" fontId="4" fillId="25" borderId="116" xfId="0" applyFont="1" applyFill="1" applyBorder="1" applyAlignment="1">
      <alignment horizontal="center" vertical="center"/>
    </xf>
    <xf numFmtId="0" fontId="1" fillId="29" borderId="115" xfId="0" applyFont="1" applyFill="1" applyBorder="1" applyAlignment="1" applyProtection="1">
      <alignment horizontal="center" vertical="center" wrapText="1"/>
      <protection locked="0"/>
    </xf>
    <xf numFmtId="0" fontId="1" fillId="29" borderId="141" xfId="0" applyFont="1" applyFill="1" applyBorder="1" applyAlignment="1" applyProtection="1">
      <alignment horizontal="center" vertical="center" wrapText="1"/>
      <protection locked="0"/>
    </xf>
    <xf numFmtId="0" fontId="1" fillId="29" borderId="142" xfId="0" applyFont="1" applyFill="1" applyBorder="1" applyAlignment="1" applyProtection="1">
      <alignment horizontal="center" vertical="center" wrapText="1"/>
      <protection locked="0"/>
    </xf>
    <xf numFmtId="0" fontId="4" fillId="23" borderId="110" xfId="0" applyFont="1" applyFill="1" applyBorder="1" applyAlignment="1">
      <alignment horizontal="center" vertical="center" wrapText="1"/>
    </xf>
    <xf numFmtId="0" fontId="4" fillId="23" borderId="121" xfId="0" applyFont="1" applyFill="1" applyBorder="1" applyAlignment="1">
      <alignment horizontal="center" vertical="center" wrapText="1"/>
    </xf>
    <xf numFmtId="0" fontId="4" fillId="23" borderId="19" xfId="0" applyFont="1" applyFill="1" applyBorder="1" applyAlignment="1">
      <alignment horizontal="center" vertical="center" wrapText="1"/>
    </xf>
    <xf numFmtId="0" fontId="4" fillId="23" borderId="110" xfId="0" applyFont="1" applyFill="1" applyBorder="1" applyAlignment="1">
      <alignment horizontal="center" vertical="center"/>
    </xf>
    <xf numFmtId="0" fontId="4" fillId="23" borderId="19" xfId="0" applyFont="1" applyFill="1" applyBorder="1" applyAlignment="1">
      <alignment horizontal="center" vertical="center"/>
    </xf>
    <xf numFmtId="0" fontId="4" fillId="23" borderId="19"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9" xfId="0" applyFont="1" applyFill="1" applyBorder="1" applyAlignment="1">
      <alignment horizontal="center" vertical="center" textRotation="90"/>
    </xf>
    <xf numFmtId="0" fontId="4" fillId="23" borderId="110" xfId="0" applyFont="1" applyFill="1" applyBorder="1" applyAlignment="1">
      <alignment horizontal="center" vertical="center" textRotation="90"/>
    </xf>
    <xf numFmtId="0" fontId="4" fillId="0" borderId="19" xfId="0" applyFont="1" applyBorder="1" applyAlignment="1">
      <alignment horizontal="center" vertical="center" wrapText="1"/>
    </xf>
    <xf numFmtId="0" fontId="1" fillId="29" borderId="112" xfId="0" applyFont="1" applyFill="1" applyBorder="1" applyAlignment="1" applyProtection="1">
      <alignment horizontal="left" vertical="center" wrapText="1"/>
      <protection locked="0"/>
    </xf>
    <xf numFmtId="0" fontId="1" fillId="29" borderId="19" xfId="0" applyFont="1" applyFill="1" applyBorder="1" applyAlignment="1" applyProtection="1">
      <alignment horizontal="left" vertical="center" wrapText="1"/>
      <protection locked="0"/>
    </xf>
    <xf numFmtId="0" fontId="1" fillId="29" borderId="26" xfId="0" applyFont="1" applyFill="1" applyBorder="1" applyAlignment="1" applyProtection="1">
      <alignment horizontal="left" vertical="center" wrapText="1"/>
      <protection locked="0"/>
    </xf>
    <xf numFmtId="0" fontId="1" fillId="29" borderId="112"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1" fontId="1" fillId="29" borderId="112" xfId="0" applyNumberFormat="1" applyFont="1" applyFill="1" applyBorder="1" applyAlignment="1" applyProtection="1">
      <alignment horizontal="center" vertical="center"/>
      <protection locked="0"/>
    </xf>
    <xf numFmtId="1" fontId="1" fillId="29" borderId="19" xfId="0" applyNumberFormat="1" applyFont="1" applyFill="1" applyBorder="1" applyAlignment="1" applyProtection="1">
      <alignment horizontal="center" vertical="center"/>
      <protection locked="0"/>
    </xf>
    <xf numFmtId="1" fontId="1" fillId="29" borderId="26" xfId="0" applyNumberFormat="1" applyFont="1" applyFill="1" applyBorder="1" applyAlignment="1" applyProtection="1">
      <alignment horizontal="center" vertical="center"/>
      <protection locked="0"/>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9" fontId="1" fillId="29" borderId="112" xfId="0" applyNumberFormat="1" applyFont="1" applyFill="1" applyBorder="1" applyAlignment="1" applyProtection="1">
      <alignment horizontal="center" vertical="center" wrapText="1"/>
      <protection locked="0"/>
    </xf>
    <xf numFmtId="9" fontId="1" fillId="29" borderId="19" xfId="0" applyNumberFormat="1" applyFont="1" applyFill="1" applyBorder="1" applyAlignment="1" applyProtection="1">
      <alignment horizontal="center" vertical="center" wrapText="1"/>
      <protection locked="0"/>
    </xf>
    <xf numFmtId="9" fontId="1" fillId="29" borderId="26" xfId="0" applyNumberFormat="1" applyFont="1" applyFill="1" applyBorder="1" applyAlignment="1" applyProtection="1">
      <alignment horizontal="center" vertical="center" wrapText="1"/>
      <protection locked="0"/>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9" fontId="1" fillId="0" borderId="26" xfId="0" applyNumberFormat="1" applyFont="1" applyBorder="1" applyAlignment="1" applyProtection="1">
      <alignment horizontal="center" vertical="center" wrapText="1"/>
      <protection hidden="1"/>
    </xf>
    <xf numFmtId="0" fontId="1" fillId="29" borderId="111" xfId="0" applyFont="1" applyFill="1" applyBorder="1" applyAlignment="1">
      <alignment horizontal="center" vertical="center"/>
    </xf>
    <xf numFmtId="0" fontId="1" fillId="29" borderId="23" xfId="0" applyFont="1" applyFill="1" applyBorder="1" applyAlignment="1">
      <alignment horizontal="center" vertical="center"/>
    </xf>
    <xf numFmtId="0" fontId="1" fillId="29" borderId="25" xfId="0" applyFont="1" applyFill="1" applyBorder="1" applyAlignment="1">
      <alignment horizontal="center" vertical="center"/>
    </xf>
    <xf numFmtId="0" fontId="4" fillId="0" borderId="114" xfId="0" applyFont="1" applyBorder="1" applyAlignment="1" applyProtection="1">
      <alignment horizontal="center" vertical="center" wrapText="1"/>
      <protection hidden="1"/>
    </xf>
    <xf numFmtId="0" fontId="4" fillId="0" borderId="120" xfId="0" applyFont="1" applyBorder="1" applyAlignment="1" applyProtection="1">
      <alignment horizontal="center" vertical="center" wrapText="1"/>
      <protection hidden="1"/>
    </xf>
    <xf numFmtId="0" fontId="4" fillId="0" borderId="121" xfId="0" applyFont="1" applyBorder="1" applyAlignment="1" applyProtection="1">
      <alignment horizontal="center" vertical="center" wrapText="1"/>
      <protection hidden="1"/>
    </xf>
    <xf numFmtId="9" fontId="1" fillId="0" borderId="114" xfId="0" applyNumberFormat="1" applyFont="1" applyBorder="1" applyAlignment="1" applyProtection="1">
      <alignment horizontal="center" vertical="center" wrapText="1"/>
      <protection hidden="1"/>
    </xf>
    <xf numFmtId="9" fontId="1" fillId="0" borderId="120" xfId="0" applyNumberFormat="1" applyFont="1" applyBorder="1" applyAlignment="1" applyProtection="1">
      <alignment horizontal="center" vertical="center" wrapText="1"/>
      <protection hidden="1"/>
    </xf>
    <xf numFmtId="9" fontId="1" fillId="0" borderId="121" xfId="0" applyNumberFormat="1" applyFont="1" applyBorder="1" applyAlignment="1" applyProtection="1">
      <alignment horizontal="center" vertical="center" wrapText="1"/>
      <protection hidden="1"/>
    </xf>
    <xf numFmtId="9" fontId="1" fillId="29" borderId="114" xfId="0" applyNumberFormat="1" applyFont="1" applyFill="1" applyBorder="1" applyAlignment="1" applyProtection="1">
      <alignment horizontal="center" vertical="center" wrapText="1"/>
      <protection locked="0"/>
    </xf>
    <xf numFmtId="9" fontId="1" fillId="29" borderId="120" xfId="0" applyNumberFormat="1" applyFont="1" applyFill="1" applyBorder="1" applyAlignment="1" applyProtection="1">
      <alignment horizontal="center" vertical="center" wrapText="1"/>
      <protection locked="0"/>
    </xf>
    <xf numFmtId="9" fontId="1" fillId="29" borderId="121" xfId="0" applyNumberFormat="1" applyFont="1" applyFill="1" applyBorder="1" applyAlignment="1" applyProtection="1">
      <alignment horizontal="center" vertical="center" wrapText="1"/>
      <protection locked="0"/>
    </xf>
    <xf numFmtId="0" fontId="2" fillId="29" borderId="112" xfId="0" applyFont="1" applyFill="1" applyBorder="1" applyAlignment="1" applyProtection="1">
      <alignment horizontal="left" vertical="center" wrapText="1"/>
      <protection locked="0"/>
    </xf>
    <xf numFmtId="0" fontId="2" fillId="29" borderId="19" xfId="0" applyFont="1" applyFill="1" applyBorder="1" applyAlignment="1" applyProtection="1">
      <alignment horizontal="left" vertical="center" wrapText="1"/>
      <protection locked="0"/>
    </xf>
    <xf numFmtId="0" fontId="2" fillId="29" borderId="26" xfId="0" applyFont="1" applyFill="1" applyBorder="1" applyAlignment="1" applyProtection="1">
      <alignment horizontal="left" vertical="center" wrapText="1"/>
      <protection locked="0"/>
    </xf>
    <xf numFmtId="0" fontId="84" fillId="29" borderId="112" xfId="0" applyFont="1" applyFill="1" applyBorder="1" applyAlignment="1" applyProtection="1">
      <alignment horizontal="left" vertical="center" wrapText="1"/>
      <protection locked="0"/>
    </xf>
    <xf numFmtId="0" fontId="84" fillId="29" borderId="19" xfId="0" applyFont="1" applyFill="1" applyBorder="1" applyAlignment="1" applyProtection="1">
      <alignment horizontal="left" vertical="center" wrapText="1"/>
      <protection locked="0"/>
    </xf>
    <xf numFmtId="0" fontId="84" fillId="29" borderId="26" xfId="0" applyFont="1" applyFill="1" applyBorder="1" applyAlignment="1" applyProtection="1">
      <alignment horizontal="left" vertical="center" wrapText="1"/>
      <protection locked="0"/>
    </xf>
    <xf numFmtId="0" fontId="1" fillId="0" borderId="55" xfId="0" applyFont="1" applyBorder="1" applyAlignment="1">
      <alignment horizontal="center" vertical="center"/>
    </xf>
    <xf numFmtId="0" fontId="1" fillId="29" borderId="112" xfId="0" applyFont="1" applyFill="1" applyBorder="1" applyAlignment="1" applyProtection="1">
      <alignment horizontal="justify" vertical="center" wrapText="1"/>
      <protection locked="0"/>
    </xf>
    <xf numFmtId="0" fontId="1" fillId="29" borderId="19" xfId="0" applyFont="1" applyFill="1" applyBorder="1" applyAlignment="1" applyProtection="1">
      <alignment horizontal="justify" vertical="center" wrapText="1"/>
      <protection locked="0"/>
    </xf>
    <xf numFmtId="0" fontId="1" fillId="29" borderId="26" xfId="0" applyFont="1" applyFill="1" applyBorder="1" applyAlignment="1" applyProtection="1">
      <alignment horizontal="justify" vertical="center" wrapText="1"/>
      <protection locked="0"/>
    </xf>
    <xf numFmtId="0" fontId="1" fillId="29" borderId="114" xfId="0" applyFont="1" applyFill="1" applyBorder="1" applyAlignment="1" applyProtection="1">
      <alignment horizontal="center" vertical="center" wrapText="1"/>
      <protection locked="0"/>
    </xf>
    <xf numFmtId="0" fontId="1" fillId="29" borderId="120" xfId="0" applyFont="1" applyFill="1" applyBorder="1" applyAlignment="1" applyProtection="1">
      <alignment horizontal="center" vertical="center" wrapText="1"/>
      <protection locked="0"/>
    </xf>
    <xf numFmtId="0" fontId="1" fillId="29" borderId="121" xfId="0" applyFont="1" applyFill="1" applyBorder="1" applyAlignment="1" applyProtection="1">
      <alignment horizontal="center" vertical="center" wrapText="1"/>
      <protection locked="0"/>
    </xf>
    <xf numFmtId="1" fontId="1" fillId="29" borderId="114" xfId="0" applyNumberFormat="1" applyFont="1" applyFill="1" applyBorder="1" applyAlignment="1" applyProtection="1">
      <alignment horizontal="center" vertical="center"/>
      <protection locked="0"/>
    </xf>
    <xf numFmtId="1" fontId="1" fillId="29" borderId="120" xfId="0" applyNumberFormat="1" applyFont="1" applyFill="1" applyBorder="1" applyAlignment="1" applyProtection="1">
      <alignment horizontal="center" vertical="center"/>
      <protection locked="0"/>
    </xf>
    <xf numFmtId="1" fontId="1" fillId="29" borderId="121" xfId="0" applyNumberFormat="1" applyFont="1" applyFill="1" applyBorder="1" applyAlignment="1" applyProtection="1">
      <alignment horizontal="center" vertical="center"/>
      <protection locked="0"/>
    </xf>
    <xf numFmtId="0" fontId="83" fillId="2" borderId="0" xfId="0" applyFont="1" applyFill="1" applyAlignment="1">
      <alignment horizontal="center" vertical="center"/>
    </xf>
    <xf numFmtId="0" fontId="57" fillId="2" borderId="0" xfId="0" applyFont="1" applyFill="1" applyAlignment="1">
      <alignment horizontal="center" vertical="center"/>
    </xf>
    <xf numFmtId="0" fontId="79" fillId="31" borderId="110" xfId="0" applyFont="1" applyFill="1" applyBorder="1" applyAlignment="1">
      <alignment horizontal="center" vertical="center"/>
    </xf>
    <xf numFmtId="0" fontId="79" fillId="31" borderId="20" xfId="0" applyFont="1" applyFill="1" applyBorder="1" applyAlignment="1">
      <alignment horizontal="center" vertical="center"/>
    </xf>
    <xf numFmtId="0" fontId="80" fillId="0" borderId="132" xfId="0" applyFont="1" applyBorder="1" applyAlignment="1">
      <alignment horizontal="center" vertical="center"/>
    </xf>
    <xf numFmtId="0" fontId="80" fillId="0" borderId="38" xfId="0" applyFont="1" applyBorder="1" applyAlignment="1">
      <alignment horizontal="center" vertical="center"/>
    </xf>
    <xf numFmtId="0" fontId="80" fillId="0" borderId="117" xfId="0" applyFont="1" applyBorder="1" applyAlignment="1">
      <alignment horizontal="center" vertical="center"/>
    </xf>
    <xf numFmtId="0" fontId="80" fillId="0" borderId="133" xfId="0" applyFont="1" applyBorder="1" applyAlignment="1">
      <alignment horizontal="center" vertical="center"/>
    </xf>
    <xf numFmtId="0" fontId="80" fillId="0" borderId="55" xfId="0" applyFont="1" applyBorder="1" applyAlignment="1">
      <alignment horizontal="center" vertical="center"/>
    </xf>
    <xf numFmtId="0" fontId="80" fillId="0" borderId="131"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4" fillId="24" borderId="30" xfId="0" applyFont="1" applyFill="1" applyBorder="1" applyAlignment="1">
      <alignment horizontal="center" vertical="center"/>
    </xf>
    <xf numFmtId="0" fontId="74" fillId="24" borderId="31" xfId="0" applyFont="1" applyFill="1" applyBorder="1" applyAlignment="1">
      <alignment horizontal="center" vertical="center"/>
    </xf>
    <xf numFmtId="0" fontId="74"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23" xfId="0" applyFont="1" applyFill="1" applyBorder="1" applyAlignment="1">
      <alignment horizontal="center" vertical="center" textRotation="90"/>
    </xf>
    <xf numFmtId="0" fontId="4" fillId="23" borderId="20" xfId="0" applyFont="1" applyFill="1" applyBorder="1" applyAlignment="1">
      <alignment horizontal="center" vertical="center" wrapText="1"/>
    </xf>
    <xf numFmtId="0" fontId="4" fillId="23" borderId="20" xfId="0" applyFont="1" applyFill="1" applyBorder="1" applyAlignment="1">
      <alignment horizontal="center" vertical="center"/>
    </xf>
    <xf numFmtId="0" fontId="4" fillId="23" borderId="2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3" borderId="2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4" fillId="0" borderId="20" xfId="0" applyFont="1" applyBorder="1" applyAlignment="1">
      <alignment horizontal="center" vertical="center" wrapText="1"/>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4" fillId="27" borderId="122" xfId="0" applyFont="1" applyFill="1" applyBorder="1" applyAlignment="1">
      <alignment horizontal="center" vertical="center"/>
    </xf>
    <xf numFmtId="0" fontId="73" fillId="23" borderId="111" xfId="0" applyFont="1" applyFill="1" applyBorder="1" applyAlignment="1">
      <alignment horizontal="center" vertical="center" textRotation="90"/>
    </xf>
    <xf numFmtId="0" fontId="73" fillId="23" borderId="23" xfId="0" applyFont="1" applyFill="1" applyBorder="1" applyAlignment="1">
      <alignment horizontal="center" vertical="center" textRotation="90"/>
    </xf>
    <xf numFmtId="0" fontId="4" fillId="23" borderId="112" xfId="0" applyFont="1" applyFill="1" applyBorder="1" applyAlignment="1">
      <alignment horizontal="center" vertical="center" wrapText="1"/>
    </xf>
    <xf numFmtId="0" fontId="72" fillId="0" borderId="111" xfId="0" applyFont="1" applyBorder="1" applyAlignment="1">
      <alignment horizontal="center" vertical="center" wrapText="1"/>
    </xf>
    <xf numFmtId="0" fontId="72" fillId="0" borderId="129" xfId="0" applyFont="1" applyBorder="1" applyAlignment="1">
      <alignment horizontal="center" vertical="center" wrapText="1"/>
    </xf>
    <xf numFmtId="0" fontId="72" fillId="0" borderId="112" xfId="0" applyFont="1" applyBorder="1" applyAlignment="1">
      <alignment horizontal="center" vertical="center" wrapText="1"/>
    </xf>
    <xf numFmtId="0" fontId="72" fillId="0" borderId="113" xfId="0" applyFont="1" applyBorder="1" applyAlignment="1">
      <alignment horizontal="center" vertical="center" wrapText="1"/>
    </xf>
    <xf numFmtId="0" fontId="4" fillId="23" borderId="123" xfId="0" applyFont="1" applyFill="1" applyBorder="1" applyAlignment="1">
      <alignment horizontal="center" vertical="center" wrapText="1"/>
    </xf>
    <xf numFmtId="0" fontId="4" fillId="23" borderId="124" xfId="0" applyFont="1" applyFill="1" applyBorder="1" applyAlignment="1">
      <alignment horizontal="center" vertical="center" wrapText="1"/>
    </xf>
    <xf numFmtId="0" fontId="1" fillId="0" borderId="119" xfId="0" applyFont="1" applyBorder="1" applyAlignment="1">
      <alignment horizontal="center" vertical="center"/>
    </xf>
    <xf numFmtId="0" fontId="1" fillId="0" borderId="127" xfId="0" applyFont="1" applyBorder="1" applyAlignment="1">
      <alignment horizontal="center" vertical="center"/>
    </xf>
    <xf numFmtId="0" fontId="1" fillId="0" borderId="128" xfId="0" applyFont="1" applyBorder="1" applyAlignment="1">
      <alignment horizontal="center" vertical="center"/>
    </xf>
    <xf numFmtId="0" fontId="1" fillId="0" borderId="114" xfId="0" applyFont="1" applyBorder="1" applyAlignment="1">
      <alignment horizontal="center" vertical="center" wrapText="1"/>
    </xf>
    <xf numFmtId="0" fontId="1" fillId="0" borderId="120" xfId="0" applyFont="1" applyBorder="1" applyAlignment="1">
      <alignment horizontal="center" vertical="center" wrapText="1"/>
    </xf>
    <xf numFmtId="0" fontId="1" fillId="0" borderId="121" xfId="0" applyFont="1" applyBorder="1" applyAlignment="1">
      <alignment horizontal="center" vertical="center" wrapText="1"/>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4" fillId="24" borderId="21" xfId="0" applyFont="1" applyFill="1" applyBorder="1" applyAlignment="1">
      <alignment horizontal="center" vertical="center"/>
    </xf>
    <xf numFmtId="0" fontId="74" fillId="24" borderId="22" xfId="0" applyFont="1" applyFill="1" applyBorder="1" applyAlignment="1">
      <alignment horizontal="center" vertical="center"/>
    </xf>
    <xf numFmtId="0" fontId="74" fillId="24" borderId="33" xfId="0" applyFont="1" applyFill="1" applyBorder="1" applyAlignment="1">
      <alignment horizontal="center" vertical="center"/>
    </xf>
    <xf numFmtId="0" fontId="4" fillId="23" borderId="119" xfId="0" applyFont="1" applyFill="1" applyBorder="1" applyAlignment="1">
      <alignment horizontal="center" vertical="center" wrapText="1"/>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2" fillId="0" borderId="114" xfId="0" applyFont="1" applyBorder="1" applyAlignment="1">
      <alignment horizontal="center" vertical="center" wrapText="1"/>
    </xf>
    <xf numFmtId="0" fontId="2" fillId="0" borderId="120" xfId="0" applyFont="1" applyBorder="1" applyAlignment="1">
      <alignment horizontal="center" vertical="center" wrapText="1"/>
    </xf>
    <xf numFmtId="0" fontId="2" fillId="0" borderId="121" xfId="0" applyFont="1" applyBorder="1" applyAlignment="1">
      <alignment horizontal="center" vertical="center" wrapText="1"/>
    </xf>
    <xf numFmtId="0" fontId="1" fillId="0" borderId="125" xfId="0" applyFont="1" applyBorder="1" applyAlignment="1">
      <alignment horizontal="center" vertical="center"/>
    </xf>
    <xf numFmtId="0" fontId="1" fillId="0" borderId="110" xfId="0" applyFont="1" applyBorder="1" applyAlignment="1">
      <alignment horizontal="center" vertical="center" wrapText="1"/>
    </xf>
    <xf numFmtId="0" fontId="2" fillId="0" borderId="110" xfId="0" applyFont="1" applyBorder="1" applyAlignment="1">
      <alignment horizontal="center" vertical="center" wrapText="1"/>
    </xf>
    <xf numFmtId="0" fontId="76" fillId="0" borderId="19" xfId="0" applyFont="1" applyBorder="1" applyAlignment="1">
      <alignment horizontal="left" vertical="center" wrapText="1" indent="2"/>
    </xf>
    <xf numFmtId="0" fontId="80" fillId="0" borderId="124" xfId="0" applyFont="1" applyBorder="1" applyAlignment="1">
      <alignment horizontal="center" vertical="center"/>
    </xf>
    <xf numFmtId="0" fontId="80" fillId="0" borderId="130" xfId="0" applyFont="1" applyBorder="1" applyAlignment="1">
      <alignment horizontal="center" vertical="center"/>
    </xf>
    <xf numFmtId="0" fontId="80" fillId="0" borderId="116" xfId="0" applyFont="1" applyBorder="1" applyAlignment="1">
      <alignment horizontal="center" vertical="center"/>
    </xf>
    <xf numFmtId="0" fontId="1" fillId="29" borderId="125"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0" fontId="1" fillId="29" borderId="128" xfId="0" applyFont="1" applyFill="1" applyBorder="1" applyAlignment="1" applyProtection="1">
      <alignment horizontal="center" vertical="center"/>
      <protection locked="0"/>
    </xf>
    <xf numFmtId="165" fontId="61" fillId="2" borderId="124" xfId="6" applyNumberFormat="1" applyFont="1" applyFill="1" applyBorder="1" applyAlignment="1">
      <alignment horizontal="center" vertical="center" wrapText="1"/>
    </xf>
    <xf numFmtId="165" fontId="61" fillId="2" borderId="130" xfId="6" applyNumberFormat="1" applyFont="1" applyFill="1" applyBorder="1" applyAlignment="1">
      <alignment horizontal="center" vertical="center" wrapText="1"/>
    </xf>
    <xf numFmtId="165" fontId="61" fillId="2" borderId="116" xfId="6" applyNumberFormat="1" applyFont="1" applyFill="1" applyBorder="1" applyAlignment="1">
      <alignment horizontal="center" vertical="center" wrapText="1"/>
    </xf>
    <xf numFmtId="0" fontId="79" fillId="31" borderId="110" xfId="7" applyFont="1" applyFill="1" applyBorder="1" applyAlignment="1">
      <alignment horizontal="left" vertical="center"/>
    </xf>
    <xf numFmtId="0" fontId="79" fillId="31" borderId="20" xfId="7" applyFont="1" applyFill="1" applyBorder="1" applyAlignment="1">
      <alignment horizontal="left" vertical="center"/>
    </xf>
    <xf numFmtId="0" fontId="80" fillId="0" borderId="110" xfId="7" applyFont="1" applyBorder="1" applyAlignment="1">
      <alignment horizontal="center" vertical="center" wrapText="1"/>
    </xf>
    <xf numFmtId="0" fontId="80" fillId="0" borderId="20" xfId="7" applyFont="1" applyBorder="1" applyAlignment="1">
      <alignment horizontal="center" vertical="center" wrapText="1"/>
    </xf>
    <xf numFmtId="0" fontId="80" fillId="0" borderId="132" xfId="7" applyFont="1" applyBorder="1" applyAlignment="1">
      <alignment horizontal="center" vertical="center"/>
    </xf>
    <xf numFmtId="0" fontId="80" fillId="0" borderId="133" xfId="7" applyFont="1" applyBorder="1" applyAlignment="1">
      <alignment horizontal="center" vertical="center"/>
    </xf>
    <xf numFmtId="165" fontId="61" fillId="2" borderId="124" xfId="6" applyNumberFormat="1" applyFont="1" applyFill="1" applyBorder="1" applyAlignment="1">
      <alignment horizontal="left" vertical="center" wrapText="1"/>
    </xf>
    <xf numFmtId="165" fontId="61" fillId="2" borderId="130" xfId="6" applyNumberFormat="1" applyFont="1" applyFill="1" applyBorder="1" applyAlignment="1">
      <alignment horizontal="left" vertical="center" wrapText="1"/>
    </xf>
    <xf numFmtId="165" fontId="61" fillId="2" borderId="116" xfId="6" applyNumberFormat="1" applyFont="1" applyFill="1" applyBorder="1" applyAlignment="1">
      <alignment horizontal="left" vertical="center" wrapText="1"/>
    </xf>
    <xf numFmtId="0" fontId="61" fillId="2" borderId="0" xfId="7" applyFont="1" applyFill="1" applyAlignment="1">
      <alignment horizontal="center" vertical="center"/>
    </xf>
    <xf numFmtId="0" fontId="61" fillId="0" borderId="55" xfId="7" applyFont="1" applyBorder="1" applyAlignment="1">
      <alignment horizontal="center" vertical="center"/>
    </xf>
    <xf numFmtId="0" fontId="82" fillId="31" borderId="19" xfId="6" applyFont="1" applyFill="1" applyBorder="1" applyAlignment="1">
      <alignment horizontal="center" vertical="center"/>
    </xf>
    <xf numFmtId="0" fontId="76" fillId="23" borderId="124" xfId="6" applyFont="1" applyFill="1" applyBorder="1" applyAlignment="1">
      <alignment horizontal="center" vertical="center"/>
    </xf>
    <xf numFmtId="0" fontId="76" fillId="23" borderId="130" xfId="6" applyFont="1" applyFill="1" applyBorder="1" applyAlignment="1">
      <alignment horizontal="center" vertical="center"/>
    </xf>
    <xf numFmtId="0" fontId="76" fillId="23" borderId="116" xfId="6" applyFont="1" applyFill="1" applyBorder="1" applyAlignment="1">
      <alignment horizontal="center" vertical="center"/>
    </xf>
    <xf numFmtId="166" fontId="61" fillId="2" borderId="110" xfId="6" applyNumberFormat="1" applyFont="1" applyFill="1" applyBorder="1" applyAlignment="1">
      <alignment horizontal="center" vertical="center"/>
    </xf>
    <xf numFmtId="166" fontId="61" fillId="2" borderId="120" xfId="6" applyNumberFormat="1" applyFont="1" applyFill="1" applyBorder="1" applyAlignment="1">
      <alignment horizontal="center" vertical="center"/>
    </xf>
    <xf numFmtId="166" fontId="61" fillId="2" borderId="20" xfId="6" applyNumberFormat="1" applyFont="1" applyFill="1" applyBorder="1" applyAlignment="1">
      <alignment horizontal="center" vertical="center"/>
    </xf>
    <xf numFmtId="0" fontId="25" fillId="0" borderId="0" xfId="0" applyFont="1" applyAlignment="1">
      <alignment horizontal="center" vertical="center" wrapText="1"/>
    </xf>
    <xf numFmtId="0" fontId="20" fillId="4" borderId="5" xfId="0" applyFont="1" applyFill="1" applyBorder="1" applyAlignment="1" applyProtection="1">
      <alignment horizontal="center" wrapText="1" readingOrder="1"/>
      <protection hidden="1"/>
    </xf>
    <xf numFmtId="0" fontId="20" fillId="4" borderId="0" xfId="0" applyFont="1" applyFill="1" applyAlignment="1" applyProtection="1">
      <alignment horizontal="center" wrapText="1" readingOrder="1"/>
      <protection hidden="1"/>
    </xf>
    <xf numFmtId="0" fontId="20" fillId="4" borderId="6" xfId="0" applyFont="1" applyFill="1" applyBorder="1" applyAlignment="1" applyProtection="1">
      <alignment horizontal="center" wrapText="1" readingOrder="1"/>
      <protection hidden="1"/>
    </xf>
    <xf numFmtId="0" fontId="20" fillId="4" borderId="7" xfId="0" applyFont="1" applyFill="1" applyBorder="1" applyAlignment="1" applyProtection="1">
      <alignment horizontal="center" wrapText="1" readingOrder="1"/>
      <protection hidden="1"/>
    </xf>
    <xf numFmtId="0" fontId="20" fillId="4" borderId="9" xfId="0" applyFont="1" applyFill="1" applyBorder="1" applyAlignment="1" applyProtection="1">
      <alignment horizontal="center" wrapText="1" readingOrder="1"/>
      <protection hidden="1"/>
    </xf>
    <xf numFmtId="0" fontId="20" fillId="4" borderId="8" xfId="0" applyFont="1" applyFill="1" applyBorder="1" applyAlignment="1" applyProtection="1">
      <alignment horizontal="center" wrapText="1" readingOrder="1"/>
      <protection hidden="1"/>
    </xf>
    <xf numFmtId="0" fontId="20" fillId="4" borderId="3" xfId="0" applyFont="1" applyFill="1" applyBorder="1" applyAlignment="1" applyProtection="1">
      <alignment horizontal="center" wrapText="1" readingOrder="1"/>
      <protection hidden="1"/>
    </xf>
    <xf numFmtId="0" fontId="20" fillId="4" borderId="10" xfId="0" applyFont="1" applyFill="1" applyBorder="1" applyAlignment="1" applyProtection="1">
      <alignment horizontal="center" wrapText="1" readingOrder="1"/>
      <protection hidden="1"/>
    </xf>
    <xf numFmtId="0" fontId="20" fillId="4" borderId="4" xfId="0" applyFont="1" applyFill="1" applyBorder="1" applyAlignment="1" applyProtection="1">
      <alignment horizontal="center" wrapText="1" readingOrder="1"/>
      <protection hidden="1"/>
    </xf>
    <xf numFmtId="0" fontId="20" fillId="12" borderId="5"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6" xfId="0" applyFont="1" applyFill="1" applyBorder="1" applyAlignment="1" applyProtection="1">
      <alignment horizontal="center" wrapText="1" readingOrder="1"/>
      <protection hidden="1"/>
    </xf>
    <xf numFmtId="0" fontId="20" fillId="12" borderId="7" xfId="0" applyFont="1" applyFill="1" applyBorder="1" applyAlignment="1" applyProtection="1">
      <alignment horizontal="center" wrapText="1" readingOrder="1"/>
      <protection hidden="1"/>
    </xf>
    <xf numFmtId="0" fontId="20" fillId="12" borderId="9" xfId="0" applyFont="1" applyFill="1" applyBorder="1" applyAlignment="1" applyProtection="1">
      <alignment horizontal="center" wrapText="1" readingOrder="1"/>
      <protection hidden="1"/>
    </xf>
    <xf numFmtId="0" fontId="20" fillId="12" borderId="8" xfId="0" applyFont="1" applyFill="1" applyBorder="1" applyAlignment="1" applyProtection="1">
      <alignment horizontal="center" wrapText="1" readingOrder="1"/>
      <protection hidden="1"/>
    </xf>
    <xf numFmtId="0" fontId="20" fillId="12" borderId="3" xfId="0" applyFont="1" applyFill="1" applyBorder="1" applyAlignment="1" applyProtection="1">
      <alignment horizontal="center" wrapText="1" readingOrder="1"/>
      <protection hidden="1"/>
    </xf>
    <xf numFmtId="0" fontId="20" fillId="12" borderId="10" xfId="0" applyFont="1" applyFill="1" applyBorder="1" applyAlignment="1" applyProtection="1">
      <alignment horizontal="center" wrapText="1" readingOrder="1"/>
      <protection hidden="1"/>
    </xf>
    <xf numFmtId="0" fontId="20" fillId="12" borderId="4" xfId="0" applyFont="1" applyFill="1" applyBorder="1" applyAlignment="1" applyProtection="1">
      <alignment horizontal="center" wrapText="1" readingOrder="1"/>
      <protection hidden="1"/>
    </xf>
    <xf numFmtId="0" fontId="20" fillId="11" borderId="5" xfId="0" applyFont="1" applyFill="1" applyBorder="1" applyAlignment="1" applyProtection="1">
      <alignment horizontal="center" wrapText="1" readingOrder="1"/>
      <protection hidden="1"/>
    </xf>
    <xf numFmtId="0" fontId="20" fillId="11" borderId="0" xfId="0" applyFont="1" applyFill="1" applyAlignment="1" applyProtection="1">
      <alignment horizontal="center" wrapText="1" readingOrder="1"/>
      <protection hidden="1"/>
    </xf>
    <xf numFmtId="0" fontId="20" fillId="11" borderId="6" xfId="0" applyFont="1" applyFill="1" applyBorder="1" applyAlignment="1" applyProtection="1">
      <alignment horizontal="center" wrapText="1" readingOrder="1"/>
      <protection hidden="1"/>
    </xf>
    <xf numFmtId="0" fontId="20" fillId="11" borderId="7" xfId="0" applyFont="1" applyFill="1" applyBorder="1" applyAlignment="1" applyProtection="1">
      <alignment horizontal="center" wrapText="1" readingOrder="1"/>
      <protection hidden="1"/>
    </xf>
    <xf numFmtId="0" fontId="20" fillId="11" borderId="9" xfId="0" applyFont="1" applyFill="1" applyBorder="1" applyAlignment="1" applyProtection="1">
      <alignment horizontal="center" wrapText="1" readingOrder="1"/>
      <protection hidden="1"/>
    </xf>
    <xf numFmtId="0" fontId="20" fillId="11" borderId="8" xfId="0" applyFont="1" applyFill="1" applyBorder="1" applyAlignment="1" applyProtection="1">
      <alignment horizontal="center" wrapText="1" readingOrder="1"/>
      <protection hidden="1"/>
    </xf>
    <xf numFmtId="0" fontId="20" fillId="11" borderId="3" xfId="0" applyFont="1" applyFill="1" applyBorder="1" applyAlignment="1" applyProtection="1">
      <alignment horizontal="center" wrapText="1" readingOrder="1"/>
      <protection hidden="1"/>
    </xf>
    <xf numFmtId="0" fontId="20" fillId="11" borderId="10" xfId="0" applyFont="1" applyFill="1" applyBorder="1" applyAlignment="1" applyProtection="1">
      <alignment horizontal="center" wrapText="1" readingOrder="1"/>
      <protection hidden="1"/>
    </xf>
    <xf numFmtId="0" fontId="20" fillId="11" borderId="4" xfId="0" applyFont="1" applyFill="1" applyBorder="1" applyAlignment="1" applyProtection="1">
      <alignment horizontal="center" wrapText="1" readingOrder="1"/>
      <protection hidden="1"/>
    </xf>
    <xf numFmtId="0" fontId="20" fillId="10" borderId="5" xfId="0" applyFont="1" applyFill="1" applyBorder="1" applyAlignment="1" applyProtection="1">
      <alignment horizontal="center" vertical="center" wrapText="1" readingOrder="1"/>
      <protection hidden="1"/>
    </xf>
    <xf numFmtId="0" fontId="20" fillId="10" borderId="0" xfId="0" applyFont="1" applyFill="1" applyAlignment="1" applyProtection="1">
      <alignment horizontal="center" vertical="center" wrapText="1" readingOrder="1"/>
      <protection hidden="1"/>
    </xf>
    <xf numFmtId="0" fontId="20" fillId="10" borderId="6" xfId="0" applyFont="1" applyFill="1" applyBorder="1" applyAlignment="1" applyProtection="1">
      <alignment horizontal="center" vertical="center" wrapText="1" readingOrder="1"/>
      <protection hidden="1"/>
    </xf>
    <xf numFmtId="0" fontId="20" fillId="10" borderId="7" xfId="0" applyFont="1" applyFill="1" applyBorder="1" applyAlignment="1" applyProtection="1">
      <alignment horizontal="center" vertical="center" wrapText="1" readingOrder="1"/>
      <protection hidden="1"/>
    </xf>
    <xf numFmtId="0" fontId="20" fillId="10" borderId="9" xfId="0" applyFont="1" applyFill="1" applyBorder="1" applyAlignment="1" applyProtection="1">
      <alignment horizontal="center" vertical="center" wrapText="1" readingOrder="1"/>
      <protection hidden="1"/>
    </xf>
    <xf numFmtId="0" fontId="20" fillId="10" borderId="8" xfId="0" applyFont="1" applyFill="1" applyBorder="1" applyAlignment="1" applyProtection="1">
      <alignment horizontal="center" vertical="center" wrapText="1" readingOrder="1"/>
      <protection hidden="1"/>
    </xf>
    <xf numFmtId="0" fontId="20" fillId="10" borderId="3" xfId="0" applyFont="1" applyFill="1" applyBorder="1" applyAlignment="1" applyProtection="1">
      <alignment horizontal="center" vertical="center" wrapText="1" readingOrder="1"/>
      <protection hidden="1"/>
    </xf>
    <xf numFmtId="0" fontId="20" fillId="10" borderId="10" xfId="0" applyFont="1" applyFill="1" applyBorder="1" applyAlignment="1" applyProtection="1">
      <alignment horizontal="center" vertical="center" wrapText="1" readingOrder="1"/>
      <protection hidden="1"/>
    </xf>
    <xf numFmtId="0" fontId="20" fillId="10" borderId="4" xfId="0" applyFont="1" applyFill="1" applyBorder="1" applyAlignment="1" applyProtection="1">
      <alignment horizontal="center" vertical="center" wrapText="1" readingOrder="1"/>
      <protection hidden="1"/>
    </xf>
    <xf numFmtId="0" fontId="18" fillId="9" borderId="0" xfId="0" applyFont="1" applyFill="1" applyAlignment="1">
      <alignment horizontal="center" vertical="center" wrapText="1" readingOrder="1"/>
    </xf>
    <xf numFmtId="0" fontId="17" fillId="0" borderId="3" xfId="0" applyFont="1" applyBorder="1" applyAlignment="1">
      <alignment horizontal="center" vertical="center" wrapText="1"/>
    </xf>
    <xf numFmtId="0" fontId="17" fillId="0" borderId="10"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17" fillId="0" borderId="10" xfId="0" applyFont="1" applyBorder="1" applyAlignment="1">
      <alignment horizontal="center" vertical="center" wrapText="1"/>
    </xf>
    <xf numFmtId="0" fontId="18" fillId="9" borderId="0" xfId="0" applyFont="1" applyFill="1" applyAlignment="1">
      <alignment horizontal="center" vertical="center" textRotation="90" wrapText="1" readingOrder="1"/>
    </xf>
    <xf numFmtId="0" fontId="18" fillId="9" borderId="6" xfId="0" applyFont="1" applyFill="1" applyBorder="1" applyAlignment="1">
      <alignment horizontal="center" vertical="center" textRotation="90" wrapText="1" readingOrder="1"/>
    </xf>
    <xf numFmtId="0" fontId="21" fillId="11" borderId="11" xfId="0" applyFont="1" applyFill="1" applyBorder="1" applyAlignment="1">
      <alignment horizontal="center" vertical="center" wrapText="1" readingOrder="1"/>
    </xf>
    <xf numFmtId="0" fontId="21" fillId="11" borderId="12" xfId="0"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0" fontId="21" fillId="11" borderId="14"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15" xfId="0"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11" borderId="17" xfId="0" applyFont="1" applyFill="1" applyBorder="1" applyAlignment="1">
      <alignment horizontal="center" vertical="center" wrapText="1" readingOrder="1"/>
    </xf>
    <xf numFmtId="0" fontId="21" fillId="11" borderId="18" xfId="0" applyFont="1" applyFill="1" applyBorder="1" applyAlignment="1">
      <alignment horizontal="center" vertical="center" wrapText="1" readingOrder="1"/>
    </xf>
    <xf numFmtId="0" fontId="21" fillId="10" borderId="11" xfId="0" applyFont="1" applyFill="1" applyBorder="1" applyAlignment="1">
      <alignment horizontal="center" vertical="center" wrapText="1" readingOrder="1"/>
    </xf>
    <xf numFmtId="0" fontId="21" fillId="10" borderId="12" xfId="0" applyFont="1" applyFill="1" applyBorder="1" applyAlignment="1">
      <alignment horizontal="center" vertical="center" wrapText="1" readingOrder="1"/>
    </xf>
    <xf numFmtId="0" fontId="21" fillId="10" borderId="13" xfId="0" applyFont="1" applyFill="1" applyBorder="1" applyAlignment="1">
      <alignment horizontal="center" vertical="center" wrapText="1" readingOrder="1"/>
    </xf>
    <xf numFmtId="0" fontId="21" fillId="10" borderId="14" xfId="0" applyFont="1" applyFill="1" applyBorder="1" applyAlignment="1">
      <alignment horizontal="center" vertical="center" wrapText="1" readingOrder="1"/>
    </xf>
    <xf numFmtId="0" fontId="21" fillId="10" borderId="0" xfId="0" applyFont="1" applyFill="1" applyAlignment="1">
      <alignment horizontal="center" vertical="center" wrapText="1" readingOrder="1"/>
    </xf>
    <xf numFmtId="0" fontId="21" fillId="10" borderId="15" xfId="0" applyFont="1" applyFill="1" applyBorder="1" applyAlignment="1">
      <alignment horizontal="center" vertical="center" wrapText="1" readingOrder="1"/>
    </xf>
    <xf numFmtId="0" fontId="21" fillId="10" borderId="16" xfId="0" applyFont="1" applyFill="1" applyBorder="1" applyAlignment="1">
      <alignment horizontal="center" vertical="center" wrapText="1" readingOrder="1"/>
    </xf>
    <xf numFmtId="0" fontId="21" fillId="10" borderId="17" xfId="0" applyFont="1" applyFill="1" applyBorder="1" applyAlignment="1">
      <alignment horizontal="center" vertical="center" wrapText="1" readingOrder="1"/>
    </xf>
    <xf numFmtId="0" fontId="21" fillId="10" borderId="18" xfId="0" applyFont="1" applyFill="1" applyBorder="1" applyAlignment="1">
      <alignment horizontal="center" vertical="center" wrapText="1" readingOrder="1"/>
    </xf>
    <xf numFmtId="0" fontId="21" fillId="12" borderId="11" xfId="0" applyFont="1" applyFill="1" applyBorder="1" applyAlignment="1">
      <alignment horizontal="center" vertical="center" wrapText="1" readingOrder="1"/>
    </xf>
    <xf numFmtId="0" fontId="21" fillId="12" borderId="12" xfId="0"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0" fontId="21" fillId="12" borderId="14"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15" xfId="0"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0" fontId="21" fillId="12" borderId="17" xfId="0" applyFont="1" applyFill="1" applyBorder="1" applyAlignment="1">
      <alignment horizontal="center" vertical="center" wrapText="1" readingOrder="1"/>
    </xf>
    <xf numFmtId="0" fontId="21" fillId="12" borderId="18" xfId="0" applyFont="1" applyFill="1" applyBorder="1" applyAlignment="1">
      <alignment horizontal="center" vertical="center" wrapText="1" readingOrder="1"/>
    </xf>
    <xf numFmtId="0" fontId="21" fillId="4" borderId="11" xfId="0"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0" fontId="21" fillId="4" borderId="13" xfId="0" applyFont="1" applyFill="1" applyBorder="1" applyAlignment="1">
      <alignment horizontal="center" vertical="center" wrapText="1" readingOrder="1"/>
    </xf>
    <xf numFmtId="0" fontId="21" fillId="4" borderId="14" xfId="0" applyFont="1" applyFill="1" applyBorder="1" applyAlignment="1">
      <alignment horizontal="center" vertical="center" wrapText="1" readingOrder="1"/>
    </xf>
    <xf numFmtId="0" fontId="21" fillId="4" borderId="0" xfId="0" applyFont="1" applyFill="1" applyAlignment="1">
      <alignment horizontal="center" vertical="center" wrapText="1" readingOrder="1"/>
    </xf>
    <xf numFmtId="0" fontId="21" fillId="4" borderId="15" xfId="0" applyFont="1" applyFill="1" applyBorder="1" applyAlignment="1">
      <alignment horizontal="center" vertical="center" wrapText="1" readingOrder="1"/>
    </xf>
    <xf numFmtId="0" fontId="21" fillId="4" borderId="16" xfId="0" applyFont="1" applyFill="1" applyBorder="1" applyAlignment="1">
      <alignment horizontal="center" vertical="center" wrapText="1" readingOrder="1"/>
    </xf>
    <xf numFmtId="0" fontId="21" fillId="4" borderId="17" xfId="0" applyFont="1" applyFill="1" applyBorder="1" applyAlignment="1">
      <alignment horizontal="center" vertical="center" wrapText="1" readingOrder="1"/>
    </xf>
    <xf numFmtId="0" fontId="21" fillId="4" borderId="18" xfId="0" applyFont="1" applyFill="1" applyBorder="1" applyAlignment="1">
      <alignment horizontal="center" vertical="center" wrapText="1" readingOrder="1"/>
    </xf>
    <xf numFmtId="0" fontId="42" fillId="0" borderId="3" xfId="0" applyFont="1" applyBorder="1" applyAlignment="1">
      <alignment horizontal="center" vertical="center" wrapText="1"/>
    </xf>
    <xf numFmtId="0" fontId="42" fillId="0" borderId="10" xfId="0" applyFont="1" applyBorder="1" applyAlignment="1">
      <alignment horizontal="center" vertical="center"/>
    </xf>
    <xf numFmtId="0" fontId="42" fillId="0" borderId="4" xfId="0" applyFont="1" applyBorder="1" applyAlignment="1">
      <alignment horizontal="center" vertical="center"/>
    </xf>
    <xf numFmtId="0" fontId="42" fillId="0" borderId="5" xfId="0" applyFont="1" applyBorder="1" applyAlignment="1">
      <alignment horizontal="center" vertical="center"/>
    </xf>
    <xf numFmtId="0" fontId="42" fillId="0" borderId="0" xfId="0" applyFont="1" applyAlignment="1">
      <alignment horizontal="center" vertical="center"/>
    </xf>
    <xf numFmtId="0" fontId="42" fillId="0" borderId="6"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2" fillId="0" borderId="8" xfId="0" applyFont="1" applyBorder="1" applyAlignment="1">
      <alignment horizontal="center" vertical="center"/>
    </xf>
    <xf numFmtId="0" fontId="42" fillId="0" borderId="10" xfId="0" applyFont="1" applyBorder="1" applyAlignment="1">
      <alignment horizontal="center" vertical="center" wrapText="1"/>
    </xf>
    <xf numFmtId="0" fontId="41" fillId="10" borderId="11" xfId="0" applyFont="1" applyFill="1" applyBorder="1" applyAlignment="1">
      <alignment horizontal="center" vertical="center" wrapText="1" readingOrder="1"/>
    </xf>
    <xf numFmtId="0" fontId="41" fillId="10" borderId="12" xfId="0" applyFont="1" applyFill="1" applyBorder="1" applyAlignment="1">
      <alignment horizontal="center" vertical="center" wrapText="1" readingOrder="1"/>
    </xf>
    <xf numFmtId="0" fontId="41" fillId="10" borderId="13" xfId="0" applyFont="1" applyFill="1" applyBorder="1" applyAlignment="1">
      <alignment horizontal="center" vertical="center" wrapText="1" readingOrder="1"/>
    </xf>
    <xf numFmtId="0" fontId="41" fillId="10" borderId="14" xfId="0" applyFont="1" applyFill="1" applyBorder="1" applyAlignment="1">
      <alignment horizontal="center" vertical="center" wrapText="1" readingOrder="1"/>
    </xf>
    <xf numFmtId="0" fontId="41" fillId="10" borderId="0" xfId="0" applyFont="1" applyFill="1" applyAlignment="1">
      <alignment horizontal="center" vertical="center" wrapText="1" readingOrder="1"/>
    </xf>
    <xf numFmtId="0" fontId="41" fillId="10" borderId="15" xfId="0" applyFont="1" applyFill="1" applyBorder="1" applyAlignment="1">
      <alignment horizontal="center" vertical="center" wrapText="1" readingOrder="1"/>
    </xf>
    <xf numFmtId="0" fontId="41" fillId="10" borderId="16" xfId="0" applyFont="1" applyFill="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41" fillId="10" borderId="18" xfId="0" applyFont="1" applyFill="1" applyBorder="1" applyAlignment="1">
      <alignment horizontal="center" vertical="center" wrapText="1" readingOrder="1"/>
    </xf>
    <xf numFmtId="0" fontId="42" fillId="0" borderId="5" xfId="0" applyFont="1" applyBorder="1" applyAlignment="1">
      <alignment horizontal="center" vertical="center" wrapText="1"/>
    </xf>
    <xf numFmtId="0" fontId="41" fillId="11" borderId="11" xfId="0" applyFont="1" applyFill="1" applyBorder="1" applyAlignment="1">
      <alignment horizontal="center" vertical="center" wrapText="1" readingOrder="1"/>
    </xf>
    <xf numFmtId="0" fontId="41" fillId="11" borderId="12" xfId="0" applyFont="1" applyFill="1" applyBorder="1" applyAlignment="1">
      <alignment horizontal="center" vertical="center" wrapText="1" readingOrder="1"/>
    </xf>
    <xf numFmtId="0" fontId="41" fillId="11" borderId="13" xfId="0" applyFont="1" applyFill="1" applyBorder="1" applyAlignment="1">
      <alignment horizontal="center" vertical="center" wrapText="1" readingOrder="1"/>
    </xf>
    <xf numFmtId="0" fontId="41" fillId="11" borderId="14" xfId="0" applyFont="1" applyFill="1" applyBorder="1" applyAlignment="1">
      <alignment horizontal="center" vertical="center" wrapText="1" readingOrder="1"/>
    </xf>
    <xf numFmtId="0" fontId="41" fillId="11" borderId="0" xfId="0" applyFont="1" applyFill="1" applyAlignment="1">
      <alignment horizontal="center" vertical="center" wrapText="1" readingOrder="1"/>
    </xf>
    <xf numFmtId="0" fontId="41" fillId="11" borderId="15" xfId="0" applyFont="1" applyFill="1" applyBorder="1" applyAlignment="1">
      <alignment horizontal="center" vertical="center" wrapText="1" readingOrder="1"/>
    </xf>
    <xf numFmtId="0" fontId="41" fillId="11" borderId="16" xfId="0" applyFont="1" applyFill="1" applyBorder="1" applyAlignment="1">
      <alignment horizontal="center" vertical="center" wrapText="1" readingOrder="1"/>
    </xf>
    <xf numFmtId="0" fontId="41" fillId="11" borderId="17" xfId="0" applyFont="1" applyFill="1" applyBorder="1" applyAlignment="1">
      <alignment horizontal="center" vertical="center" wrapText="1" readingOrder="1"/>
    </xf>
    <xf numFmtId="0" fontId="41" fillId="11" borderId="18" xfId="0" applyFont="1" applyFill="1" applyBorder="1" applyAlignment="1">
      <alignment horizontal="center" vertical="center" wrapText="1" readingOrder="1"/>
    </xf>
    <xf numFmtId="0" fontId="40" fillId="0" borderId="0" xfId="0" applyFont="1" applyAlignment="1">
      <alignment horizontal="center" vertical="center" wrapText="1"/>
    </xf>
    <xf numFmtId="0" fontId="22" fillId="0" borderId="0" xfId="0" applyFont="1" applyAlignment="1">
      <alignment horizontal="center" vertical="center" wrapText="1"/>
    </xf>
    <xf numFmtId="0" fontId="41" fillId="4" borderId="11" xfId="0" applyFont="1" applyFill="1" applyBorder="1" applyAlignment="1">
      <alignment horizontal="center" vertical="center" wrapText="1" readingOrder="1"/>
    </xf>
    <xf numFmtId="0" fontId="41" fillId="4" borderId="12" xfId="0" applyFont="1" applyFill="1" applyBorder="1" applyAlignment="1">
      <alignment horizontal="center" vertical="center" wrapText="1" readingOrder="1"/>
    </xf>
    <xf numFmtId="0" fontId="41" fillId="4" borderId="13" xfId="0" applyFont="1" applyFill="1" applyBorder="1" applyAlignment="1">
      <alignment horizontal="center" vertical="center" wrapText="1" readingOrder="1"/>
    </xf>
    <xf numFmtId="0" fontId="41" fillId="4" borderId="14" xfId="0" applyFont="1" applyFill="1" applyBorder="1" applyAlignment="1">
      <alignment horizontal="center" vertical="center" wrapText="1" readingOrder="1"/>
    </xf>
    <xf numFmtId="0" fontId="41" fillId="4" borderId="0" xfId="0" applyFont="1" applyFill="1" applyAlignment="1">
      <alignment horizontal="center" vertical="center" wrapText="1" readingOrder="1"/>
    </xf>
    <xf numFmtId="0" fontId="41" fillId="4" borderId="15" xfId="0" applyFont="1" applyFill="1" applyBorder="1" applyAlignment="1">
      <alignment horizontal="center" vertical="center" wrapText="1" readingOrder="1"/>
    </xf>
    <xf numFmtId="0" fontId="41" fillId="4" borderId="16" xfId="0" applyFont="1" applyFill="1" applyBorder="1" applyAlignment="1">
      <alignment horizontal="center" vertical="center" wrapText="1" readingOrder="1"/>
    </xf>
    <xf numFmtId="0" fontId="41" fillId="4" borderId="17" xfId="0" applyFont="1" applyFill="1" applyBorder="1" applyAlignment="1">
      <alignment horizontal="center" vertical="center" wrapText="1" readingOrder="1"/>
    </xf>
    <xf numFmtId="0" fontId="41" fillId="4" borderId="18" xfId="0" applyFont="1" applyFill="1" applyBorder="1" applyAlignment="1">
      <alignment horizontal="center" vertical="center" wrapText="1" readingOrder="1"/>
    </xf>
    <xf numFmtId="0" fontId="41" fillId="12" borderId="11" xfId="0" applyFont="1" applyFill="1" applyBorder="1" applyAlignment="1">
      <alignment horizontal="center" vertical="center" wrapText="1" readingOrder="1"/>
    </xf>
    <xf numFmtId="0" fontId="41" fillId="12" borderId="12" xfId="0" applyFont="1" applyFill="1" applyBorder="1" applyAlignment="1">
      <alignment horizontal="center" vertical="center" wrapText="1" readingOrder="1"/>
    </xf>
    <xf numFmtId="0" fontId="41" fillId="12" borderId="13" xfId="0" applyFont="1" applyFill="1" applyBorder="1" applyAlignment="1">
      <alignment horizontal="center" vertical="center" wrapText="1" readingOrder="1"/>
    </xf>
    <xf numFmtId="0" fontId="41" fillId="12" borderId="14" xfId="0" applyFont="1" applyFill="1" applyBorder="1" applyAlignment="1">
      <alignment horizontal="center" vertical="center" wrapText="1" readingOrder="1"/>
    </xf>
    <xf numFmtId="0" fontId="41" fillId="12" borderId="0" xfId="0" applyFont="1" applyFill="1" applyAlignment="1">
      <alignment horizontal="center" vertical="center" wrapText="1" readingOrder="1"/>
    </xf>
    <xf numFmtId="0" fontId="41" fillId="12" borderId="15" xfId="0" applyFont="1" applyFill="1" applyBorder="1" applyAlignment="1">
      <alignment horizontal="center" vertical="center" wrapText="1" readingOrder="1"/>
    </xf>
    <xf numFmtId="0" fontId="41" fillId="12" borderId="16" xfId="0" applyFont="1" applyFill="1" applyBorder="1" applyAlignment="1">
      <alignment horizontal="center" vertical="center" wrapText="1" readingOrder="1"/>
    </xf>
    <xf numFmtId="0" fontId="41" fillId="12" borderId="17" xfId="0" applyFont="1" applyFill="1" applyBorder="1" applyAlignment="1">
      <alignment horizontal="center" vertical="center" wrapText="1" readingOrder="1"/>
    </xf>
    <xf numFmtId="0" fontId="41" fillId="12" borderId="18" xfId="0" applyFont="1" applyFill="1" applyBorder="1" applyAlignment="1">
      <alignment horizontal="center" vertical="center" wrapText="1" readingOrder="1"/>
    </xf>
    <xf numFmtId="0" fontId="24" fillId="0" borderId="0" xfId="0" applyFont="1" applyAlignment="1">
      <alignment horizontal="center" vertical="center"/>
    </xf>
    <xf numFmtId="0" fontId="44" fillId="0" borderId="0" xfId="0" applyFont="1" applyAlignment="1">
      <alignment horizontal="center" vertical="center"/>
    </xf>
    <xf numFmtId="0" fontId="39" fillId="14" borderId="21" xfId="0" applyFont="1" applyFill="1" applyBorder="1" applyAlignment="1">
      <alignment horizontal="center" vertical="center" wrapText="1" readingOrder="1"/>
    </xf>
    <xf numFmtId="0" fontId="39" fillId="14" borderId="22" xfId="0" applyFont="1" applyFill="1" applyBorder="1" applyAlignment="1">
      <alignment horizontal="center" vertical="center" wrapText="1" readingOrder="1"/>
    </xf>
    <xf numFmtId="0" fontId="39" fillId="14" borderId="33" xfId="0" applyFont="1" applyFill="1" applyBorder="1" applyAlignment="1">
      <alignment horizontal="center" vertical="center" wrapText="1" readingOrder="1"/>
    </xf>
    <xf numFmtId="0" fontId="34" fillId="2" borderId="0" xfId="0" applyFont="1" applyFill="1" applyAlignment="1">
      <alignment horizontal="justify" vertical="center" wrapText="1"/>
    </xf>
    <xf numFmtId="0" fontId="36" fillId="14" borderId="30" xfId="0" applyFont="1" applyFill="1" applyBorder="1" applyAlignment="1">
      <alignment horizontal="center" vertical="center" wrapText="1" readingOrder="1"/>
    </xf>
    <xf numFmtId="0" fontId="36" fillId="14" borderId="31" xfId="0" applyFont="1" applyFill="1" applyBorder="1" applyAlignment="1">
      <alignment horizontal="center" vertical="center" wrapText="1" readingOrder="1"/>
    </xf>
    <xf numFmtId="0" fontId="36" fillId="2" borderId="28" xfId="0" applyFont="1" applyFill="1" applyBorder="1" applyAlignment="1">
      <alignment horizontal="center" vertical="center" wrapText="1" readingOrder="1"/>
    </xf>
    <xf numFmtId="0" fontId="36" fillId="2" borderId="23" xfId="0" applyFont="1" applyFill="1" applyBorder="1" applyAlignment="1">
      <alignment horizontal="center" vertical="center" wrapText="1" readingOrder="1"/>
    </xf>
    <xf numFmtId="0" fontId="36" fillId="2" borderId="20"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cellXfs>
  <cellStyles count="9">
    <cellStyle name="Hipervínculo" xfId="8" builtinId="8"/>
    <cellStyle name="Normal" xfId="0" builtinId="0"/>
    <cellStyle name="Normal - Style1 2" xfId="2"/>
    <cellStyle name="Normal 10 2" xfId="6"/>
    <cellStyle name="Normal 2" xfId="4"/>
    <cellStyle name="Normal 2 2" xfId="3"/>
    <cellStyle name="Normal 3" xfId="5"/>
    <cellStyle name="Normal 4" xfId="7"/>
    <cellStyle name="Porcentaje" xfId="1" builtinId="5"/>
  </cellStyles>
  <dxfs count="157">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C00000"/>
        </patternFill>
      </fill>
    </dxf>
    <dxf>
      <fill>
        <patternFill>
          <bgColor rgb="FFFFFF00"/>
        </patternFill>
      </fill>
    </dxf>
    <dxf>
      <fill>
        <patternFill>
          <bgColor rgb="FF92D050"/>
        </patternFill>
      </fill>
    </dxf>
    <dxf>
      <fill>
        <patternFill>
          <bgColor theme="9" tint="-0.24994659260841701"/>
        </patternFill>
      </fill>
    </dxf>
    <dxf>
      <fill>
        <patternFill>
          <bgColor theme="9" tint="-0.24994659260841701"/>
        </patternFill>
      </fill>
    </dxf>
    <dxf>
      <fill>
        <patternFill>
          <bgColor rgb="FFFFFF00"/>
        </patternFill>
      </fill>
    </dxf>
    <dxf>
      <fill>
        <patternFill>
          <bgColor rgb="FFC000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theme="9" tint="-0.24994659260841701"/>
        </patternFill>
      </fill>
    </dxf>
    <dxf>
      <fill>
        <patternFill>
          <bgColor rgb="FF92D050"/>
        </patternFill>
      </fill>
    </dxf>
    <dxf>
      <fill>
        <patternFill>
          <bgColor rgb="FFFFFF00"/>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66"/>
        </patternFill>
      </fill>
    </dxf>
    <dxf>
      <fill>
        <patternFill>
          <bgColor rgb="FF00B050"/>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ill>
        <patternFill>
          <bgColor rgb="FF00B050"/>
        </patternFill>
      </fill>
    </dxf>
    <dxf>
      <font>
        <color auto="1"/>
      </font>
      <fill>
        <patternFill>
          <bgColor rgb="FF92D050"/>
        </patternFill>
      </fill>
    </dxf>
    <dxf>
      <fill>
        <patternFill>
          <bgColor rgb="FF00B050"/>
        </patternFill>
      </fill>
    </dxf>
    <dxf>
      <fill>
        <patternFill>
          <bgColor rgb="FFFFFF66"/>
        </patternFill>
      </fill>
    </dxf>
    <dxf>
      <fill>
        <patternFill>
          <bgColor rgb="FFFF0000"/>
        </patternFill>
      </fill>
    </dxf>
    <dxf>
      <fill>
        <patternFill>
          <bgColor rgb="FFFFC000"/>
        </patternFill>
      </fill>
    </dxf>
    <dxf>
      <font>
        <color auto="1"/>
      </font>
      <fill>
        <patternFill>
          <bgColor rgb="FF92D050"/>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FFFF66"/>
        </patternFill>
      </fill>
    </dxf>
    <dxf>
      <fill>
        <patternFill>
          <bgColor rgb="FF00B050"/>
        </patternFill>
      </fill>
    </dxf>
    <dxf>
      <font>
        <color auto="1"/>
      </font>
      <fill>
        <patternFill>
          <bgColor rgb="FF92D050"/>
        </patternFill>
      </fill>
    </dxf>
    <dxf>
      <fill>
        <patternFill>
          <bgColor rgb="FFFFFF66"/>
        </patternFill>
      </fill>
    </dxf>
    <dxf>
      <fill>
        <patternFill>
          <bgColor rgb="FFFFC000"/>
        </patternFill>
      </fill>
    </dxf>
    <dxf>
      <fill>
        <patternFill>
          <bgColor rgb="FFFF0000"/>
        </patternFill>
      </fill>
    </dxf>
    <dxf>
      <fill>
        <patternFill>
          <bgColor rgb="FF00B050"/>
        </patternFill>
      </fill>
    </dxf>
    <dxf>
      <font>
        <color auto="1"/>
      </font>
      <fill>
        <patternFill>
          <bgColor rgb="FF92D050"/>
        </patternFill>
      </fill>
    </dxf>
    <dxf>
      <font>
        <color rgb="FF9C0006"/>
      </font>
      <fill>
        <patternFill>
          <bgColor rgb="FFFFC7CE"/>
        </patternFill>
      </fill>
    </dxf>
    <dxf>
      <font>
        <color auto="1"/>
      </font>
      <fill>
        <patternFill>
          <bgColor rgb="FF92D050"/>
        </patternFill>
      </fill>
    </dxf>
    <dxf>
      <fill>
        <patternFill>
          <bgColor rgb="FFFF0000"/>
        </patternFill>
      </fill>
    </dxf>
    <dxf>
      <fill>
        <patternFill>
          <bgColor rgb="FF00B050"/>
        </patternFill>
      </fill>
    </dxf>
    <dxf>
      <fill>
        <patternFill>
          <bgColor rgb="FFFFC000"/>
        </patternFill>
      </fill>
    </dxf>
    <dxf>
      <fill>
        <patternFill>
          <bgColor rgb="FFFFFF66"/>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FFFF66"/>
        </patternFill>
      </fill>
    </dxf>
    <dxf>
      <font>
        <color auto="1"/>
      </font>
      <fill>
        <patternFill>
          <bgColor rgb="FF92D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66"/>
        </patternFill>
      </fill>
    </dxf>
    <dxf>
      <font>
        <color auto="1"/>
      </font>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66"/>
        </patternFill>
      </fill>
    </dxf>
    <dxf>
      <fill>
        <patternFill>
          <bgColor rgb="FF00B050"/>
        </patternFill>
      </fill>
    </dxf>
    <dxf>
      <font>
        <color auto="1"/>
      </font>
      <fill>
        <patternFill>
          <bgColor rgb="FF92D050"/>
        </patternFill>
      </fill>
    </dxf>
    <dxf>
      <fill>
        <patternFill>
          <bgColor rgb="FFFFC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66"/>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FFFF66"/>
        </patternFill>
      </fill>
    </dxf>
    <dxf>
      <font>
        <color auto="1"/>
      </font>
      <fill>
        <patternFill>
          <bgColor rgb="FF92D050"/>
        </patternFill>
      </fill>
    </dxf>
    <dxf>
      <fill>
        <patternFill>
          <bgColor rgb="FF00B050"/>
        </patternFill>
      </fill>
    </dxf>
    <dxf>
      <fill>
        <patternFill>
          <bgColor rgb="FFFF0000"/>
        </patternFill>
      </fill>
    </dxf>
    <dxf>
      <fill>
        <patternFill>
          <bgColor rgb="FFFFC000"/>
        </patternFill>
      </fill>
    </dxf>
  </dxfs>
  <tableStyles count="0" defaultTableStyle="TableStyleMedium2" defaultPivotStyle="PivotStyleLight16"/>
  <colors>
    <mruColors>
      <color rgb="FFFFFFEB"/>
      <color rgb="FF375623"/>
      <color rgb="FFFFCC00"/>
      <color rgb="FF003300"/>
      <color rgb="FFFFFFF7"/>
      <color rgb="FFFFFFE1"/>
      <color rgb="FFFFFFD5"/>
      <color rgb="FFF7F7F7"/>
      <color rgb="FFFFFF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10175"/>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1400175" y="8782050"/>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552451</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588169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Sergio/Downloads/F-PL-13%20Mapa%20Riesgos%20-%20SIG.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dadestecno-my.sharepoint.com/personal/planeacion_correo_uts_edu_co2/Documents/16-47.2%20RIESGOS/GESTI&#211;N%20Y%20S.I/2024/2do%20MONITOREO/Planeaci&#243;n%20Institucional/F-PL-13%20Mapa%20de%20Riesgos%20-%20Planeaci&#243;n%20Institucional%20202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INSTRUCTIVO"/>
      <sheetName val="INSTRUCTIVO P.I"/>
      <sheetName val="Opciones Tratamiento"/>
    </sheetNames>
    <sheetDataSet>
      <sheetData sheetId="0"/>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ciones Tratamiento"/>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dres Marin" refreshedDate="44186.276661689815" createdVersion="6" refreshedVersion="6" minRefreshableVersion="3" recordCount="1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1" name="Tabla1" displayName="Tabla1" ref="B209:C219" totalsRowShown="0" headerRowDxfId="3" dataDxfId="2">
  <autoFilter ref="B209:C219"/>
  <tableColumns count="2">
    <tableColumn id="1" name="Criterios" dataDxfId="1"/>
    <tableColumn id="2" name="Subcriterios"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Z1000"/>
  <sheetViews>
    <sheetView showGridLines="0" zoomScale="70" zoomScaleNormal="70" workbookViewId="0">
      <selection activeCell="Q16" sqref="Q16"/>
    </sheetView>
  </sheetViews>
  <sheetFormatPr baseColWidth="10" defaultColWidth="14.42578125" defaultRowHeight="15" customHeight="1" x14ac:dyDescent="0.2"/>
  <cols>
    <col min="1" max="1" width="11" style="113" customWidth="1"/>
    <col min="2" max="2" width="9.85546875" style="113" customWidth="1"/>
    <col min="3" max="3" width="10.7109375" style="113" customWidth="1"/>
    <col min="4" max="4" width="0.7109375" style="113" customWidth="1"/>
    <col min="5" max="5" width="9.85546875" style="113" customWidth="1"/>
    <col min="6" max="6" width="0.7109375" style="113" customWidth="1"/>
    <col min="7" max="7" width="9.85546875" style="113" customWidth="1"/>
    <col min="8" max="8" width="0.7109375" style="113" customWidth="1"/>
    <col min="9" max="9" width="9.85546875" style="113" customWidth="1"/>
    <col min="10" max="10" width="0.7109375" style="113" customWidth="1"/>
    <col min="11" max="11" width="9.85546875" style="113" customWidth="1"/>
    <col min="12" max="12" width="15.28515625" style="113" customWidth="1"/>
    <col min="13" max="15" width="21.28515625" style="113" customWidth="1"/>
    <col min="16" max="16" width="40.140625" style="113" customWidth="1"/>
    <col min="17" max="17" width="31" style="113" customWidth="1"/>
    <col min="18" max="18" width="19.85546875" style="113" customWidth="1"/>
    <col min="19" max="19" width="32.7109375" style="113" customWidth="1"/>
    <col min="20" max="20" width="19" style="113" customWidth="1"/>
    <col min="21" max="21" width="79" style="113" customWidth="1"/>
    <col min="22" max="26" width="10.7109375" style="113" customWidth="1"/>
    <col min="27" max="16384" width="14.42578125" style="113"/>
  </cols>
  <sheetData>
    <row r="1" spans="1:26" ht="15.75" thickBot="1" x14ac:dyDescent="0.3">
      <c r="D1" s="114"/>
      <c r="F1" s="114"/>
      <c r="H1" s="114"/>
      <c r="J1" s="114"/>
    </row>
    <row r="2" spans="1:26" ht="15.75" thickBot="1" x14ac:dyDescent="0.3">
      <c r="A2" s="115"/>
      <c r="B2" s="116"/>
      <c r="C2" s="116"/>
      <c r="D2" s="116"/>
      <c r="E2" s="116"/>
      <c r="F2" s="116"/>
      <c r="G2" s="116"/>
      <c r="H2" s="116"/>
      <c r="I2" s="116"/>
      <c r="J2" s="116"/>
      <c r="K2" s="116"/>
      <c r="L2" s="116"/>
      <c r="M2" s="115"/>
      <c r="N2" s="116"/>
      <c r="O2" s="116"/>
      <c r="P2" s="116"/>
      <c r="Q2" s="117"/>
      <c r="R2" s="118"/>
      <c r="S2" s="119"/>
      <c r="T2" s="120"/>
      <c r="U2" s="117"/>
      <c r="V2" s="117"/>
      <c r="W2" s="118"/>
    </row>
    <row r="3" spans="1:26" ht="16.5" customHeight="1" x14ac:dyDescent="0.25">
      <c r="A3" s="121"/>
      <c r="B3" s="385" t="s">
        <v>0</v>
      </c>
      <c r="C3" s="361"/>
      <c r="D3" s="361"/>
      <c r="E3" s="361"/>
      <c r="F3" s="361"/>
      <c r="G3" s="361"/>
      <c r="H3" s="361"/>
      <c r="I3" s="361"/>
      <c r="J3" s="361"/>
      <c r="K3" s="362"/>
      <c r="L3" s="114"/>
      <c r="M3" s="121"/>
      <c r="N3" s="391" t="s">
        <v>1</v>
      </c>
      <c r="O3" s="361"/>
      <c r="P3" s="362"/>
      <c r="Q3" s="122"/>
      <c r="R3" s="123"/>
      <c r="S3" s="124"/>
      <c r="T3" s="392" t="s">
        <v>2</v>
      </c>
      <c r="U3" s="362"/>
      <c r="V3" s="122"/>
      <c r="W3" s="123"/>
    </row>
    <row r="4" spans="1:26" x14ac:dyDescent="0.25">
      <c r="A4" s="121"/>
      <c r="B4" s="125" t="s">
        <v>3</v>
      </c>
      <c r="C4" s="393" t="s">
        <v>4</v>
      </c>
      <c r="D4" s="353"/>
      <c r="E4" s="393" t="s">
        <v>5</v>
      </c>
      <c r="F4" s="355"/>
      <c r="G4" s="353"/>
      <c r="H4" s="393" t="s">
        <v>6</v>
      </c>
      <c r="I4" s="355"/>
      <c r="J4" s="355"/>
      <c r="K4" s="348"/>
      <c r="L4" s="114"/>
      <c r="M4" s="121"/>
      <c r="N4" s="126" t="s">
        <v>3</v>
      </c>
      <c r="O4" s="127" t="s">
        <v>4</v>
      </c>
      <c r="P4" s="128" t="s">
        <v>5</v>
      </c>
      <c r="Q4" s="122"/>
      <c r="R4" s="123"/>
      <c r="S4" s="124"/>
      <c r="T4" s="126" t="s">
        <v>7</v>
      </c>
      <c r="U4" s="128" t="s">
        <v>8</v>
      </c>
      <c r="V4" s="122"/>
      <c r="W4" s="123"/>
    </row>
    <row r="5" spans="1:26" ht="43.5" customHeight="1" x14ac:dyDescent="0.25">
      <c r="A5" s="121"/>
      <c r="B5" s="129">
        <v>1</v>
      </c>
      <c r="C5" s="386" t="s">
        <v>9</v>
      </c>
      <c r="D5" s="353"/>
      <c r="E5" s="387" t="s">
        <v>10</v>
      </c>
      <c r="F5" s="355"/>
      <c r="G5" s="353"/>
      <c r="H5" s="387" t="s">
        <v>11</v>
      </c>
      <c r="I5" s="355"/>
      <c r="J5" s="355"/>
      <c r="K5" s="348"/>
      <c r="L5" s="114"/>
      <c r="M5" s="121"/>
      <c r="N5" s="130">
        <v>1</v>
      </c>
      <c r="O5" s="131" t="s">
        <v>12</v>
      </c>
      <c r="P5" s="132" t="s">
        <v>13</v>
      </c>
      <c r="Q5" s="122"/>
      <c r="R5" s="123"/>
      <c r="S5" s="124"/>
      <c r="T5" s="133" t="s">
        <v>14</v>
      </c>
      <c r="U5" s="134" t="s">
        <v>15</v>
      </c>
      <c r="V5" s="122"/>
      <c r="W5" s="123"/>
    </row>
    <row r="6" spans="1:26" ht="30" customHeight="1" x14ac:dyDescent="0.25">
      <c r="A6" s="121"/>
      <c r="B6" s="129">
        <v>2</v>
      </c>
      <c r="C6" s="386" t="s">
        <v>16</v>
      </c>
      <c r="D6" s="353"/>
      <c r="E6" s="387" t="s">
        <v>17</v>
      </c>
      <c r="F6" s="355"/>
      <c r="G6" s="353"/>
      <c r="H6" s="387" t="s">
        <v>18</v>
      </c>
      <c r="I6" s="355"/>
      <c r="J6" s="355"/>
      <c r="K6" s="348"/>
      <c r="L6" s="114"/>
      <c r="M6" s="121"/>
      <c r="N6" s="130">
        <v>2</v>
      </c>
      <c r="O6" s="131" t="s">
        <v>19</v>
      </c>
      <c r="P6" s="132" t="s">
        <v>20</v>
      </c>
      <c r="Q6" s="122"/>
      <c r="R6" s="123"/>
      <c r="S6" s="124"/>
      <c r="T6" s="133" t="s">
        <v>21</v>
      </c>
      <c r="U6" s="134" t="s">
        <v>22</v>
      </c>
      <c r="V6" s="122"/>
      <c r="W6" s="123"/>
    </row>
    <row r="7" spans="1:26" ht="35.25" customHeight="1" x14ac:dyDescent="0.25">
      <c r="A7" s="121"/>
      <c r="B7" s="129">
        <v>3</v>
      </c>
      <c r="C7" s="386" t="s">
        <v>23</v>
      </c>
      <c r="D7" s="353"/>
      <c r="E7" s="387" t="s">
        <v>24</v>
      </c>
      <c r="F7" s="355"/>
      <c r="G7" s="353"/>
      <c r="H7" s="387" t="s">
        <v>25</v>
      </c>
      <c r="I7" s="355"/>
      <c r="J7" s="355"/>
      <c r="K7" s="348"/>
      <c r="L7" s="114"/>
      <c r="M7" s="121"/>
      <c r="N7" s="130">
        <v>3</v>
      </c>
      <c r="O7" s="131" t="s">
        <v>26</v>
      </c>
      <c r="P7" s="132" t="s">
        <v>27</v>
      </c>
      <c r="Q7" s="122"/>
      <c r="R7" s="123"/>
      <c r="S7" s="124"/>
      <c r="T7" s="133" t="s">
        <v>28</v>
      </c>
      <c r="U7" s="134" t="s">
        <v>29</v>
      </c>
      <c r="V7" s="122"/>
      <c r="W7" s="123"/>
    </row>
    <row r="8" spans="1:26" ht="35.25" customHeight="1" x14ac:dyDescent="0.25">
      <c r="A8" s="121"/>
      <c r="B8" s="129">
        <v>4</v>
      </c>
      <c r="C8" s="386" t="s">
        <v>30</v>
      </c>
      <c r="D8" s="353"/>
      <c r="E8" s="387" t="s">
        <v>31</v>
      </c>
      <c r="F8" s="355"/>
      <c r="G8" s="353"/>
      <c r="H8" s="387" t="s">
        <v>32</v>
      </c>
      <c r="I8" s="355"/>
      <c r="J8" s="355"/>
      <c r="K8" s="348"/>
      <c r="L8" s="114"/>
      <c r="M8" s="121"/>
      <c r="N8" s="130">
        <v>4</v>
      </c>
      <c r="O8" s="131" t="s">
        <v>33</v>
      </c>
      <c r="P8" s="132" t="s">
        <v>34</v>
      </c>
      <c r="Q8" s="122"/>
      <c r="R8" s="123"/>
      <c r="S8" s="124"/>
      <c r="T8" s="133" t="s">
        <v>35</v>
      </c>
      <c r="U8" s="134" t="s">
        <v>36</v>
      </c>
      <c r="V8" s="122"/>
      <c r="W8" s="123"/>
    </row>
    <row r="9" spans="1:26" ht="39.75" customHeight="1" thickBot="1" x14ac:dyDescent="0.3">
      <c r="A9" s="121"/>
      <c r="B9" s="135">
        <v>5</v>
      </c>
      <c r="C9" s="388" t="s">
        <v>37</v>
      </c>
      <c r="D9" s="343"/>
      <c r="E9" s="389" t="s">
        <v>38</v>
      </c>
      <c r="F9" s="345"/>
      <c r="G9" s="343"/>
      <c r="H9" s="388" t="s">
        <v>39</v>
      </c>
      <c r="I9" s="345"/>
      <c r="J9" s="345"/>
      <c r="K9" s="346"/>
      <c r="L9" s="114"/>
      <c r="M9" s="121"/>
      <c r="N9" s="136">
        <v>5</v>
      </c>
      <c r="O9" s="137" t="s">
        <v>40</v>
      </c>
      <c r="P9" s="138" t="s">
        <v>41</v>
      </c>
      <c r="Q9" s="122"/>
      <c r="R9" s="123"/>
      <c r="S9" s="124"/>
      <c r="T9" s="133" t="s">
        <v>42</v>
      </c>
      <c r="U9" s="134" t="s">
        <v>43</v>
      </c>
      <c r="V9" s="122"/>
      <c r="W9" s="123"/>
    </row>
    <row r="10" spans="1:26" ht="31.5" customHeight="1" thickBot="1" x14ac:dyDescent="0.3">
      <c r="A10" s="121"/>
      <c r="B10" s="114"/>
      <c r="C10" s="114"/>
      <c r="D10" s="114"/>
      <c r="E10" s="114"/>
      <c r="F10" s="114"/>
      <c r="G10" s="114"/>
      <c r="H10" s="114"/>
      <c r="I10" s="114"/>
      <c r="J10" s="114"/>
      <c r="K10" s="114"/>
      <c r="L10" s="114"/>
      <c r="M10" s="121"/>
      <c r="N10" s="114"/>
      <c r="O10" s="114"/>
      <c r="P10" s="114"/>
      <c r="Q10" s="122"/>
      <c r="R10" s="123"/>
      <c r="S10" s="124"/>
      <c r="T10" s="139" t="s">
        <v>44</v>
      </c>
      <c r="U10" s="140" t="s">
        <v>45</v>
      </c>
      <c r="V10" s="122"/>
      <c r="W10" s="123"/>
    </row>
    <row r="11" spans="1:26" ht="31.5" customHeight="1" thickBot="1" x14ac:dyDescent="0.3">
      <c r="A11" s="121"/>
      <c r="B11" s="114"/>
      <c r="C11" s="114"/>
      <c r="D11" s="114"/>
      <c r="E11" s="114"/>
      <c r="F11" s="114"/>
      <c r="G11" s="114"/>
      <c r="H11" s="114"/>
      <c r="I11" s="114"/>
      <c r="J11" s="114"/>
      <c r="K11" s="114"/>
      <c r="L11" s="324"/>
      <c r="M11" s="121"/>
      <c r="N11" s="114"/>
      <c r="O11" s="114"/>
      <c r="P11" s="114"/>
      <c r="Q11" s="122"/>
      <c r="R11" s="123"/>
      <c r="S11" s="124"/>
      <c r="T11" s="141" t="s">
        <v>46</v>
      </c>
      <c r="U11" s="142" t="s">
        <v>47</v>
      </c>
      <c r="V11" s="122"/>
      <c r="W11" s="123"/>
    </row>
    <row r="12" spans="1:26" x14ac:dyDescent="0.25">
      <c r="A12" s="121"/>
      <c r="B12" s="114"/>
      <c r="C12" s="114"/>
      <c r="D12" s="114"/>
      <c r="E12" s="114"/>
      <c r="F12" s="114"/>
      <c r="G12" s="114"/>
      <c r="H12" s="114"/>
      <c r="I12" s="114"/>
      <c r="J12" s="114"/>
      <c r="K12" s="114"/>
      <c r="L12" s="114"/>
      <c r="M12" s="121"/>
      <c r="N12" s="114"/>
      <c r="O12" s="114"/>
      <c r="P12" s="114"/>
      <c r="Q12" s="122"/>
      <c r="R12" s="123"/>
      <c r="S12" s="124"/>
      <c r="T12" s="117"/>
      <c r="U12" s="122"/>
      <c r="V12" s="122"/>
      <c r="W12" s="123"/>
    </row>
    <row r="13" spans="1:26" x14ac:dyDescent="0.25">
      <c r="A13" s="121"/>
      <c r="B13" s="114"/>
      <c r="C13" s="114"/>
      <c r="D13" s="114"/>
      <c r="E13" s="114"/>
      <c r="F13" s="114"/>
      <c r="G13" s="114"/>
      <c r="H13" s="114"/>
      <c r="I13" s="114"/>
      <c r="J13" s="114"/>
      <c r="K13" s="114"/>
      <c r="L13" s="114"/>
      <c r="M13" s="121"/>
      <c r="N13" s="114"/>
      <c r="O13" s="114"/>
      <c r="P13" s="114"/>
      <c r="Q13" s="122"/>
      <c r="R13" s="123"/>
      <c r="S13" s="124"/>
      <c r="T13" s="122"/>
      <c r="U13" s="122"/>
      <c r="V13" s="122"/>
      <c r="W13" s="123"/>
    </row>
    <row r="14" spans="1:26" ht="15.75" thickBot="1" x14ac:dyDescent="0.3">
      <c r="A14" s="143"/>
      <c r="B14" s="144"/>
      <c r="C14" s="144"/>
      <c r="D14" s="144"/>
      <c r="E14" s="144"/>
      <c r="F14" s="144"/>
      <c r="G14" s="144"/>
      <c r="H14" s="144"/>
      <c r="I14" s="144"/>
      <c r="J14" s="144"/>
      <c r="K14" s="144"/>
      <c r="L14" s="144"/>
      <c r="M14" s="143"/>
      <c r="N14" s="144"/>
      <c r="O14" s="144"/>
      <c r="P14" s="144"/>
      <c r="Q14" s="145"/>
      <c r="R14" s="146"/>
      <c r="S14" s="147"/>
      <c r="T14" s="145"/>
      <c r="U14" s="145"/>
      <c r="V14" s="145"/>
      <c r="W14" s="146"/>
    </row>
    <row r="15" spans="1:26" x14ac:dyDescent="0.25">
      <c r="A15" s="115" t="s">
        <v>48</v>
      </c>
      <c r="B15" s="116"/>
      <c r="C15" s="116"/>
      <c r="D15" s="116"/>
      <c r="E15" s="116"/>
      <c r="F15" s="116"/>
      <c r="G15" s="116"/>
      <c r="H15" s="116"/>
      <c r="I15" s="116"/>
      <c r="J15" s="116"/>
      <c r="K15" s="116"/>
      <c r="L15" s="148"/>
      <c r="M15" s="116"/>
      <c r="N15" s="116"/>
      <c r="O15" s="116"/>
      <c r="P15" s="116"/>
      <c r="Q15" s="117"/>
      <c r="R15" s="118"/>
      <c r="S15" s="124"/>
      <c r="T15" s="122"/>
      <c r="U15" s="122"/>
      <c r="V15" s="122"/>
      <c r="W15" s="123"/>
    </row>
    <row r="16" spans="1:26" ht="15.75" thickBot="1" x14ac:dyDescent="0.3">
      <c r="A16" s="121"/>
      <c r="B16" s="390" t="s">
        <v>49</v>
      </c>
      <c r="C16" s="341"/>
      <c r="D16" s="341"/>
      <c r="E16" s="341"/>
      <c r="F16" s="341"/>
      <c r="G16" s="341"/>
      <c r="H16" s="341"/>
      <c r="I16" s="341"/>
      <c r="J16" s="341"/>
      <c r="K16" s="341"/>
      <c r="L16" s="149"/>
      <c r="M16" s="114"/>
      <c r="N16" s="114"/>
      <c r="O16" s="114"/>
      <c r="P16" s="114"/>
      <c r="Q16" s="122"/>
      <c r="R16" s="123"/>
      <c r="S16" s="124"/>
      <c r="T16" s="122"/>
      <c r="U16" s="122"/>
      <c r="V16" s="122"/>
      <c r="W16" s="123"/>
      <c r="X16" s="122"/>
      <c r="Y16" s="122"/>
      <c r="Z16" s="122"/>
    </row>
    <row r="17" spans="1:26" ht="15.75" thickBot="1" x14ac:dyDescent="0.3">
      <c r="A17" s="121"/>
      <c r="B17" s="114"/>
      <c r="C17" s="114"/>
      <c r="D17" s="114"/>
      <c r="E17" s="114"/>
      <c r="F17" s="114"/>
      <c r="G17" s="114"/>
      <c r="H17" s="114"/>
      <c r="I17" s="114"/>
      <c r="J17" s="114"/>
      <c r="K17" s="114"/>
      <c r="L17" s="149"/>
      <c r="M17" s="122"/>
      <c r="N17" s="385" t="s">
        <v>50</v>
      </c>
      <c r="O17" s="361"/>
      <c r="P17" s="361"/>
      <c r="Q17" s="362"/>
      <c r="R17" s="150"/>
      <c r="S17" s="124"/>
      <c r="T17" s="385" t="s">
        <v>51</v>
      </c>
      <c r="U17" s="362"/>
      <c r="V17" s="122"/>
      <c r="W17" s="123"/>
      <c r="X17" s="122"/>
      <c r="Y17" s="122"/>
      <c r="Z17" s="122"/>
    </row>
    <row r="18" spans="1:26" ht="45.75" customHeight="1" x14ac:dyDescent="0.25">
      <c r="A18" s="121"/>
      <c r="B18" s="151" t="s">
        <v>52</v>
      </c>
      <c r="C18" s="152" t="s">
        <v>53</v>
      </c>
      <c r="D18" s="116"/>
      <c r="E18" s="153" t="s">
        <v>53</v>
      </c>
      <c r="F18" s="116"/>
      <c r="G18" s="154" t="s">
        <v>54</v>
      </c>
      <c r="H18" s="116"/>
      <c r="I18" s="154" t="s">
        <v>54</v>
      </c>
      <c r="J18" s="116"/>
      <c r="K18" s="155" t="s">
        <v>54</v>
      </c>
      <c r="L18" s="123"/>
      <c r="M18" s="122"/>
      <c r="N18" s="365" t="s">
        <v>55</v>
      </c>
      <c r="O18" s="368" t="s">
        <v>56</v>
      </c>
      <c r="P18" s="369"/>
      <c r="Q18" s="370"/>
      <c r="R18" s="156"/>
      <c r="S18" s="157"/>
      <c r="T18" s="376" t="s">
        <v>57</v>
      </c>
      <c r="U18" s="377" t="s">
        <v>58</v>
      </c>
      <c r="V18" s="158"/>
      <c r="W18" s="159"/>
      <c r="X18" s="158"/>
      <c r="Y18" s="158"/>
      <c r="Z18" s="122"/>
    </row>
    <row r="19" spans="1:26" ht="5.25" customHeight="1" x14ac:dyDescent="0.25">
      <c r="A19" s="121"/>
      <c r="B19" s="160"/>
      <c r="C19" s="121"/>
      <c r="D19" s="114"/>
      <c r="E19" s="114"/>
      <c r="F19" s="114"/>
      <c r="G19" s="114"/>
      <c r="H19" s="114"/>
      <c r="I19" s="114"/>
      <c r="J19" s="114"/>
      <c r="K19" s="149"/>
      <c r="L19" s="149"/>
      <c r="M19" s="114"/>
      <c r="N19" s="366"/>
      <c r="O19" s="371"/>
      <c r="P19" s="350"/>
      <c r="Q19" s="372"/>
      <c r="R19" s="156"/>
      <c r="S19" s="161"/>
      <c r="T19" s="366"/>
      <c r="U19" s="378"/>
      <c r="V19" s="158"/>
      <c r="W19" s="159"/>
      <c r="X19" s="158"/>
      <c r="Y19" s="158"/>
      <c r="Z19" s="114"/>
    </row>
    <row r="20" spans="1:26" ht="45.75" customHeight="1" x14ac:dyDescent="0.25">
      <c r="A20" s="121"/>
      <c r="B20" s="151" t="s">
        <v>59</v>
      </c>
      <c r="C20" s="162" t="s">
        <v>60</v>
      </c>
      <c r="D20" s="114"/>
      <c r="E20" s="163" t="s">
        <v>53</v>
      </c>
      <c r="F20" s="114"/>
      <c r="G20" s="163" t="s">
        <v>53</v>
      </c>
      <c r="H20" s="114"/>
      <c r="I20" s="164" t="s">
        <v>54</v>
      </c>
      <c r="J20" s="114"/>
      <c r="K20" s="165" t="s">
        <v>54</v>
      </c>
      <c r="L20" s="123"/>
      <c r="M20" s="122"/>
      <c r="N20" s="366"/>
      <c r="O20" s="371"/>
      <c r="P20" s="350"/>
      <c r="Q20" s="372"/>
      <c r="R20" s="156"/>
      <c r="S20" s="157"/>
      <c r="T20" s="367"/>
      <c r="U20" s="379"/>
      <c r="V20" s="158"/>
      <c r="W20" s="159"/>
      <c r="X20" s="158"/>
      <c r="Y20" s="158"/>
      <c r="Z20" s="122"/>
    </row>
    <row r="21" spans="1:26" ht="5.25" customHeight="1" x14ac:dyDescent="0.25">
      <c r="A21" s="121"/>
      <c r="B21" s="160"/>
      <c r="C21" s="121"/>
      <c r="D21" s="114"/>
      <c r="E21" s="114"/>
      <c r="F21" s="114"/>
      <c r="G21" s="114"/>
      <c r="H21" s="114"/>
      <c r="I21" s="114"/>
      <c r="J21" s="114"/>
      <c r="K21" s="149"/>
      <c r="L21" s="149"/>
      <c r="M21" s="114"/>
      <c r="N21" s="367"/>
      <c r="O21" s="373"/>
      <c r="P21" s="374"/>
      <c r="Q21" s="375"/>
      <c r="R21" s="156"/>
      <c r="S21" s="121"/>
      <c r="T21" s="376" t="s">
        <v>57</v>
      </c>
      <c r="U21" s="377" t="s">
        <v>61</v>
      </c>
      <c r="V21" s="158"/>
      <c r="W21" s="159"/>
      <c r="X21" s="158"/>
      <c r="Y21" s="158"/>
      <c r="Z21" s="114"/>
    </row>
    <row r="22" spans="1:26" ht="45.75" customHeight="1" x14ac:dyDescent="0.25">
      <c r="A22" s="121"/>
      <c r="B22" s="151" t="s">
        <v>62</v>
      </c>
      <c r="C22" s="166" t="s">
        <v>63</v>
      </c>
      <c r="D22" s="114"/>
      <c r="E22" s="167" t="s">
        <v>60</v>
      </c>
      <c r="F22" s="114"/>
      <c r="G22" s="163" t="s">
        <v>53</v>
      </c>
      <c r="H22" s="114"/>
      <c r="I22" s="164" t="s">
        <v>54</v>
      </c>
      <c r="J22" s="114"/>
      <c r="K22" s="165" t="s">
        <v>54</v>
      </c>
      <c r="L22" s="123"/>
      <c r="M22" s="122"/>
      <c r="N22" s="365" t="s">
        <v>64</v>
      </c>
      <c r="O22" s="368" t="s">
        <v>65</v>
      </c>
      <c r="P22" s="369"/>
      <c r="Q22" s="370"/>
      <c r="R22" s="156"/>
      <c r="S22" s="124"/>
      <c r="T22" s="366"/>
      <c r="U22" s="378"/>
      <c r="V22" s="158"/>
      <c r="W22" s="159"/>
      <c r="X22" s="158"/>
      <c r="Y22" s="158"/>
      <c r="Z22" s="122"/>
    </row>
    <row r="23" spans="1:26" ht="5.25" customHeight="1" x14ac:dyDescent="0.25">
      <c r="A23" s="121"/>
      <c r="B23" s="160"/>
      <c r="C23" s="121"/>
      <c r="D23" s="114"/>
      <c r="E23" s="114"/>
      <c r="F23" s="114"/>
      <c r="G23" s="114"/>
      <c r="H23" s="114"/>
      <c r="I23" s="114"/>
      <c r="J23" s="114"/>
      <c r="K23" s="149"/>
      <c r="L23" s="149"/>
      <c r="M23" s="114"/>
      <c r="N23" s="366"/>
      <c r="O23" s="371"/>
      <c r="P23" s="350"/>
      <c r="Q23" s="372"/>
      <c r="R23" s="156"/>
      <c r="S23" s="121"/>
      <c r="T23" s="366"/>
      <c r="U23" s="378"/>
      <c r="V23" s="158"/>
      <c r="W23" s="159"/>
      <c r="X23" s="158"/>
      <c r="Y23" s="158"/>
      <c r="Z23" s="114"/>
    </row>
    <row r="24" spans="1:26" ht="45.75" customHeight="1" x14ac:dyDescent="0.25">
      <c r="A24" s="121"/>
      <c r="B24" s="151" t="s">
        <v>66</v>
      </c>
      <c r="C24" s="166" t="s">
        <v>63</v>
      </c>
      <c r="D24" s="114"/>
      <c r="E24" s="168" t="s">
        <v>63</v>
      </c>
      <c r="F24" s="114"/>
      <c r="G24" s="167" t="s">
        <v>60</v>
      </c>
      <c r="H24" s="114"/>
      <c r="I24" s="163" t="s">
        <v>53</v>
      </c>
      <c r="J24" s="114"/>
      <c r="K24" s="165" t="s">
        <v>54</v>
      </c>
      <c r="L24" s="123"/>
      <c r="M24" s="122"/>
      <c r="N24" s="366"/>
      <c r="O24" s="371"/>
      <c r="P24" s="350"/>
      <c r="Q24" s="372"/>
      <c r="R24" s="156"/>
      <c r="S24" s="124"/>
      <c r="T24" s="366"/>
      <c r="U24" s="378"/>
      <c r="V24" s="158"/>
      <c r="W24" s="159"/>
      <c r="X24" s="158"/>
      <c r="Y24" s="158"/>
      <c r="Z24" s="122"/>
    </row>
    <row r="25" spans="1:26" ht="5.25" customHeight="1" x14ac:dyDescent="0.25">
      <c r="A25" s="121"/>
      <c r="B25" s="160"/>
      <c r="C25" s="121"/>
      <c r="D25" s="114"/>
      <c r="E25" s="114"/>
      <c r="F25" s="114"/>
      <c r="G25" s="114"/>
      <c r="H25" s="114"/>
      <c r="I25" s="114"/>
      <c r="J25" s="114"/>
      <c r="K25" s="149"/>
      <c r="L25" s="149"/>
      <c r="M25" s="114"/>
      <c r="N25" s="367"/>
      <c r="O25" s="373"/>
      <c r="P25" s="374"/>
      <c r="Q25" s="375"/>
      <c r="R25" s="156"/>
      <c r="S25" s="121"/>
      <c r="T25" s="366"/>
      <c r="U25" s="378"/>
      <c r="V25" s="114"/>
      <c r="W25" s="149"/>
      <c r="X25" s="114"/>
      <c r="Y25" s="114"/>
      <c r="Z25" s="114"/>
    </row>
    <row r="26" spans="1:26" ht="45.75" customHeight="1" thickBot="1" x14ac:dyDescent="0.3">
      <c r="A26" s="121"/>
      <c r="B26" s="151" t="s">
        <v>67</v>
      </c>
      <c r="C26" s="169" t="s">
        <v>63</v>
      </c>
      <c r="D26" s="144"/>
      <c r="E26" s="170" t="s">
        <v>63</v>
      </c>
      <c r="F26" s="144"/>
      <c r="G26" s="171" t="s">
        <v>60</v>
      </c>
      <c r="H26" s="144"/>
      <c r="I26" s="172" t="s">
        <v>53</v>
      </c>
      <c r="J26" s="144"/>
      <c r="K26" s="173" t="s">
        <v>53</v>
      </c>
      <c r="L26" s="123"/>
      <c r="M26" s="122"/>
      <c r="N26" s="365" t="s">
        <v>68</v>
      </c>
      <c r="O26" s="368" t="s">
        <v>69</v>
      </c>
      <c r="P26" s="369"/>
      <c r="Q26" s="370"/>
      <c r="R26" s="156"/>
      <c r="S26" s="124"/>
      <c r="T26" s="366"/>
      <c r="U26" s="378"/>
      <c r="V26" s="122"/>
      <c r="W26" s="123"/>
      <c r="X26" s="122"/>
      <c r="Y26" s="122"/>
      <c r="Z26" s="122"/>
    </row>
    <row r="27" spans="1:26" ht="33.75" customHeight="1" x14ac:dyDescent="0.25">
      <c r="A27" s="121"/>
      <c r="B27" s="114"/>
      <c r="C27" s="151" t="s">
        <v>70</v>
      </c>
      <c r="D27" s="160"/>
      <c r="E27" s="151" t="s">
        <v>71</v>
      </c>
      <c r="F27" s="160"/>
      <c r="G27" s="151" t="s">
        <v>72</v>
      </c>
      <c r="H27" s="160"/>
      <c r="I27" s="151" t="s">
        <v>73</v>
      </c>
      <c r="J27" s="160"/>
      <c r="K27" s="151" t="s">
        <v>74</v>
      </c>
      <c r="L27" s="149"/>
      <c r="M27" s="122"/>
      <c r="N27" s="367"/>
      <c r="O27" s="373"/>
      <c r="P27" s="374"/>
      <c r="Q27" s="375"/>
      <c r="R27" s="156"/>
      <c r="S27" s="124"/>
      <c r="T27" s="366"/>
      <c r="U27" s="378"/>
      <c r="V27" s="122"/>
      <c r="W27" s="123"/>
    </row>
    <row r="28" spans="1:26" ht="24.75" customHeight="1" x14ac:dyDescent="0.25">
      <c r="A28" s="121"/>
      <c r="B28" s="114"/>
      <c r="C28" s="114"/>
      <c r="D28" s="114"/>
      <c r="E28" s="114"/>
      <c r="F28" s="114"/>
      <c r="G28" s="114"/>
      <c r="H28" s="114"/>
      <c r="I28" s="114"/>
      <c r="J28" s="114"/>
      <c r="K28" s="114"/>
      <c r="L28" s="149"/>
      <c r="M28" s="122"/>
      <c r="N28" s="365" t="s">
        <v>75</v>
      </c>
      <c r="O28" s="368" t="s">
        <v>76</v>
      </c>
      <c r="P28" s="369"/>
      <c r="Q28" s="370"/>
      <c r="R28" s="156"/>
      <c r="S28" s="124"/>
      <c r="T28" s="367"/>
      <c r="U28" s="379"/>
      <c r="V28" s="122"/>
      <c r="W28" s="123"/>
    </row>
    <row r="29" spans="1:26" ht="15.75" customHeight="1" x14ac:dyDescent="0.25">
      <c r="A29" s="124"/>
      <c r="B29" s="122"/>
      <c r="C29" s="114"/>
      <c r="D29" s="114"/>
      <c r="E29" s="114"/>
      <c r="F29" s="114"/>
      <c r="G29" s="114"/>
      <c r="H29" s="114"/>
      <c r="I29" s="114"/>
      <c r="J29" s="114"/>
      <c r="K29" s="114"/>
      <c r="L29" s="149"/>
      <c r="M29" s="122"/>
      <c r="N29" s="366"/>
      <c r="O29" s="371"/>
      <c r="P29" s="350"/>
      <c r="Q29" s="372"/>
      <c r="R29" s="156"/>
      <c r="S29" s="124"/>
      <c r="T29" s="376" t="s">
        <v>77</v>
      </c>
      <c r="U29" s="377" t="s">
        <v>78</v>
      </c>
      <c r="V29" s="122"/>
      <c r="W29" s="123"/>
    </row>
    <row r="30" spans="1:26" ht="15.75" customHeight="1" x14ac:dyDescent="0.25">
      <c r="A30" s="124"/>
      <c r="B30" s="122"/>
      <c r="C30" s="122"/>
      <c r="D30" s="114"/>
      <c r="E30" s="122"/>
      <c r="F30" s="114"/>
      <c r="G30" s="122"/>
      <c r="H30" s="114"/>
      <c r="I30" s="122"/>
      <c r="J30" s="114"/>
      <c r="K30" s="122"/>
      <c r="L30" s="123"/>
      <c r="M30" s="122"/>
      <c r="N30" s="366"/>
      <c r="O30" s="371"/>
      <c r="P30" s="350"/>
      <c r="Q30" s="372"/>
      <c r="R30" s="156"/>
      <c r="S30" s="124"/>
      <c r="T30" s="366"/>
      <c r="U30" s="378"/>
      <c r="V30" s="122"/>
      <c r="W30" s="123"/>
    </row>
    <row r="31" spans="1:26" ht="15.75" customHeight="1" thickBot="1" x14ac:dyDescent="0.3">
      <c r="A31" s="124"/>
      <c r="B31" s="122"/>
      <c r="C31" s="122"/>
      <c r="D31" s="114"/>
      <c r="E31" s="122"/>
      <c r="F31" s="114"/>
      <c r="G31" s="122"/>
      <c r="H31" s="114"/>
      <c r="I31" s="122"/>
      <c r="J31" s="114"/>
      <c r="K31" s="122"/>
      <c r="L31" s="123"/>
      <c r="M31" s="122"/>
      <c r="N31" s="380"/>
      <c r="O31" s="381"/>
      <c r="P31" s="382"/>
      <c r="Q31" s="383"/>
      <c r="R31" s="156"/>
      <c r="S31" s="124"/>
      <c r="T31" s="380"/>
      <c r="U31" s="384"/>
      <c r="V31" s="122"/>
      <c r="W31" s="123"/>
    </row>
    <row r="32" spans="1:26" ht="15.75" customHeight="1" x14ac:dyDescent="0.25">
      <c r="A32" s="124"/>
      <c r="B32" s="122"/>
      <c r="C32" s="122"/>
      <c r="D32" s="114"/>
      <c r="E32" s="122"/>
      <c r="F32" s="114"/>
      <c r="G32" s="122"/>
      <c r="H32" s="114"/>
      <c r="I32" s="122"/>
      <c r="J32" s="114"/>
      <c r="K32" s="122"/>
      <c r="L32" s="123"/>
      <c r="M32" s="122"/>
      <c r="N32" s="122"/>
      <c r="O32" s="122"/>
      <c r="P32" s="122"/>
      <c r="Q32" s="122"/>
      <c r="R32" s="123"/>
      <c r="S32" s="124"/>
      <c r="T32" s="122"/>
      <c r="U32" s="122"/>
      <c r="V32" s="122"/>
      <c r="W32" s="123"/>
    </row>
    <row r="33" spans="1:23" ht="15.75" customHeight="1" x14ac:dyDescent="0.25">
      <c r="A33" s="124"/>
      <c r="B33" s="122"/>
      <c r="C33" s="122"/>
      <c r="D33" s="114"/>
      <c r="E33" s="122"/>
      <c r="F33" s="114"/>
      <c r="G33" s="122"/>
      <c r="H33" s="114"/>
      <c r="I33" s="122"/>
      <c r="J33" s="114"/>
      <c r="K33" s="122"/>
      <c r="L33" s="123"/>
      <c r="M33" s="122"/>
      <c r="N33" s="122"/>
      <c r="O33" s="122"/>
      <c r="P33" s="122"/>
      <c r="Q33" s="122"/>
      <c r="R33" s="123"/>
      <c r="S33" s="124"/>
      <c r="T33" s="122"/>
      <c r="U33" s="122"/>
      <c r="V33" s="122"/>
      <c r="W33" s="123"/>
    </row>
    <row r="34" spans="1:23" ht="15.75" customHeight="1" x14ac:dyDescent="0.25">
      <c r="A34" s="124"/>
      <c r="B34" s="122"/>
      <c r="C34" s="122"/>
      <c r="D34" s="114"/>
      <c r="E34" s="122"/>
      <c r="F34" s="114"/>
      <c r="G34" s="122"/>
      <c r="H34" s="114"/>
      <c r="I34" s="122"/>
      <c r="J34" s="114"/>
      <c r="K34" s="122"/>
      <c r="L34" s="123"/>
      <c r="M34" s="122"/>
      <c r="N34" s="122"/>
      <c r="O34" s="122"/>
      <c r="P34" s="122"/>
      <c r="Q34" s="122"/>
      <c r="R34" s="123"/>
      <c r="S34" s="124"/>
      <c r="T34" s="122"/>
      <c r="U34" s="122"/>
      <c r="V34" s="122"/>
      <c r="W34" s="123"/>
    </row>
    <row r="35" spans="1:23" ht="15.75" customHeight="1" x14ac:dyDescent="0.25">
      <c r="A35" s="124"/>
      <c r="B35" s="122"/>
      <c r="C35" s="122"/>
      <c r="D35" s="114"/>
      <c r="E35" s="122"/>
      <c r="F35" s="114"/>
      <c r="G35" s="122"/>
      <c r="H35" s="114"/>
      <c r="I35" s="122"/>
      <c r="J35" s="114"/>
      <c r="K35" s="122"/>
      <c r="L35" s="123"/>
      <c r="M35" s="122"/>
      <c r="N35" s="122"/>
      <c r="O35" s="122"/>
      <c r="P35" s="122"/>
      <c r="Q35" s="122"/>
      <c r="R35" s="123"/>
      <c r="S35" s="124"/>
      <c r="T35" s="122"/>
      <c r="U35" s="122"/>
      <c r="V35" s="122"/>
      <c r="W35" s="123"/>
    </row>
    <row r="36" spans="1:23" ht="15.75" customHeight="1" thickBot="1" x14ac:dyDescent="0.3">
      <c r="A36" s="147"/>
      <c r="B36" s="145"/>
      <c r="C36" s="145"/>
      <c r="D36" s="144"/>
      <c r="E36" s="145"/>
      <c r="F36" s="144"/>
      <c r="G36" s="145"/>
      <c r="H36" s="144"/>
      <c r="I36" s="145"/>
      <c r="J36" s="144"/>
      <c r="K36" s="145"/>
      <c r="L36" s="146"/>
      <c r="M36" s="145"/>
      <c r="N36" s="145"/>
      <c r="O36" s="145"/>
      <c r="P36" s="145"/>
      <c r="Q36" s="145"/>
      <c r="R36" s="146"/>
      <c r="S36" s="147"/>
      <c r="T36" s="145"/>
      <c r="U36" s="145"/>
      <c r="V36" s="145"/>
      <c r="W36" s="146"/>
    </row>
    <row r="37" spans="1:23" ht="15.75" customHeight="1" x14ac:dyDescent="0.25">
      <c r="A37" s="119"/>
      <c r="B37" s="117"/>
      <c r="C37" s="117"/>
      <c r="D37" s="116"/>
      <c r="E37" s="117"/>
      <c r="F37" s="116"/>
      <c r="G37" s="117"/>
      <c r="H37" s="116"/>
      <c r="I37" s="117"/>
      <c r="J37" s="116"/>
      <c r="K37" s="117"/>
      <c r="L37" s="118"/>
      <c r="M37" s="119"/>
      <c r="N37" s="117"/>
      <c r="O37" s="117"/>
      <c r="P37" s="117"/>
      <c r="Q37" s="117"/>
      <c r="R37" s="118"/>
    </row>
    <row r="38" spans="1:23" ht="15.75" customHeight="1" thickBot="1" x14ac:dyDescent="0.3">
      <c r="A38" s="124"/>
      <c r="B38" s="122"/>
      <c r="C38" s="122"/>
      <c r="D38" s="114"/>
      <c r="E38" s="122"/>
      <c r="F38" s="114"/>
      <c r="G38" s="122"/>
      <c r="H38" s="114"/>
      <c r="I38" s="122"/>
      <c r="J38" s="114"/>
      <c r="K38" s="122"/>
      <c r="L38" s="123"/>
      <c r="M38" s="124"/>
      <c r="N38" s="122"/>
      <c r="O38" s="122"/>
      <c r="P38" s="122"/>
      <c r="Q38" s="122"/>
      <c r="R38" s="123"/>
    </row>
    <row r="39" spans="1:23" ht="15.75" customHeight="1" x14ac:dyDescent="0.25">
      <c r="A39" s="124"/>
      <c r="B39" s="358" t="s">
        <v>79</v>
      </c>
      <c r="C39" s="359"/>
      <c r="D39" s="360" t="s">
        <v>5</v>
      </c>
      <c r="E39" s="361"/>
      <c r="F39" s="361"/>
      <c r="G39" s="361"/>
      <c r="H39" s="361"/>
      <c r="I39" s="361"/>
      <c r="J39" s="361"/>
      <c r="K39" s="362"/>
      <c r="L39" s="123"/>
      <c r="M39" s="124"/>
      <c r="N39" s="363" t="s">
        <v>80</v>
      </c>
      <c r="O39" s="361"/>
      <c r="P39" s="362"/>
      <c r="Q39" s="174"/>
      <c r="R39" s="123"/>
    </row>
    <row r="40" spans="1:23" ht="110.25" customHeight="1" x14ac:dyDescent="0.25">
      <c r="A40" s="124"/>
      <c r="B40" s="352" t="s">
        <v>81</v>
      </c>
      <c r="C40" s="353"/>
      <c r="D40" s="354" t="s">
        <v>82</v>
      </c>
      <c r="E40" s="355"/>
      <c r="F40" s="355"/>
      <c r="G40" s="355"/>
      <c r="H40" s="355"/>
      <c r="I40" s="355"/>
      <c r="J40" s="355"/>
      <c r="K40" s="348"/>
      <c r="L40" s="123"/>
      <c r="M40" s="124"/>
      <c r="N40" s="175" t="s">
        <v>83</v>
      </c>
      <c r="O40" s="364" t="s">
        <v>84</v>
      </c>
      <c r="P40" s="348"/>
      <c r="Q40" s="122"/>
      <c r="R40" s="123"/>
    </row>
    <row r="41" spans="1:23" ht="62.25" customHeight="1" x14ac:dyDescent="0.25">
      <c r="A41" s="124"/>
      <c r="B41" s="352" t="s">
        <v>85</v>
      </c>
      <c r="C41" s="353"/>
      <c r="D41" s="354" t="s">
        <v>86</v>
      </c>
      <c r="E41" s="355"/>
      <c r="F41" s="355"/>
      <c r="G41" s="355"/>
      <c r="H41" s="355"/>
      <c r="I41" s="355"/>
      <c r="J41" s="355"/>
      <c r="K41" s="348"/>
      <c r="L41" s="123"/>
      <c r="M41" s="124"/>
      <c r="N41" s="176" t="s">
        <v>87</v>
      </c>
      <c r="O41" s="347" t="s">
        <v>88</v>
      </c>
      <c r="P41" s="348"/>
      <c r="Q41" s="122"/>
      <c r="R41" s="123"/>
    </row>
    <row r="42" spans="1:23" ht="78" customHeight="1" x14ac:dyDescent="0.25">
      <c r="A42" s="124"/>
      <c r="B42" s="352" t="s">
        <v>89</v>
      </c>
      <c r="C42" s="353"/>
      <c r="D42" s="354" t="s">
        <v>90</v>
      </c>
      <c r="E42" s="356"/>
      <c r="F42" s="356"/>
      <c r="G42" s="356"/>
      <c r="H42" s="356"/>
      <c r="I42" s="356"/>
      <c r="J42" s="356"/>
      <c r="K42" s="357"/>
      <c r="L42" s="123"/>
      <c r="M42" s="124"/>
      <c r="N42" s="176" t="s">
        <v>60</v>
      </c>
      <c r="O42" s="347" t="s">
        <v>91</v>
      </c>
      <c r="P42" s="348"/>
      <c r="Q42" s="122"/>
      <c r="R42" s="123"/>
    </row>
    <row r="43" spans="1:23" ht="75.75" customHeight="1" thickBot="1" x14ac:dyDescent="0.3">
      <c r="A43" s="124"/>
      <c r="B43" s="342" t="s">
        <v>92</v>
      </c>
      <c r="C43" s="343"/>
      <c r="D43" s="344" t="s">
        <v>93</v>
      </c>
      <c r="E43" s="345"/>
      <c r="F43" s="345"/>
      <c r="G43" s="345"/>
      <c r="H43" s="345"/>
      <c r="I43" s="345"/>
      <c r="J43" s="345"/>
      <c r="K43" s="346"/>
      <c r="L43" s="123"/>
      <c r="M43" s="124"/>
      <c r="N43" s="176" t="s">
        <v>94</v>
      </c>
      <c r="O43" s="347" t="s">
        <v>95</v>
      </c>
      <c r="P43" s="348"/>
      <c r="Q43" s="122"/>
      <c r="R43" s="123"/>
    </row>
    <row r="44" spans="1:23" ht="32.25" customHeight="1" thickBot="1" x14ac:dyDescent="0.3">
      <c r="A44" s="124"/>
      <c r="B44" s="349"/>
      <c r="C44" s="350"/>
      <c r="D44" s="340"/>
      <c r="E44" s="341"/>
      <c r="F44" s="341"/>
      <c r="G44" s="341"/>
      <c r="H44" s="341"/>
      <c r="I44" s="341"/>
      <c r="J44" s="341"/>
      <c r="K44" s="341"/>
      <c r="L44" s="123"/>
      <c r="M44" s="124"/>
      <c r="N44" s="177" t="s">
        <v>96</v>
      </c>
      <c r="O44" s="351" t="s">
        <v>97</v>
      </c>
      <c r="P44" s="346"/>
      <c r="Q44" s="122"/>
      <c r="R44" s="123"/>
    </row>
    <row r="45" spans="1:23" ht="15.75" customHeight="1" x14ac:dyDescent="0.25">
      <c r="A45" s="124"/>
      <c r="B45" s="122"/>
      <c r="C45" s="122"/>
      <c r="D45" s="340"/>
      <c r="E45" s="341"/>
      <c r="F45" s="341"/>
      <c r="G45" s="341"/>
      <c r="H45" s="341"/>
      <c r="I45" s="341"/>
      <c r="J45" s="341"/>
      <c r="K45" s="341"/>
      <c r="L45" s="123"/>
      <c r="M45" s="124"/>
      <c r="N45" s="122"/>
      <c r="O45" s="122"/>
      <c r="P45" s="122"/>
      <c r="Q45" s="122"/>
      <c r="R45" s="123"/>
    </row>
    <row r="46" spans="1:23" ht="15.75" customHeight="1" x14ac:dyDescent="0.25">
      <c r="A46" s="124"/>
      <c r="B46" s="122"/>
      <c r="C46" s="122"/>
      <c r="D46" s="340"/>
      <c r="E46" s="341"/>
      <c r="F46" s="341"/>
      <c r="G46" s="341"/>
      <c r="H46" s="341"/>
      <c r="I46" s="341"/>
      <c r="J46" s="341"/>
      <c r="K46" s="341"/>
      <c r="L46" s="123"/>
      <c r="M46" s="124"/>
      <c r="N46" s="122"/>
      <c r="O46" s="122"/>
      <c r="P46" s="122"/>
      <c r="Q46" s="122"/>
      <c r="R46" s="123"/>
    </row>
    <row r="47" spans="1:23" ht="15.75" customHeight="1" x14ac:dyDescent="0.25">
      <c r="A47" s="124"/>
      <c r="B47" s="122"/>
      <c r="C47" s="122"/>
      <c r="D47" s="114"/>
      <c r="E47" s="122"/>
      <c r="F47" s="114"/>
      <c r="G47" s="122"/>
      <c r="H47" s="114"/>
      <c r="I47" s="122"/>
      <c r="J47" s="114"/>
      <c r="K47" s="122"/>
      <c r="L47" s="123"/>
      <c r="M47" s="124"/>
      <c r="N47" s="122"/>
      <c r="O47" s="122"/>
      <c r="P47" s="122"/>
      <c r="Q47" s="122"/>
      <c r="R47" s="123"/>
    </row>
    <row r="48" spans="1:23" ht="15.75" customHeight="1" thickBot="1" x14ac:dyDescent="0.3">
      <c r="A48" s="147"/>
      <c r="B48" s="145"/>
      <c r="C48" s="145"/>
      <c r="D48" s="144"/>
      <c r="E48" s="145"/>
      <c r="F48" s="144"/>
      <c r="G48" s="145"/>
      <c r="H48" s="144"/>
      <c r="I48" s="145"/>
      <c r="J48" s="144"/>
      <c r="K48" s="145"/>
      <c r="L48" s="146"/>
      <c r="M48" s="147"/>
      <c r="N48" s="145"/>
      <c r="O48" s="178"/>
      <c r="P48" s="145"/>
      <c r="Q48" s="145"/>
      <c r="R48" s="146"/>
    </row>
    <row r="49" spans="2:17" ht="15.75" customHeight="1" x14ac:dyDescent="0.25">
      <c r="D49" s="114"/>
      <c r="F49" s="114"/>
      <c r="H49" s="114"/>
      <c r="J49" s="114"/>
      <c r="O49" s="179"/>
    </row>
    <row r="50" spans="2:17" ht="15.75" customHeight="1" x14ac:dyDescent="0.25">
      <c r="D50" s="114"/>
      <c r="F50" s="114"/>
      <c r="H50" s="114"/>
      <c r="J50" s="114"/>
      <c r="O50" s="179"/>
    </row>
    <row r="51" spans="2:17" ht="15.75" customHeight="1" x14ac:dyDescent="0.25">
      <c r="D51" s="114"/>
      <c r="F51" s="114"/>
      <c r="H51" s="114"/>
      <c r="J51" s="114"/>
      <c r="O51" s="179"/>
    </row>
    <row r="52" spans="2:17" ht="15.75" customHeight="1" x14ac:dyDescent="0.25">
      <c r="D52" s="114"/>
      <c r="F52" s="114"/>
      <c r="H52" s="114"/>
      <c r="J52" s="114"/>
      <c r="O52" s="180"/>
    </row>
    <row r="53" spans="2:17" ht="15.75" customHeight="1" x14ac:dyDescent="0.25">
      <c r="D53" s="114"/>
      <c r="F53" s="114"/>
      <c r="H53" s="114"/>
      <c r="J53" s="114"/>
      <c r="O53" s="122"/>
    </row>
    <row r="54" spans="2:17" ht="15.75" customHeight="1" x14ac:dyDescent="0.25">
      <c r="B54" s="181" t="s">
        <v>98</v>
      </c>
      <c r="D54" s="114"/>
      <c r="F54" s="114"/>
      <c r="H54" s="114"/>
      <c r="I54" s="181" t="s">
        <v>99</v>
      </c>
      <c r="J54" s="114"/>
      <c r="M54" s="181" t="s">
        <v>100</v>
      </c>
      <c r="P54" s="181" t="s">
        <v>101</v>
      </c>
      <c r="Q54" s="181" t="s">
        <v>102</v>
      </c>
    </row>
    <row r="55" spans="2:17" ht="15.75" customHeight="1" x14ac:dyDescent="0.25">
      <c r="B55" s="113" t="s">
        <v>103</v>
      </c>
      <c r="D55" s="114"/>
      <c r="F55" s="114"/>
      <c r="H55" s="114"/>
      <c r="I55" s="182" t="s">
        <v>104</v>
      </c>
      <c r="J55" s="114"/>
      <c r="M55" s="113" t="s">
        <v>105</v>
      </c>
      <c r="P55" s="113" t="s">
        <v>106</v>
      </c>
      <c r="Q55" s="113" t="s">
        <v>107</v>
      </c>
    </row>
    <row r="56" spans="2:17" ht="15.75" customHeight="1" x14ac:dyDescent="0.25">
      <c r="B56" s="113" t="s">
        <v>108</v>
      </c>
      <c r="D56" s="114"/>
      <c r="F56" s="114"/>
      <c r="H56" s="114"/>
      <c r="I56" s="182" t="s">
        <v>109</v>
      </c>
      <c r="J56" s="114"/>
      <c r="M56" s="113" t="s">
        <v>110</v>
      </c>
      <c r="P56" s="113" t="s">
        <v>111</v>
      </c>
      <c r="Q56" s="113" t="s">
        <v>112</v>
      </c>
    </row>
    <row r="57" spans="2:17" ht="15.75" customHeight="1" x14ac:dyDescent="0.25">
      <c r="B57" s="113" t="s">
        <v>113</v>
      </c>
      <c r="D57" s="114"/>
      <c r="F57" s="114"/>
      <c r="H57" s="114"/>
      <c r="I57" s="182" t="s">
        <v>114</v>
      </c>
      <c r="J57" s="114"/>
    </row>
    <row r="58" spans="2:17" ht="15.75" customHeight="1" x14ac:dyDescent="0.25">
      <c r="D58" s="114"/>
      <c r="F58" s="114"/>
      <c r="H58" s="114"/>
      <c r="I58" s="182" t="s">
        <v>115</v>
      </c>
      <c r="J58" s="114"/>
    </row>
    <row r="59" spans="2:17" ht="15.75" customHeight="1" x14ac:dyDescent="0.25">
      <c r="D59" s="114"/>
      <c r="F59" s="114"/>
      <c r="H59" s="114"/>
      <c r="I59" s="182" t="s">
        <v>116</v>
      </c>
      <c r="J59" s="114"/>
    </row>
    <row r="60" spans="2:17" ht="15.75" customHeight="1" x14ac:dyDescent="0.25">
      <c r="D60" s="114"/>
      <c r="F60" s="114"/>
      <c r="H60" s="114"/>
      <c r="I60" s="182" t="s">
        <v>117</v>
      </c>
      <c r="J60" s="114"/>
    </row>
    <row r="61" spans="2:17" ht="15.75" customHeight="1" x14ac:dyDescent="0.25">
      <c r="D61" s="114"/>
      <c r="F61" s="114"/>
      <c r="H61" s="114"/>
      <c r="I61" s="182" t="s">
        <v>118</v>
      </c>
      <c r="J61" s="114"/>
    </row>
    <row r="62" spans="2:17" ht="15.75" customHeight="1" x14ac:dyDescent="0.25">
      <c r="D62" s="114"/>
      <c r="F62" s="114"/>
      <c r="H62" s="114"/>
      <c r="J62" s="114"/>
    </row>
    <row r="63" spans="2:17" ht="15.75" customHeight="1" x14ac:dyDescent="0.25">
      <c r="D63" s="114"/>
      <c r="F63" s="114"/>
      <c r="H63" s="114"/>
      <c r="J63" s="114"/>
    </row>
    <row r="64" spans="2:17" ht="15.75" customHeight="1" x14ac:dyDescent="0.25">
      <c r="D64" s="114"/>
      <c r="F64" s="114"/>
      <c r="H64" s="114"/>
      <c r="J64" s="114"/>
    </row>
    <row r="65" spans="4:10" ht="15.75" customHeight="1" x14ac:dyDescent="0.25">
      <c r="D65" s="114"/>
      <c r="F65" s="114"/>
      <c r="H65" s="114"/>
      <c r="J65" s="114"/>
    </row>
    <row r="66" spans="4:10" ht="15.75" customHeight="1" x14ac:dyDescent="0.25">
      <c r="D66" s="114"/>
      <c r="F66" s="114"/>
      <c r="H66" s="114"/>
      <c r="J66" s="114"/>
    </row>
    <row r="67" spans="4:10" ht="15.75" customHeight="1" x14ac:dyDescent="0.25">
      <c r="D67" s="114"/>
      <c r="F67" s="114"/>
      <c r="H67" s="114"/>
      <c r="J67" s="114"/>
    </row>
    <row r="68" spans="4:10" ht="15.75" customHeight="1" x14ac:dyDescent="0.25">
      <c r="D68" s="114"/>
      <c r="F68" s="114"/>
      <c r="H68" s="114"/>
      <c r="J68" s="114"/>
    </row>
    <row r="69" spans="4:10" ht="15.75" customHeight="1" x14ac:dyDescent="0.25">
      <c r="D69" s="114"/>
      <c r="F69" s="114"/>
      <c r="H69" s="114"/>
      <c r="J69" s="114"/>
    </row>
    <row r="70" spans="4:10" ht="15.75" customHeight="1" x14ac:dyDescent="0.25">
      <c r="D70" s="114"/>
      <c r="F70" s="114"/>
      <c r="H70" s="114"/>
      <c r="J70" s="114"/>
    </row>
    <row r="71" spans="4:10" ht="15.75" customHeight="1" x14ac:dyDescent="0.25">
      <c r="D71" s="114"/>
      <c r="F71" s="114"/>
      <c r="H71" s="114"/>
      <c r="J71" s="114"/>
    </row>
    <row r="72" spans="4:10" ht="15.75" customHeight="1" x14ac:dyDescent="0.25">
      <c r="D72" s="114"/>
      <c r="F72" s="114"/>
      <c r="H72" s="114"/>
      <c r="J72" s="114"/>
    </row>
    <row r="73" spans="4:10" ht="15.75" customHeight="1" x14ac:dyDescent="0.25">
      <c r="D73" s="114"/>
      <c r="F73" s="114"/>
      <c r="H73" s="114"/>
      <c r="J73" s="114"/>
    </row>
    <row r="74" spans="4:10" ht="15.75" customHeight="1" x14ac:dyDescent="0.25">
      <c r="D74" s="114"/>
      <c r="F74" s="114"/>
      <c r="H74" s="114"/>
      <c r="J74" s="114"/>
    </row>
    <row r="75" spans="4:10" ht="15.75" customHeight="1" x14ac:dyDescent="0.25">
      <c r="D75" s="114"/>
      <c r="F75" s="114"/>
      <c r="H75" s="114"/>
      <c r="J75" s="114"/>
    </row>
    <row r="76" spans="4:10" ht="15.75" customHeight="1" x14ac:dyDescent="0.25">
      <c r="D76" s="114"/>
      <c r="F76" s="114"/>
      <c r="H76" s="114"/>
      <c r="J76" s="114"/>
    </row>
    <row r="77" spans="4:10" ht="15.75" customHeight="1" x14ac:dyDescent="0.25">
      <c r="D77" s="114"/>
      <c r="F77" s="114"/>
      <c r="H77" s="114"/>
      <c r="J77" s="114"/>
    </row>
    <row r="78" spans="4:10" ht="15.75" customHeight="1" x14ac:dyDescent="0.25">
      <c r="D78" s="114"/>
      <c r="F78" s="114"/>
      <c r="H78" s="114"/>
      <c r="J78" s="114"/>
    </row>
    <row r="79" spans="4:10" ht="15.75" customHeight="1" x14ac:dyDescent="0.25">
      <c r="D79" s="114"/>
      <c r="F79" s="114"/>
      <c r="H79" s="114"/>
      <c r="J79" s="114"/>
    </row>
    <row r="80" spans="4:10" ht="15.75" customHeight="1" x14ac:dyDescent="0.25">
      <c r="D80" s="114"/>
      <c r="F80" s="114"/>
      <c r="H80" s="114"/>
      <c r="J80" s="114"/>
    </row>
    <row r="81" spans="4:10" ht="15.75" customHeight="1" x14ac:dyDescent="0.25">
      <c r="D81" s="114"/>
      <c r="F81" s="114"/>
      <c r="H81" s="114"/>
      <c r="J81" s="114"/>
    </row>
    <row r="82" spans="4:10" ht="15.75" customHeight="1" x14ac:dyDescent="0.25">
      <c r="D82" s="114"/>
      <c r="F82" s="114"/>
      <c r="H82" s="114"/>
      <c r="J82" s="114"/>
    </row>
    <row r="83" spans="4:10" ht="15.75" customHeight="1" x14ac:dyDescent="0.25">
      <c r="D83" s="114"/>
      <c r="F83" s="114"/>
      <c r="H83" s="114"/>
      <c r="J83" s="114"/>
    </row>
    <row r="84" spans="4:10" ht="15.75" customHeight="1" x14ac:dyDescent="0.25">
      <c r="D84" s="114"/>
      <c r="F84" s="114"/>
      <c r="H84" s="114"/>
      <c r="J84" s="114"/>
    </row>
    <row r="85" spans="4:10" ht="15.75" customHeight="1" x14ac:dyDescent="0.25">
      <c r="D85" s="114"/>
      <c r="F85" s="114"/>
      <c r="H85" s="114"/>
      <c r="J85" s="114"/>
    </row>
    <row r="86" spans="4:10" ht="15.75" customHeight="1" x14ac:dyDescent="0.25">
      <c r="D86" s="114"/>
      <c r="F86" s="114"/>
      <c r="H86" s="114"/>
      <c r="J86" s="114"/>
    </row>
    <row r="87" spans="4:10" ht="15.75" customHeight="1" x14ac:dyDescent="0.25">
      <c r="D87" s="114"/>
      <c r="F87" s="114"/>
      <c r="H87" s="114"/>
      <c r="J87" s="114"/>
    </row>
    <row r="88" spans="4:10" ht="15.75" customHeight="1" x14ac:dyDescent="0.25">
      <c r="D88" s="114"/>
      <c r="F88" s="114"/>
      <c r="H88" s="114"/>
      <c r="J88" s="114"/>
    </row>
    <row r="89" spans="4:10" ht="15.75" customHeight="1" x14ac:dyDescent="0.25">
      <c r="D89" s="114"/>
      <c r="F89" s="114"/>
      <c r="H89" s="114"/>
      <c r="J89" s="114"/>
    </row>
    <row r="90" spans="4:10" ht="15.75" customHeight="1" x14ac:dyDescent="0.25">
      <c r="D90" s="114"/>
      <c r="F90" s="114"/>
      <c r="H90" s="114"/>
      <c r="J90" s="114"/>
    </row>
    <row r="91" spans="4:10" ht="15.75" customHeight="1" x14ac:dyDescent="0.25">
      <c r="D91" s="114"/>
      <c r="F91" s="114"/>
      <c r="H91" s="114"/>
      <c r="J91" s="114"/>
    </row>
    <row r="92" spans="4:10" ht="15.75" customHeight="1" x14ac:dyDescent="0.25">
      <c r="D92" s="114"/>
      <c r="F92" s="114"/>
      <c r="H92" s="114"/>
      <c r="J92" s="114"/>
    </row>
    <row r="93" spans="4:10" ht="15.75" customHeight="1" x14ac:dyDescent="0.25">
      <c r="D93" s="114"/>
      <c r="F93" s="114"/>
      <c r="H93" s="114"/>
      <c r="J93" s="114"/>
    </row>
    <row r="94" spans="4:10" ht="15.75" customHeight="1" x14ac:dyDescent="0.25">
      <c r="D94" s="114"/>
      <c r="F94" s="114"/>
      <c r="H94" s="114"/>
      <c r="J94" s="114"/>
    </row>
    <row r="95" spans="4:10" ht="15.75" customHeight="1" x14ac:dyDescent="0.25">
      <c r="D95" s="114"/>
      <c r="F95" s="114"/>
      <c r="H95" s="114"/>
      <c r="J95" s="114"/>
    </row>
    <row r="96" spans="4:10" ht="15.75" customHeight="1" x14ac:dyDescent="0.25">
      <c r="D96" s="114"/>
      <c r="F96" s="114"/>
      <c r="H96" s="114"/>
      <c r="J96" s="114"/>
    </row>
    <row r="97" spans="4:10" ht="15.75" customHeight="1" x14ac:dyDescent="0.25">
      <c r="D97" s="114"/>
      <c r="F97" s="114"/>
      <c r="H97" s="114"/>
      <c r="J97" s="114"/>
    </row>
    <row r="98" spans="4:10" ht="15.75" customHeight="1" x14ac:dyDescent="0.25">
      <c r="D98" s="114"/>
      <c r="F98" s="114"/>
      <c r="H98" s="114"/>
      <c r="J98" s="114"/>
    </row>
    <row r="99" spans="4:10" ht="15.75" customHeight="1" x14ac:dyDescent="0.25">
      <c r="D99" s="114"/>
      <c r="F99" s="114"/>
      <c r="H99" s="114"/>
      <c r="J99" s="114"/>
    </row>
    <row r="100" spans="4:10" ht="15.75" customHeight="1" x14ac:dyDescent="0.25">
      <c r="D100" s="114"/>
      <c r="F100" s="114"/>
      <c r="H100" s="114"/>
      <c r="J100" s="114"/>
    </row>
    <row r="101" spans="4:10" ht="15.75" customHeight="1" x14ac:dyDescent="0.25">
      <c r="D101" s="114"/>
      <c r="F101" s="114"/>
      <c r="H101" s="114"/>
      <c r="J101" s="114"/>
    </row>
    <row r="102" spans="4:10" ht="15.75" customHeight="1" x14ac:dyDescent="0.25">
      <c r="D102" s="114"/>
      <c r="F102" s="114"/>
      <c r="H102" s="114"/>
      <c r="J102" s="114"/>
    </row>
    <row r="103" spans="4:10" ht="15.75" customHeight="1" x14ac:dyDescent="0.25">
      <c r="D103" s="114"/>
      <c r="F103" s="114"/>
      <c r="H103" s="114"/>
      <c r="J103" s="114"/>
    </row>
    <row r="104" spans="4:10" ht="15.75" customHeight="1" x14ac:dyDescent="0.25">
      <c r="D104" s="114"/>
      <c r="F104" s="114"/>
      <c r="H104" s="114"/>
      <c r="J104" s="114"/>
    </row>
    <row r="105" spans="4:10" ht="15.75" customHeight="1" x14ac:dyDescent="0.25">
      <c r="D105" s="114"/>
      <c r="F105" s="114"/>
      <c r="H105" s="114"/>
      <c r="J105" s="114"/>
    </row>
    <row r="106" spans="4:10" ht="15.75" customHeight="1" x14ac:dyDescent="0.25">
      <c r="D106" s="114"/>
      <c r="F106" s="114"/>
      <c r="H106" s="114"/>
      <c r="J106" s="114"/>
    </row>
    <row r="107" spans="4:10" ht="15.75" customHeight="1" x14ac:dyDescent="0.25">
      <c r="D107" s="114"/>
      <c r="F107" s="114"/>
      <c r="H107" s="114"/>
      <c r="J107" s="114"/>
    </row>
    <row r="108" spans="4:10" ht="15.75" customHeight="1" x14ac:dyDescent="0.25">
      <c r="D108" s="114"/>
      <c r="F108" s="114"/>
      <c r="H108" s="114"/>
      <c r="J108" s="114"/>
    </row>
    <row r="109" spans="4:10" ht="15.75" customHeight="1" x14ac:dyDescent="0.25">
      <c r="D109" s="114"/>
      <c r="F109" s="114"/>
      <c r="H109" s="114"/>
      <c r="J109" s="114"/>
    </row>
    <row r="110" spans="4:10" ht="15.75" customHeight="1" x14ac:dyDescent="0.25">
      <c r="D110" s="114"/>
      <c r="F110" s="114"/>
      <c r="H110" s="114"/>
      <c r="J110" s="114"/>
    </row>
    <row r="111" spans="4:10" ht="15.75" customHeight="1" x14ac:dyDescent="0.25">
      <c r="D111" s="114"/>
      <c r="F111" s="114"/>
      <c r="H111" s="114"/>
      <c r="J111" s="114"/>
    </row>
    <row r="112" spans="4:10" ht="15.75" customHeight="1" x14ac:dyDescent="0.25">
      <c r="D112" s="114"/>
      <c r="F112" s="114"/>
      <c r="H112" s="114"/>
      <c r="J112" s="114"/>
    </row>
    <row r="113" spans="4:10" ht="15.75" customHeight="1" x14ac:dyDescent="0.25">
      <c r="D113" s="114"/>
      <c r="F113" s="114"/>
      <c r="H113" s="114"/>
      <c r="J113" s="114"/>
    </row>
    <row r="114" spans="4:10" ht="15.75" customHeight="1" x14ac:dyDescent="0.25">
      <c r="D114" s="114"/>
      <c r="F114" s="114"/>
      <c r="H114" s="114"/>
      <c r="J114" s="114"/>
    </row>
    <row r="115" spans="4:10" ht="15.75" customHeight="1" x14ac:dyDescent="0.25">
      <c r="D115" s="114"/>
      <c r="F115" s="114"/>
      <c r="H115" s="114"/>
      <c r="J115" s="114"/>
    </row>
    <row r="116" spans="4:10" ht="15.75" customHeight="1" x14ac:dyDescent="0.25">
      <c r="D116" s="114"/>
      <c r="F116" s="114"/>
      <c r="H116" s="114"/>
      <c r="J116" s="114"/>
    </row>
    <row r="117" spans="4:10" ht="15.75" customHeight="1" x14ac:dyDescent="0.25">
      <c r="D117" s="114"/>
      <c r="F117" s="114"/>
      <c r="H117" s="114"/>
      <c r="J117" s="114"/>
    </row>
    <row r="118" spans="4:10" ht="15.75" customHeight="1" x14ac:dyDescent="0.25">
      <c r="D118" s="114"/>
      <c r="F118" s="114"/>
      <c r="H118" s="114"/>
      <c r="J118" s="114"/>
    </row>
    <row r="119" spans="4:10" ht="15.75" customHeight="1" x14ac:dyDescent="0.25">
      <c r="D119" s="114"/>
      <c r="F119" s="114"/>
      <c r="H119" s="114"/>
      <c r="J119" s="114"/>
    </row>
    <row r="120" spans="4:10" ht="15.75" customHeight="1" x14ac:dyDescent="0.25">
      <c r="D120" s="114"/>
      <c r="F120" s="114"/>
      <c r="H120" s="114"/>
      <c r="J120" s="114"/>
    </row>
    <row r="121" spans="4:10" ht="15.75" customHeight="1" x14ac:dyDescent="0.25">
      <c r="D121" s="114"/>
      <c r="F121" s="114"/>
      <c r="H121" s="114"/>
      <c r="J121" s="114"/>
    </row>
    <row r="122" spans="4:10" ht="15.75" customHeight="1" x14ac:dyDescent="0.25">
      <c r="D122" s="114"/>
      <c r="F122" s="114"/>
      <c r="H122" s="114"/>
      <c r="J122" s="114"/>
    </row>
    <row r="123" spans="4:10" ht="15.75" customHeight="1" x14ac:dyDescent="0.25">
      <c r="D123" s="114"/>
      <c r="F123" s="114"/>
      <c r="H123" s="114"/>
      <c r="J123" s="114"/>
    </row>
    <row r="124" spans="4:10" ht="15.75" customHeight="1" x14ac:dyDescent="0.25">
      <c r="D124" s="114"/>
      <c r="F124" s="114"/>
      <c r="H124" s="114"/>
      <c r="J124" s="114"/>
    </row>
    <row r="125" spans="4:10" ht="15.75" customHeight="1" x14ac:dyDescent="0.25">
      <c r="D125" s="114"/>
      <c r="F125" s="114"/>
      <c r="H125" s="114"/>
      <c r="J125" s="114"/>
    </row>
    <row r="126" spans="4:10" ht="15.75" customHeight="1" x14ac:dyDescent="0.25">
      <c r="D126" s="114"/>
      <c r="F126" s="114"/>
      <c r="H126" s="114"/>
      <c r="J126" s="114"/>
    </row>
    <row r="127" spans="4:10" ht="15.75" customHeight="1" x14ac:dyDescent="0.25">
      <c r="D127" s="114"/>
      <c r="F127" s="114"/>
      <c r="H127" s="114"/>
      <c r="J127" s="114"/>
    </row>
    <row r="128" spans="4:10" ht="15.75" customHeight="1" x14ac:dyDescent="0.25">
      <c r="D128" s="114"/>
      <c r="F128" s="114"/>
      <c r="H128" s="114"/>
      <c r="J128" s="114"/>
    </row>
    <row r="129" spans="4:10" ht="15.75" customHeight="1" x14ac:dyDescent="0.25">
      <c r="D129" s="114"/>
      <c r="F129" s="114"/>
      <c r="H129" s="114"/>
      <c r="J129" s="114"/>
    </row>
    <row r="130" spans="4:10" ht="15.75" customHeight="1" x14ac:dyDescent="0.25">
      <c r="D130" s="114"/>
      <c r="F130" s="114"/>
      <c r="H130" s="114"/>
      <c r="J130" s="114"/>
    </row>
    <row r="131" spans="4:10" ht="15.75" customHeight="1" x14ac:dyDescent="0.25">
      <c r="D131" s="114"/>
      <c r="F131" s="114"/>
      <c r="H131" s="114"/>
      <c r="J131" s="114"/>
    </row>
    <row r="132" spans="4:10" ht="15.75" customHeight="1" x14ac:dyDescent="0.25">
      <c r="D132" s="114"/>
      <c r="F132" s="114"/>
      <c r="H132" s="114"/>
      <c r="J132" s="114"/>
    </row>
    <row r="133" spans="4:10" ht="15.75" customHeight="1" x14ac:dyDescent="0.25">
      <c r="D133" s="114"/>
      <c r="F133" s="114"/>
      <c r="H133" s="114"/>
      <c r="J133" s="114"/>
    </row>
    <row r="134" spans="4:10" ht="15.75" customHeight="1" x14ac:dyDescent="0.25">
      <c r="D134" s="114"/>
      <c r="F134" s="114"/>
      <c r="H134" s="114"/>
      <c r="J134" s="114"/>
    </row>
    <row r="135" spans="4:10" ht="15.75" customHeight="1" x14ac:dyDescent="0.25">
      <c r="D135" s="114"/>
      <c r="F135" s="114"/>
      <c r="H135" s="114"/>
      <c r="J135" s="114"/>
    </row>
    <row r="136" spans="4:10" ht="15.75" customHeight="1" x14ac:dyDescent="0.25">
      <c r="D136" s="114"/>
      <c r="F136" s="114"/>
      <c r="H136" s="114"/>
      <c r="J136" s="114"/>
    </row>
    <row r="137" spans="4:10" ht="15.75" customHeight="1" x14ac:dyDescent="0.25">
      <c r="D137" s="114"/>
      <c r="F137" s="114"/>
      <c r="H137" s="114"/>
      <c r="J137" s="114"/>
    </row>
    <row r="138" spans="4:10" ht="15.75" customHeight="1" x14ac:dyDescent="0.25">
      <c r="D138" s="114"/>
      <c r="F138" s="114"/>
      <c r="H138" s="114"/>
      <c r="J138" s="114"/>
    </row>
    <row r="139" spans="4:10" ht="15.75" customHeight="1" x14ac:dyDescent="0.25">
      <c r="D139" s="114"/>
      <c r="F139" s="114"/>
      <c r="H139" s="114"/>
      <c r="J139" s="114"/>
    </row>
    <row r="140" spans="4:10" ht="15.75" customHeight="1" x14ac:dyDescent="0.25">
      <c r="D140" s="114"/>
      <c r="F140" s="114"/>
      <c r="H140" s="114"/>
      <c r="J140" s="114"/>
    </row>
    <row r="141" spans="4:10" ht="15.75" customHeight="1" x14ac:dyDescent="0.25">
      <c r="D141" s="114"/>
      <c r="F141" s="114"/>
      <c r="H141" s="114"/>
      <c r="J141" s="114"/>
    </row>
    <row r="142" spans="4:10" ht="15.75" customHeight="1" x14ac:dyDescent="0.25">
      <c r="D142" s="114"/>
      <c r="F142" s="114"/>
      <c r="H142" s="114"/>
      <c r="J142" s="114"/>
    </row>
    <row r="143" spans="4:10" ht="15.75" customHeight="1" x14ac:dyDescent="0.25">
      <c r="D143" s="114"/>
      <c r="F143" s="114"/>
      <c r="H143" s="114"/>
      <c r="J143" s="114"/>
    </row>
    <row r="144" spans="4:10" ht="15.75" customHeight="1" x14ac:dyDescent="0.25">
      <c r="D144" s="114"/>
      <c r="F144" s="114"/>
      <c r="H144" s="114"/>
      <c r="J144" s="114"/>
    </row>
    <row r="145" spans="4:10" ht="15.75" customHeight="1" x14ac:dyDescent="0.25">
      <c r="D145" s="114"/>
      <c r="F145" s="114"/>
      <c r="H145" s="114"/>
      <c r="J145" s="114"/>
    </row>
    <row r="146" spans="4:10" ht="15.75" customHeight="1" x14ac:dyDescent="0.25">
      <c r="D146" s="114"/>
      <c r="F146" s="114"/>
      <c r="H146" s="114"/>
      <c r="J146" s="114"/>
    </row>
    <row r="147" spans="4:10" ht="15.75" customHeight="1" x14ac:dyDescent="0.25">
      <c r="D147" s="114"/>
      <c r="F147" s="114"/>
      <c r="H147" s="114"/>
      <c r="J147" s="114"/>
    </row>
    <row r="148" spans="4:10" ht="15.75" customHeight="1" x14ac:dyDescent="0.25">
      <c r="D148" s="114"/>
      <c r="F148" s="114"/>
      <c r="H148" s="114"/>
      <c r="J148" s="114"/>
    </row>
    <row r="149" spans="4:10" ht="15.75" customHeight="1" x14ac:dyDescent="0.25">
      <c r="D149" s="114"/>
      <c r="F149" s="114"/>
      <c r="H149" s="114"/>
      <c r="J149" s="114"/>
    </row>
    <row r="150" spans="4:10" ht="15.75" customHeight="1" x14ac:dyDescent="0.25">
      <c r="D150" s="114"/>
      <c r="F150" s="114"/>
      <c r="H150" s="114"/>
      <c r="J150" s="114"/>
    </row>
    <row r="151" spans="4:10" ht="15.75" customHeight="1" x14ac:dyDescent="0.25">
      <c r="D151" s="114"/>
      <c r="F151" s="114"/>
      <c r="H151" s="114"/>
      <c r="J151" s="114"/>
    </row>
    <row r="152" spans="4:10" ht="15.75" customHeight="1" x14ac:dyDescent="0.25">
      <c r="D152" s="114"/>
      <c r="F152" s="114"/>
      <c r="H152" s="114"/>
      <c r="J152" s="114"/>
    </row>
    <row r="153" spans="4:10" ht="15.75" customHeight="1" x14ac:dyDescent="0.25">
      <c r="D153" s="114"/>
      <c r="F153" s="114"/>
      <c r="H153" s="114"/>
      <c r="J153" s="114"/>
    </row>
    <row r="154" spans="4:10" ht="15.75" customHeight="1" x14ac:dyDescent="0.25">
      <c r="D154" s="114"/>
      <c r="F154" s="114"/>
      <c r="H154" s="114"/>
      <c r="J154" s="114"/>
    </row>
    <row r="155" spans="4:10" ht="15.75" customHeight="1" x14ac:dyDescent="0.25">
      <c r="D155" s="114"/>
      <c r="F155" s="114"/>
      <c r="H155" s="114"/>
      <c r="J155" s="114"/>
    </row>
    <row r="156" spans="4:10" ht="15.75" customHeight="1" x14ac:dyDescent="0.25">
      <c r="D156" s="114"/>
      <c r="F156" s="114"/>
      <c r="H156" s="114"/>
      <c r="J156" s="114"/>
    </row>
    <row r="157" spans="4:10" ht="15.75" customHeight="1" x14ac:dyDescent="0.25">
      <c r="D157" s="114"/>
      <c r="F157" s="114"/>
      <c r="H157" s="114"/>
      <c r="J157" s="114"/>
    </row>
    <row r="158" spans="4:10" ht="15.75" customHeight="1" x14ac:dyDescent="0.25">
      <c r="D158" s="114"/>
      <c r="F158" s="114"/>
      <c r="H158" s="114"/>
      <c r="J158" s="114"/>
    </row>
    <row r="159" spans="4:10" ht="15.75" customHeight="1" x14ac:dyDescent="0.25">
      <c r="D159" s="114"/>
      <c r="F159" s="114"/>
      <c r="H159" s="114"/>
      <c r="J159" s="114"/>
    </row>
    <row r="160" spans="4:10" ht="15.75" customHeight="1" x14ac:dyDescent="0.25">
      <c r="D160" s="114"/>
      <c r="F160" s="114"/>
      <c r="H160" s="114"/>
      <c r="J160" s="114"/>
    </row>
    <row r="161" spans="4:10" ht="15.75" customHeight="1" x14ac:dyDescent="0.25">
      <c r="D161" s="114"/>
      <c r="F161" s="114"/>
      <c r="H161" s="114"/>
      <c r="J161" s="114"/>
    </row>
    <row r="162" spans="4:10" ht="15.75" customHeight="1" x14ac:dyDescent="0.25">
      <c r="D162" s="114"/>
      <c r="F162" s="114"/>
      <c r="H162" s="114"/>
      <c r="J162" s="114"/>
    </row>
    <row r="163" spans="4:10" ht="15.75" customHeight="1" x14ac:dyDescent="0.25">
      <c r="D163" s="114"/>
      <c r="F163" s="114"/>
      <c r="H163" s="114"/>
      <c r="J163" s="114"/>
    </row>
    <row r="164" spans="4:10" ht="15.75" customHeight="1" x14ac:dyDescent="0.25">
      <c r="D164" s="114"/>
      <c r="F164" s="114"/>
      <c r="H164" s="114"/>
      <c r="J164" s="114"/>
    </row>
    <row r="165" spans="4:10" ht="15.75" customHeight="1" x14ac:dyDescent="0.25">
      <c r="D165" s="114"/>
      <c r="F165" s="114"/>
      <c r="H165" s="114"/>
      <c r="J165" s="114"/>
    </row>
    <row r="166" spans="4:10" ht="15.75" customHeight="1" x14ac:dyDescent="0.25">
      <c r="D166" s="114"/>
      <c r="F166" s="114"/>
      <c r="H166" s="114"/>
      <c r="J166" s="114"/>
    </row>
    <row r="167" spans="4:10" ht="15.75" customHeight="1" x14ac:dyDescent="0.25">
      <c r="D167" s="114"/>
      <c r="F167" s="114"/>
      <c r="H167" s="114"/>
      <c r="J167" s="114"/>
    </row>
    <row r="168" spans="4:10" ht="15.75" customHeight="1" x14ac:dyDescent="0.25">
      <c r="D168" s="114"/>
      <c r="F168" s="114"/>
      <c r="H168" s="114"/>
      <c r="J168" s="114"/>
    </row>
    <row r="169" spans="4:10" ht="15.75" customHeight="1" x14ac:dyDescent="0.25">
      <c r="D169" s="114"/>
      <c r="F169" s="114"/>
      <c r="H169" s="114"/>
      <c r="J169" s="114"/>
    </row>
    <row r="170" spans="4:10" ht="15.75" customHeight="1" x14ac:dyDescent="0.25">
      <c r="D170" s="114"/>
      <c r="F170" s="114"/>
      <c r="H170" s="114"/>
      <c r="J170" s="114"/>
    </row>
    <row r="171" spans="4:10" ht="15.75" customHeight="1" x14ac:dyDescent="0.25">
      <c r="D171" s="114"/>
      <c r="F171" s="114"/>
      <c r="H171" s="114"/>
      <c r="J171" s="114"/>
    </row>
    <row r="172" spans="4:10" ht="15.75" customHeight="1" x14ac:dyDescent="0.25">
      <c r="D172" s="114"/>
      <c r="F172" s="114"/>
      <c r="H172" s="114"/>
      <c r="J172" s="114"/>
    </row>
    <row r="173" spans="4:10" ht="15.75" customHeight="1" x14ac:dyDescent="0.25">
      <c r="D173" s="114"/>
      <c r="F173" s="114"/>
      <c r="H173" s="114"/>
      <c r="J173" s="114"/>
    </row>
    <row r="174" spans="4:10" ht="15.75" customHeight="1" x14ac:dyDescent="0.25">
      <c r="D174" s="114"/>
      <c r="F174" s="114"/>
      <c r="H174" s="114"/>
      <c r="J174" s="114"/>
    </row>
    <row r="175" spans="4:10" ht="15.75" customHeight="1" x14ac:dyDescent="0.25">
      <c r="D175" s="114"/>
      <c r="F175" s="114"/>
      <c r="H175" s="114"/>
      <c r="J175" s="114"/>
    </row>
    <row r="176" spans="4:10" ht="15.75" customHeight="1" x14ac:dyDescent="0.25">
      <c r="D176" s="114"/>
      <c r="F176" s="114"/>
      <c r="H176" s="114"/>
      <c r="J176" s="114"/>
    </row>
    <row r="177" spans="4:10" ht="15.75" customHeight="1" x14ac:dyDescent="0.25">
      <c r="D177" s="114"/>
      <c r="F177" s="114"/>
      <c r="H177" s="114"/>
      <c r="J177" s="114"/>
    </row>
    <row r="178" spans="4:10" ht="15.75" customHeight="1" x14ac:dyDescent="0.25">
      <c r="D178" s="114"/>
      <c r="F178" s="114"/>
      <c r="H178" s="114"/>
      <c r="J178" s="114"/>
    </row>
    <row r="179" spans="4:10" ht="15.75" customHeight="1" x14ac:dyDescent="0.25">
      <c r="D179" s="114"/>
      <c r="F179" s="114"/>
      <c r="H179" s="114"/>
      <c r="J179" s="114"/>
    </row>
    <row r="180" spans="4:10" ht="15.75" customHeight="1" x14ac:dyDescent="0.25">
      <c r="D180" s="114"/>
      <c r="F180" s="114"/>
      <c r="H180" s="114"/>
      <c r="J180" s="114"/>
    </row>
    <row r="181" spans="4:10" ht="15.75" customHeight="1" x14ac:dyDescent="0.25">
      <c r="D181" s="114"/>
      <c r="F181" s="114"/>
      <c r="H181" s="114"/>
      <c r="J181" s="114"/>
    </row>
    <row r="182" spans="4:10" ht="15.75" customHeight="1" x14ac:dyDescent="0.25">
      <c r="D182" s="114"/>
      <c r="F182" s="114"/>
      <c r="H182" s="114"/>
      <c r="J182" s="114"/>
    </row>
    <row r="183" spans="4:10" ht="15.75" customHeight="1" x14ac:dyDescent="0.25">
      <c r="D183" s="114"/>
      <c r="F183" s="114"/>
      <c r="H183" s="114"/>
      <c r="J183" s="114"/>
    </row>
    <row r="184" spans="4:10" ht="15.75" customHeight="1" x14ac:dyDescent="0.25">
      <c r="D184" s="114"/>
      <c r="F184" s="114"/>
      <c r="H184" s="114"/>
      <c r="J184" s="114"/>
    </row>
    <row r="185" spans="4:10" ht="15.75" customHeight="1" x14ac:dyDescent="0.25">
      <c r="D185" s="114"/>
      <c r="F185" s="114"/>
      <c r="H185" s="114"/>
      <c r="J185" s="114"/>
    </row>
    <row r="186" spans="4:10" ht="15.75" customHeight="1" x14ac:dyDescent="0.25">
      <c r="D186" s="114"/>
      <c r="F186" s="114"/>
      <c r="H186" s="114"/>
      <c r="J186" s="114"/>
    </row>
    <row r="187" spans="4:10" ht="15.75" customHeight="1" x14ac:dyDescent="0.25">
      <c r="D187" s="114"/>
      <c r="F187" s="114"/>
      <c r="H187" s="114"/>
      <c r="J187" s="114"/>
    </row>
    <row r="188" spans="4:10" ht="15.75" customHeight="1" x14ac:dyDescent="0.25">
      <c r="D188" s="114"/>
      <c r="F188" s="114"/>
      <c r="H188" s="114"/>
      <c r="J188" s="114"/>
    </row>
    <row r="189" spans="4:10" ht="15.75" customHeight="1" x14ac:dyDescent="0.25">
      <c r="D189" s="114"/>
      <c r="F189" s="114"/>
      <c r="H189" s="114"/>
      <c r="J189" s="114"/>
    </row>
    <row r="190" spans="4:10" ht="15.75" customHeight="1" x14ac:dyDescent="0.25">
      <c r="D190" s="114"/>
      <c r="F190" s="114"/>
      <c r="H190" s="114"/>
      <c r="J190" s="114"/>
    </row>
    <row r="191" spans="4:10" ht="15.75" customHeight="1" x14ac:dyDescent="0.25">
      <c r="D191" s="114"/>
      <c r="F191" s="114"/>
      <c r="H191" s="114"/>
      <c r="J191" s="114"/>
    </row>
    <row r="192" spans="4:10" ht="15.75" customHeight="1" x14ac:dyDescent="0.25">
      <c r="D192" s="114"/>
      <c r="F192" s="114"/>
      <c r="H192" s="114"/>
      <c r="J192" s="114"/>
    </row>
    <row r="193" spans="4:10" ht="15.75" customHeight="1" x14ac:dyDescent="0.25">
      <c r="D193" s="114"/>
      <c r="F193" s="114"/>
      <c r="H193" s="114"/>
      <c r="J193" s="114"/>
    </row>
    <row r="194" spans="4:10" ht="15.75" customHeight="1" x14ac:dyDescent="0.25">
      <c r="D194" s="114"/>
      <c r="F194" s="114"/>
      <c r="H194" s="114"/>
      <c r="J194" s="114"/>
    </row>
    <row r="195" spans="4:10" ht="15.75" customHeight="1" x14ac:dyDescent="0.25">
      <c r="D195" s="114"/>
      <c r="F195" s="114"/>
      <c r="H195" s="114"/>
      <c r="J195" s="114"/>
    </row>
    <row r="196" spans="4:10" ht="15.75" customHeight="1" x14ac:dyDescent="0.25">
      <c r="D196" s="114"/>
      <c r="F196" s="114"/>
      <c r="H196" s="114"/>
      <c r="J196" s="114"/>
    </row>
    <row r="197" spans="4:10" ht="15.75" customHeight="1" x14ac:dyDescent="0.25">
      <c r="D197" s="114"/>
      <c r="F197" s="114"/>
      <c r="H197" s="114"/>
      <c r="J197" s="114"/>
    </row>
    <row r="198" spans="4:10" ht="15.75" customHeight="1" x14ac:dyDescent="0.25">
      <c r="D198" s="114"/>
      <c r="F198" s="114"/>
      <c r="H198" s="114"/>
      <c r="J198" s="114"/>
    </row>
    <row r="199" spans="4:10" ht="15.75" customHeight="1" x14ac:dyDescent="0.25">
      <c r="D199" s="114"/>
      <c r="F199" s="114"/>
      <c r="H199" s="114"/>
      <c r="J199" s="114"/>
    </row>
    <row r="200" spans="4:10" ht="15.75" customHeight="1" x14ac:dyDescent="0.25">
      <c r="D200" s="114"/>
      <c r="F200" s="114"/>
      <c r="H200" s="114"/>
      <c r="J200" s="114"/>
    </row>
    <row r="201" spans="4:10" ht="15.75" customHeight="1" x14ac:dyDescent="0.25">
      <c r="D201" s="114"/>
      <c r="F201" s="114"/>
      <c r="H201" s="114"/>
      <c r="J201" s="114"/>
    </row>
    <row r="202" spans="4:10" ht="15.75" customHeight="1" x14ac:dyDescent="0.25">
      <c r="D202" s="114"/>
      <c r="F202" s="114"/>
      <c r="H202" s="114"/>
      <c r="J202" s="114"/>
    </row>
    <row r="203" spans="4:10" ht="15.75" customHeight="1" x14ac:dyDescent="0.25">
      <c r="D203" s="114"/>
      <c r="F203" s="114"/>
      <c r="H203" s="114"/>
      <c r="J203" s="114"/>
    </row>
    <row r="204" spans="4:10" ht="15.75" customHeight="1" x14ac:dyDescent="0.25">
      <c r="D204" s="114"/>
      <c r="F204" s="114"/>
      <c r="H204" s="114"/>
      <c r="J204" s="114"/>
    </row>
    <row r="205" spans="4:10" ht="15.75" customHeight="1" x14ac:dyDescent="0.25">
      <c r="D205" s="114"/>
      <c r="F205" s="114"/>
      <c r="H205" s="114"/>
      <c r="J205" s="114"/>
    </row>
    <row r="206" spans="4:10" ht="15.75" customHeight="1" x14ac:dyDescent="0.25">
      <c r="D206" s="114"/>
      <c r="F206" s="114"/>
      <c r="H206" s="114"/>
      <c r="J206" s="114"/>
    </row>
    <row r="207" spans="4:10" ht="15.75" customHeight="1" x14ac:dyDescent="0.25">
      <c r="D207" s="114"/>
      <c r="F207" s="114"/>
      <c r="H207" s="114"/>
      <c r="J207" s="114"/>
    </row>
    <row r="208" spans="4:10" ht="15.75" customHeight="1" x14ac:dyDescent="0.25">
      <c r="D208" s="114"/>
      <c r="F208" s="114"/>
      <c r="H208" s="114"/>
      <c r="J208" s="114"/>
    </row>
    <row r="209" spans="4:10" ht="15.75" customHeight="1" x14ac:dyDescent="0.25">
      <c r="D209" s="114"/>
      <c r="F209" s="114"/>
      <c r="H209" s="114"/>
      <c r="J209" s="114"/>
    </row>
    <row r="210" spans="4:10" ht="15.75" customHeight="1" x14ac:dyDescent="0.25">
      <c r="D210" s="114"/>
      <c r="F210" s="114"/>
      <c r="H210" s="114"/>
      <c r="J210" s="114"/>
    </row>
    <row r="211" spans="4:10" ht="15.75" customHeight="1" x14ac:dyDescent="0.25">
      <c r="D211" s="114"/>
      <c r="F211" s="114"/>
      <c r="H211" s="114"/>
      <c r="J211" s="114"/>
    </row>
    <row r="212" spans="4:10" ht="15.75" customHeight="1" x14ac:dyDescent="0.25">
      <c r="D212" s="114"/>
      <c r="F212" s="114"/>
      <c r="H212" s="114"/>
      <c r="J212" s="114"/>
    </row>
    <row r="213" spans="4:10" ht="15.75" customHeight="1" x14ac:dyDescent="0.25">
      <c r="D213" s="114"/>
      <c r="F213" s="114"/>
      <c r="H213" s="114"/>
      <c r="J213" s="114"/>
    </row>
    <row r="214" spans="4:10" ht="15.75" customHeight="1" x14ac:dyDescent="0.25">
      <c r="D214" s="114"/>
      <c r="F214" s="114"/>
      <c r="H214" s="114"/>
      <c r="J214" s="114"/>
    </row>
    <row r="215" spans="4:10" ht="15.75" customHeight="1" x14ac:dyDescent="0.25">
      <c r="D215" s="114"/>
      <c r="F215" s="114"/>
      <c r="H215" s="114"/>
      <c r="J215" s="114"/>
    </row>
    <row r="216" spans="4:10" ht="15.75" customHeight="1" x14ac:dyDescent="0.25">
      <c r="D216" s="114"/>
      <c r="F216" s="114"/>
      <c r="H216" s="114"/>
      <c r="J216" s="114"/>
    </row>
    <row r="217" spans="4:10" ht="15.75" customHeight="1" x14ac:dyDescent="0.25">
      <c r="D217" s="114"/>
      <c r="F217" s="114"/>
      <c r="H217" s="114"/>
      <c r="J217" s="114"/>
    </row>
    <row r="218" spans="4:10" ht="15.75" customHeight="1" x14ac:dyDescent="0.25">
      <c r="D218" s="114"/>
      <c r="F218" s="114"/>
      <c r="H218" s="114"/>
      <c r="J218" s="114"/>
    </row>
    <row r="219" spans="4:10" ht="15.75" customHeight="1" x14ac:dyDescent="0.25">
      <c r="D219" s="114"/>
      <c r="F219" s="114"/>
      <c r="H219" s="114"/>
      <c r="J219" s="114"/>
    </row>
    <row r="220" spans="4:10" ht="15.75" customHeight="1" x14ac:dyDescent="0.25">
      <c r="D220" s="114"/>
      <c r="F220" s="114"/>
      <c r="H220" s="114"/>
      <c r="J220" s="114"/>
    </row>
    <row r="221" spans="4:10" ht="15.75" customHeight="1" x14ac:dyDescent="0.25">
      <c r="D221" s="114"/>
      <c r="F221" s="114"/>
      <c r="H221" s="114"/>
      <c r="J221" s="114"/>
    </row>
    <row r="222" spans="4:10" ht="15.75" customHeight="1" x14ac:dyDescent="0.25">
      <c r="D222" s="114"/>
      <c r="F222" s="114"/>
      <c r="H222" s="114"/>
      <c r="J222" s="114"/>
    </row>
    <row r="223" spans="4:10" ht="15.75" customHeight="1" x14ac:dyDescent="0.25">
      <c r="D223" s="114"/>
      <c r="F223" s="114"/>
      <c r="H223" s="114"/>
      <c r="J223" s="114"/>
    </row>
    <row r="224" spans="4:10" ht="15.75" customHeight="1" x14ac:dyDescent="0.25">
      <c r="D224" s="114"/>
      <c r="F224" s="114"/>
      <c r="H224" s="114"/>
      <c r="J224" s="114"/>
    </row>
    <row r="225" spans="4:10" ht="15.75" customHeight="1" x14ac:dyDescent="0.25">
      <c r="D225" s="114"/>
      <c r="F225" s="114"/>
      <c r="H225" s="114"/>
      <c r="J225" s="114"/>
    </row>
    <row r="226" spans="4:10" ht="15.75" customHeight="1" x14ac:dyDescent="0.25">
      <c r="D226" s="114"/>
      <c r="F226" s="114"/>
      <c r="H226" s="114"/>
      <c r="J226" s="114"/>
    </row>
    <row r="227" spans="4:10" ht="15.75" customHeight="1" x14ac:dyDescent="0.25">
      <c r="D227" s="114"/>
      <c r="F227" s="114"/>
      <c r="H227" s="114"/>
      <c r="J227" s="114"/>
    </row>
    <row r="228" spans="4:10" ht="15.75" customHeight="1" x14ac:dyDescent="0.25">
      <c r="D228" s="114"/>
      <c r="F228" s="114"/>
      <c r="H228" s="114"/>
      <c r="J228" s="114"/>
    </row>
    <row r="229" spans="4:10" ht="15.75" customHeight="1" x14ac:dyDescent="0.25">
      <c r="D229" s="114"/>
      <c r="F229" s="114"/>
      <c r="H229" s="114"/>
      <c r="J229" s="114"/>
    </row>
    <row r="230" spans="4:10" ht="15.75" customHeight="1" x14ac:dyDescent="0.25">
      <c r="D230" s="114"/>
      <c r="F230" s="114"/>
      <c r="H230" s="114"/>
      <c r="J230" s="114"/>
    </row>
    <row r="231" spans="4:10" ht="15.75" customHeight="1" x14ac:dyDescent="0.25">
      <c r="D231" s="114"/>
      <c r="F231" s="114"/>
      <c r="H231" s="114"/>
      <c r="J231" s="114"/>
    </row>
    <row r="232" spans="4:10" ht="15.75" customHeight="1" x14ac:dyDescent="0.25">
      <c r="D232" s="114"/>
      <c r="F232" s="114"/>
      <c r="H232" s="114"/>
      <c r="J232" s="114"/>
    </row>
    <row r="233" spans="4:10" ht="15.75" customHeight="1" x14ac:dyDescent="0.25">
      <c r="D233" s="114"/>
      <c r="F233" s="114"/>
      <c r="H233" s="114"/>
      <c r="J233" s="114"/>
    </row>
    <row r="234" spans="4:10" ht="15.75" customHeight="1" x14ac:dyDescent="0.25">
      <c r="D234" s="114"/>
      <c r="F234" s="114"/>
      <c r="H234" s="114"/>
      <c r="J234" s="114"/>
    </row>
    <row r="235" spans="4:10" ht="15.75" customHeight="1" x14ac:dyDescent="0.25">
      <c r="D235" s="114"/>
      <c r="F235" s="114"/>
      <c r="H235" s="114"/>
      <c r="J235" s="114"/>
    </row>
    <row r="236" spans="4:10" ht="15.75" customHeight="1" x14ac:dyDescent="0.25">
      <c r="D236" s="114"/>
      <c r="F236" s="114"/>
      <c r="H236" s="114"/>
      <c r="J236" s="114"/>
    </row>
    <row r="237" spans="4:10" ht="15.75" customHeight="1" x14ac:dyDescent="0.25">
      <c r="D237" s="114"/>
      <c r="F237" s="114"/>
      <c r="H237" s="114"/>
      <c r="J237" s="114"/>
    </row>
    <row r="238" spans="4:10" ht="15.75" customHeight="1" x14ac:dyDescent="0.25">
      <c r="D238" s="114"/>
      <c r="F238" s="114"/>
      <c r="H238" s="114"/>
      <c r="J238" s="114"/>
    </row>
    <row r="239" spans="4:10" ht="15.75" customHeight="1" x14ac:dyDescent="0.25">
      <c r="D239" s="114"/>
      <c r="F239" s="114"/>
      <c r="H239" s="114"/>
      <c r="J239" s="114"/>
    </row>
    <row r="240" spans="4:10" ht="15.75" customHeight="1" x14ac:dyDescent="0.25">
      <c r="D240" s="114"/>
      <c r="F240" s="114"/>
      <c r="H240" s="114"/>
      <c r="J240" s="114"/>
    </row>
    <row r="241" spans="4:10" ht="15.75" customHeight="1" x14ac:dyDescent="0.25">
      <c r="D241" s="114"/>
      <c r="F241" s="114"/>
      <c r="H241" s="114"/>
      <c r="J241" s="114"/>
    </row>
    <row r="242" spans="4:10" ht="15.75" customHeight="1" x14ac:dyDescent="0.25">
      <c r="D242" s="114"/>
      <c r="F242" s="114"/>
      <c r="H242" s="114"/>
      <c r="J242" s="114"/>
    </row>
    <row r="243" spans="4:10" ht="15.75" customHeight="1" x14ac:dyDescent="0.25">
      <c r="D243" s="114"/>
      <c r="F243" s="114"/>
      <c r="H243" s="114"/>
      <c r="J243" s="114"/>
    </row>
    <row r="244" spans="4:10" ht="15.75" customHeight="1" x14ac:dyDescent="0.25">
      <c r="D244" s="114"/>
      <c r="F244" s="114"/>
      <c r="H244" s="114"/>
      <c r="J244" s="114"/>
    </row>
    <row r="245" spans="4:10" ht="15.75" customHeight="1" x14ac:dyDescent="0.25">
      <c r="D245" s="114"/>
      <c r="F245" s="114"/>
      <c r="H245" s="114"/>
      <c r="J245" s="114"/>
    </row>
    <row r="246" spans="4:10" ht="15.75" customHeight="1" x14ac:dyDescent="0.25">
      <c r="D246" s="114"/>
      <c r="F246" s="114"/>
      <c r="H246" s="114"/>
      <c r="J246" s="114"/>
    </row>
    <row r="247" spans="4:10" ht="15.75" customHeight="1" x14ac:dyDescent="0.25">
      <c r="D247" s="114"/>
      <c r="F247" s="114"/>
      <c r="H247" s="114"/>
      <c r="J247" s="114"/>
    </row>
    <row r="248" spans="4:10" ht="15.75" customHeight="1" x14ac:dyDescent="0.25">
      <c r="D248" s="114"/>
      <c r="F248" s="114"/>
      <c r="H248" s="114"/>
      <c r="J248" s="114"/>
    </row>
    <row r="249" spans="4:10" ht="15.75" customHeight="1" x14ac:dyDescent="0.25">
      <c r="D249" s="114"/>
      <c r="F249" s="114"/>
      <c r="H249" s="114"/>
      <c r="J249" s="114"/>
    </row>
    <row r="250" spans="4:10" ht="15.75" customHeight="1" x14ac:dyDescent="0.25">
      <c r="D250" s="114"/>
      <c r="F250" s="114"/>
      <c r="H250" s="114"/>
      <c r="J250" s="114"/>
    </row>
    <row r="251" spans="4:10" ht="15.75" customHeight="1" x14ac:dyDescent="0.25">
      <c r="D251" s="114"/>
      <c r="F251" s="114"/>
      <c r="H251" s="114"/>
      <c r="J251" s="114"/>
    </row>
    <row r="252" spans="4:10" ht="15.75" customHeight="1" x14ac:dyDescent="0.25">
      <c r="D252" s="114"/>
      <c r="F252" s="114"/>
      <c r="H252" s="114"/>
      <c r="J252" s="114"/>
    </row>
    <row r="253" spans="4:10" ht="15.75" customHeight="1" x14ac:dyDescent="0.25">
      <c r="D253" s="114"/>
      <c r="F253" s="114"/>
      <c r="H253" s="114"/>
      <c r="J253" s="114"/>
    </row>
    <row r="254" spans="4:10" ht="15.75" customHeight="1" x14ac:dyDescent="0.25">
      <c r="D254" s="114"/>
      <c r="F254" s="114"/>
      <c r="H254" s="114"/>
      <c r="J254" s="114"/>
    </row>
    <row r="255" spans="4:10" ht="15.75" customHeight="1" x14ac:dyDescent="0.25">
      <c r="D255" s="114"/>
      <c r="F255" s="114"/>
      <c r="H255" s="114"/>
      <c r="J255" s="114"/>
    </row>
    <row r="256" spans="4:10" ht="15.75" customHeight="1" x14ac:dyDescent="0.25">
      <c r="D256" s="114"/>
      <c r="F256" s="114"/>
      <c r="H256" s="114"/>
      <c r="J256" s="114"/>
    </row>
    <row r="257" spans="4:10" ht="15.75" customHeight="1" x14ac:dyDescent="0.25">
      <c r="D257" s="114"/>
      <c r="F257" s="114"/>
      <c r="H257" s="114"/>
      <c r="J257" s="114"/>
    </row>
    <row r="258" spans="4:10" ht="15.75" customHeight="1" x14ac:dyDescent="0.25">
      <c r="D258" s="114"/>
      <c r="F258" s="114"/>
      <c r="H258" s="114"/>
      <c r="J258" s="114"/>
    </row>
    <row r="259" spans="4:10" ht="15.75" customHeight="1" x14ac:dyDescent="0.25">
      <c r="D259" s="114"/>
      <c r="F259" s="114"/>
      <c r="H259" s="114"/>
      <c r="J259" s="114"/>
    </row>
    <row r="260" spans="4:10" ht="15.75" customHeight="1" x14ac:dyDescent="0.25">
      <c r="D260" s="114"/>
      <c r="F260" s="114"/>
      <c r="H260" s="114"/>
      <c r="J260" s="114"/>
    </row>
    <row r="261" spans="4:10" ht="15.75" customHeight="1" x14ac:dyDescent="0.25">
      <c r="D261" s="114"/>
      <c r="F261" s="114"/>
      <c r="H261" s="114"/>
      <c r="J261" s="114"/>
    </row>
    <row r="262" spans="4:10" ht="15.75" customHeight="1" x14ac:dyDescent="0.25">
      <c r="D262" s="114"/>
      <c r="F262" s="114"/>
      <c r="H262" s="114"/>
      <c r="J262" s="114"/>
    </row>
    <row r="263" spans="4:10" ht="15.75" customHeight="1" x14ac:dyDescent="0.25">
      <c r="D263" s="114"/>
      <c r="F263" s="114"/>
      <c r="H263" s="114"/>
      <c r="J263" s="114"/>
    </row>
    <row r="264" spans="4:10" ht="15.75" customHeight="1" x14ac:dyDescent="0.25">
      <c r="D264" s="114"/>
      <c r="F264" s="114"/>
      <c r="H264" s="114"/>
      <c r="J264" s="114"/>
    </row>
    <row r="265" spans="4:10" ht="15.75" customHeight="1" x14ac:dyDescent="0.25">
      <c r="D265" s="114"/>
      <c r="F265" s="114"/>
      <c r="H265" s="114"/>
      <c r="J265" s="114"/>
    </row>
    <row r="266" spans="4:10" ht="15.75" customHeight="1" x14ac:dyDescent="0.25">
      <c r="D266" s="114"/>
      <c r="F266" s="114"/>
      <c r="H266" s="114"/>
      <c r="J266" s="114"/>
    </row>
    <row r="267" spans="4:10" ht="15.75" customHeight="1" x14ac:dyDescent="0.25">
      <c r="D267" s="114"/>
      <c r="F267" s="114"/>
      <c r="H267" s="114"/>
      <c r="J267" s="114"/>
    </row>
    <row r="268" spans="4:10" ht="15.75" customHeight="1" x14ac:dyDescent="0.25">
      <c r="D268" s="114"/>
      <c r="F268" s="114"/>
      <c r="H268" s="114"/>
      <c r="J268" s="114"/>
    </row>
    <row r="269" spans="4:10" ht="15.75" customHeight="1" x14ac:dyDescent="0.25">
      <c r="D269" s="114"/>
      <c r="F269" s="114"/>
      <c r="H269" s="114"/>
      <c r="J269" s="114"/>
    </row>
    <row r="270" spans="4:10" ht="15.75" customHeight="1" x14ac:dyDescent="0.25">
      <c r="D270" s="114"/>
      <c r="F270" s="114"/>
      <c r="H270" s="114"/>
      <c r="J270" s="114"/>
    </row>
    <row r="271" spans="4:10" ht="15.75" customHeight="1" x14ac:dyDescent="0.25">
      <c r="D271" s="114"/>
      <c r="F271" s="114"/>
      <c r="H271" s="114"/>
      <c r="J271" s="114"/>
    </row>
    <row r="272" spans="4:10" ht="15.75" customHeight="1" x14ac:dyDescent="0.25">
      <c r="D272" s="114"/>
      <c r="F272" s="114"/>
      <c r="H272" s="114"/>
      <c r="J272" s="114"/>
    </row>
    <row r="273" spans="4:10" ht="15.75" customHeight="1" x14ac:dyDescent="0.25">
      <c r="D273" s="114"/>
      <c r="F273" s="114"/>
      <c r="H273" s="114"/>
      <c r="J273" s="114"/>
    </row>
    <row r="274" spans="4:10" ht="15.75" customHeight="1" x14ac:dyDescent="0.25">
      <c r="D274" s="114"/>
      <c r="F274" s="114"/>
      <c r="H274" s="114"/>
      <c r="J274" s="114"/>
    </row>
    <row r="275" spans="4:10" ht="15.75" customHeight="1" x14ac:dyDescent="0.25">
      <c r="D275" s="114"/>
      <c r="F275" s="114"/>
      <c r="H275" s="114"/>
      <c r="J275" s="114"/>
    </row>
    <row r="276" spans="4:10" ht="15.75" customHeight="1" x14ac:dyDescent="0.25">
      <c r="D276" s="114"/>
      <c r="F276" s="114"/>
      <c r="H276" s="114"/>
      <c r="J276" s="114"/>
    </row>
    <row r="277" spans="4:10" ht="15.75" customHeight="1" x14ac:dyDescent="0.25">
      <c r="D277" s="114"/>
      <c r="F277" s="114"/>
      <c r="H277" s="114"/>
      <c r="J277" s="114"/>
    </row>
    <row r="278" spans="4:10" ht="15.75" customHeight="1" x14ac:dyDescent="0.25">
      <c r="D278" s="114"/>
      <c r="F278" s="114"/>
      <c r="H278" s="114"/>
      <c r="J278" s="114"/>
    </row>
    <row r="279" spans="4:10" ht="15.75" customHeight="1" x14ac:dyDescent="0.25">
      <c r="D279" s="114"/>
      <c r="F279" s="114"/>
      <c r="H279" s="114"/>
      <c r="J279" s="114"/>
    </row>
    <row r="280" spans="4:10" ht="15.75" customHeight="1" x14ac:dyDescent="0.25">
      <c r="D280" s="114"/>
      <c r="F280" s="114"/>
      <c r="H280" s="114"/>
      <c r="J280" s="114"/>
    </row>
    <row r="281" spans="4:10" ht="15.75" customHeight="1" x14ac:dyDescent="0.25">
      <c r="D281" s="114"/>
      <c r="F281" s="114"/>
      <c r="H281" s="114"/>
      <c r="J281" s="114"/>
    </row>
    <row r="282" spans="4:10" ht="15.75" customHeight="1" x14ac:dyDescent="0.25">
      <c r="D282" s="114"/>
      <c r="F282" s="114"/>
      <c r="H282" s="114"/>
      <c r="J282" s="114"/>
    </row>
    <row r="283" spans="4:10" ht="15.75" customHeight="1" x14ac:dyDescent="0.25">
      <c r="D283" s="114"/>
      <c r="F283" s="114"/>
      <c r="H283" s="114"/>
      <c r="J283" s="114"/>
    </row>
    <row r="284" spans="4:10" ht="15.75" customHeight="1" x14ac:dyDescent="0.25">
      <c r="D284" s="114"/>
      <c r="F284" s="114"/>
      <c r="H284" s="114"/>
      <c r="J284" s="114"/>
    </row>
    <row r="285" spans="4:10" ht="15.75" customHeight="1" x14ac:dyDescent="0.25">
      <c r="D285" s="114"/>
      <c r="F285" s="114"/>
      <c r="H285" s="114"/>
      <c r="J285" s="114"/>
    </row>
    <row r="286" spans="4:10" ht="15.75" customHeight="1" x14ac:dyDescent="0.25">
      <c r="D286" s="114"/>
      <c r="F286" s="114"/>
      <c r="H286" s="114"/>
      <c r="J286" s="114"/>
    </row>
    <row r="287" spans="4:10" ht="15.75" customHeight="1" x14ac:dyDescent="0.25">
      <c r="D287" s="114"/>
      <c r="F287" s="114"/>
      <c r="H287" s="114"/>
      <c r="J287" s="114"/>
    </row>
    <row r="288" spans="4:10" ht="15.75" customHeight="1" x14ac:dyDescent="0.25">
      <c r="D288" s="114"/>
      <c r="F288" s="114"/>
      <c r="H288" s="114"/>
      <c r="J288" s="114"/>
    </row>
    <row r="289" spans="4:10" ht="15.75" customHeight="1" x14ac:dyDescent="0.25">
      <c r="D289" s="114"/>
      <c r="F289" s="114"/>
      <c r="H289" s="114"/>
      <c r="J289" s="114"/>
    </row>
    <row r="290" spans="4:10" ht="15.75" customHeight="1" x14ac:dyDescent="0.25">
      <c r="D290" s="114"/>
      <c r="F290" s="114"/>
      <c r="H290" s="114"/>
      <c r="J290" s="114"/>
    </row>
    <row r="291" spans="4:10" ht="15.75" customHeight="1" x14ac:dyDescent="0.25">
      <c r="D291" s="114"/>
      <c r="F291" s="114"/>
      <c r="H291" s="114"/>
      <c r="J291" s="114"/>
    </row>
    <row r="292" spans="4:10" ht="15.75" customHeight="1" x14ac:dyDescent="0.25">
      <c r="D292" s="114"/>
      <c r="F292" s="114"/>
      <c r="H292" s="114"/>
      <c r="J292" s="114"/>
    </row>
    <row r="293" spans="4:10" ht="15.75" customHeight="1" x14ac:dyDescent="0.25">
      <c r="D293" s="114"/>
      <c r="F293" s="114"/>
      <c r="H293" s="114"/>
      <c r="J293" s="114"/>
    </row>
    <row r="294" spans="4:10" ht="15.75" customHeight="1" x14ac:dyDescent="0.25">
      <c r="D294" s="114"/>
      <c r="F294" s="114"/>
      <c r="H294" s="114"/>
      <c r="J294" s="114"/>
    </row>
    <row r="295" spans="4:10" ht="15.75" customHeight="1" x14ac:dyDescent="0.25">
      <c r="D295" s="114"/>
      <c r="F295" s="114"/>
      <c r="H295" s="114"/>
      <c r="J295" s="114"/>
    </row>
    <row r="296" spans="4:10" ht="15.75" customHeight="1" x14ac:dyDescent="0.25">
      <c r="D296" s="114"/>
      <c r="F296" s="114"/>
      <c r="H296" s="114"/>
      <c r="J296" s="114"/>
    </row>
    <row r="297" spans="4:10" ht="15.75" customHeight="1" x14ac:dyDescent="0.25">
      <c r="D297" s="114"/>
      <c r="F297" s="114"/>
      <c r="H297" s="114"/>
      <c r="J297" s="114"/>
    </row>
    <row r="298" spans="4:10" ht="15.75" customHeight="1" x14ac:dyDescent="0.25">
      <c r="D298" s="114"/>
      <c r="F298" s="114"/>
      <c r="H298" s="114"/>
      <c r="J298" s="114"/>
    </row>
    <row r="299" spans="4:10" ht="15.75" customHeight="1" x14ac:dyDescent="0.25">
      <c r="D299" s="114"/>
      <c r="F299" s="114"/>
      <c r="H299" s="114"/>
      <c r="J299" s="114"/>
    </row>
    <row r="300" spans="4:10" ht="15.75" customHeight="1" x14ac:dyDescent="0.25">
      <c r="D300" s="114"/>
      <c r="F300" s="114"/>
      <c r="H300" s="114"/>
      <c r="J300" s="114"/>
    </row>
    <row r="301" spans="4:10" ht="15.75" customHeight="1" x14ac:dyDescent="0.25">
      <c r="D301" s="114"/>
      <c r="F301" s="114"/>
      <c r="H301" s="114"/>
      <c r="J301" s="114"/>
    </row>
    <row r="302" spans="4:10" ht="15.75" customHeight="1" x14ac:dyDescent="0.25">
      <c r="D302" s="114"/>
      <c r="F302" s="114"/>
      <c r="H302" s="114"/>
      <c r="J302" s="114"/>
    </row>
    <row r="303" spans="4:10" ht="15.75" customHeight="1" x14ac:dyDescent="0.25">
      <c r="D303" s="114"/>
      <c r="F303" s="114"/>
      <c r="H303" s="114"/>
      <c r="J303" s="114"/>
    </row>
    <row r="304" spans="4:10" ht="15.75" customHeight="1" x14ac:dyDescent="0.25">
      <c r="D304" s="114"/>
      <c r="F304" s="114"/>
      <c r="H304" s="114"/>
      <c r="J304" s="114"/>
    </row>
    <row r="305" spans="4:10" ht="15.75" customHeight="1" x14ac:dyDescent="0.25">
      <c r="D305" s="114"/>
      <c r="F305" s="114"/>
      <c r="H305" s="114"/>
      <c r="J305" s="114"/>
    </row>
    <row r="306" spans="4:10" ht="15.75" customHeight="1" x14ac:dyDescent="0.25">
      <c r="D306" s="114"/>
      <c r="F306" s="114"/>
      <c r="H306" s="114"/>
      <c r="J306" s="114"/>
    </row>
    <row r="307" spans="4:10" ht="15.75" customHeight="1" x14ac:dyDescent="0.25">
      <c r="D307" s="114"/>
      <c r="F307" s="114"/>
      <c r="H307" s="114"/>
      <c r="J307" s="114"/>
    </row>
    <row r="308" spans="4:10" ht="15.75" customHeight="1" x14ac:dyDescent="0.25">
      <c r="D308" s="114"/>
      <c r="F308" s="114"/>
      <c r="H308" s="114"/>
      <c r="J308" s="114"/>
    </row>
    <row r="309" spans="4:10" ht="15.75" customHeight="1" x14ac:dyDescent="0.25">
      <c r="D309" s="114"/>
      <c r="F309" s="114"/>
      <c r="H309" s="114"/>
      <c r="J309" s="114"/>
    </row>
    <row r="310" spans="4:10" ht="15.75" customHeight="1" x14ac:dyDescent="0.25">
      <c r="D310" s="114"/>
      <c r="F310" s="114"/>
      <c r="H310" s="114"/>
      <c r="J310" s="114"/>
    </row>
    <row r="311" spans="4:10" ht="15.75" customHeight="1" x14ac:dyDescent="0.25">
      <c r="D311" s="114"/>
      <c r="F311" s="114"/>
      <c r="H311" s="114"/>
      <c r="J311" s="114"/>
    </row>
    <row r="312" spans="4:10" ht="15.75" customHeight="1" x14ac:dyDescent="0.25">
      <c r="D312" s="114"/>
      <c r="F312" s="114"/>
      <c r="H312" s="114"/>
      <c r="J312" s="114"/>
    </row>
    <row r="313" spans="4:10" ht="15.75" customHeight="1" x14ac:dyDescent="0.25">
      <c r="D313" s="114"/>
      <c r="F313" s="114"/>
      <c r="H313" s="114"/>
      <c r="J313" s="114"/>
    </row>
    <row r="314" spans="4:10" ht="15.75" customHeight="1" x14ac:dyDescent="0.25">
      <c r="D314" s="114"/>
      <c r="F314" s="114"/>
      <c r="H314" s="114"/>
      <c r="J314" s="114"/>
    </row>
    <row r="315" spans="4:10" ht="15.75" customHeight="1" x14ac:dyDescent="0.25">
      <c r="D315" s="114"/>
      <c r="F315" s="114"/>
      <c r="H315" s="114"/>
      <c r="J315" s="114"/>
    </row>
    <row r="316" spans="4:10" ht="15.75" customHeight="1" x14ac:dyDescent="0.25">
      <c r="D316" s="114"/>
      <c r="F316" s="114"/>
      <c r="H316" s="114"/>
      <c r="J316" s="114"/>
    </row>
    <row r="317" spans="4:10" ht="15.75" customHeight="1" x14ac:dyDescent="0.25">
      <c r="D317" s="114"/>
      <c r="F317" s="114"/>
      <c r="H317" s="114"/>
      <c r="J317" s="114"/>
    </row>
    <row r="318" spans="4:10" ht="15.75" customHeight="1" x14ac:dyDescent="0.25">
      <c r="D318" s="114"/>
      <c r="F318" s="114"/>
      <c r="H318" s="114"/>
      <c r="J318" s="114"/>
    </row>
    <row r="319" spans="4:10" ht="15.75" customHeight="1" x14ac:dyDescent="0.25">
      <c r="D319" s="114"/>
      <c r="F319" s="114"/>
      <c r="H319" s="114"/>
      <c r="J319" s="114"/>
    </row>
    <row r="320" spans="4:10" ht="15.75" customHeight="1" x14ac:dyDescent="0.25">
      <c r="D320" s="114"/>
      <c r="F320" s="114"/>
      <c r="H320" s="114"/>
      <c r="J320" s="114"/>
    </row>
    <row r="321" spans="4:10" ht="15.75" customHeight="1" x14ac:dyDescent="0.25">
      <c r="D321" s="114"/>
      <c r="F321" s="114"/>
      <c r="H321" s="114"/>
      <c r="J321" s="114"/>
    </row>
    <row r="322" spans="4:10" ht="15.75" customHeight="1" x14ac:dyDescent="0.25">
      <c r="D322" s="114"/>
      <c r="F322" s="114"/>
      <c r="H322" s="114"/>
      <c r="J322" s="114"/>
    </row>
    <row r="323" spans="4:10" ht="15.75" customHeight="1" x14ac:dyDescent="0.25">
      <c r="D323" s="114"/>
      <c r="F323" s="114"/>
      <c r="H323" s="114"/>
      <c r="J323" s="114"/>
    </row>
    <row r="324" spans="4:10" ht="15.75" customHeight="1" x14ac:dyDescent="0.25">
      <c r="D324" s="114"/>
      <c r="F324" s="114"/>
      <c r="H324" s="114"/>
      <c r="J324" s="114"/>
    </row>
    <row r="325" spans="4:10" ht="15.75" customHeight="1" x14ac:dyDescent="0.25">
      <c r="D325" s="114"/>
      <c r="F325" s="114"/>
      <c r="H325" s="114"/>
      <c r="J325" s="114"/>
    </row>
    <row r="326" spans="4:10" ht="15.75" customHeight="1" x14ac:dyDescent="0.25">
      <c r="D326" s="114"/>
      <c r="F326" s="114"/>
      <c r="H326" s="114"/>
      <c r="J326" s="114"/>
    </row>
    <row r="327" spans="4:10" ht="15.75" customHeight="1" x14ac:dyDescent="0.25">
      <c r="D327" s="114"/>
      <c r="F327" s="114"/>
      <c r="H327" s="114"/>
      <c r="J327" s="114"/>
    </row>
    <row r="328" spans="4:10" ht="15.75" customHeight="1" x14ac:dyDescent="0.25">
      <c r="D328" s="114"/>
      <c r="F328" s="114"/>
      <c r="H328" s="114"/>
      <c r="J328" s="114"/>
    </row>
    <row r="329" spans="4:10" ht="15.75" customHeight="1" x14ac:dyDescent="0.25">
      <c r="D329" s="114"/>
      <c r="F329" s="114"/>
      <c r="H329" s="114"/>
      <c r="J329" s="114"/>
    </row>
    <row r="330" spans="4:10" ht="15.75" customHeight="1" x14ac:dyDescent="0.25">
      <c r="D330" s="114"/>
      <c r="F330" s="114"/>
      <c r="H330" s="114"/>
      <c r="J330" s="114"/>
    </row>
    <row r="331" spans="4:10" ht="15.75" customHeight="1" x14ac:dyDescent="0.25">
      <c r="D331" s="114"/>
      <c r="F331" s="114"/>
      <c r="H331" s="114"/>
      <c r="J331" s="114"/>
    </row>
    <row r="332" spans="4:10" ht="15.75" customHeight="1" x14ac:dyDescent="0.25">
      <c r="D332" s="114"/>
      <c r="F332" s="114"/>
      <c r="H332" s="114"/>
      <c r="J332" s="114"/>
    </row>
    <row r="333" spans="4:10" ht="15.75" customHeight="1" x14ac:dyDescent="0.25">
      <c r="D333" s="114"/>
      <c r="F333" s="114"/>
      <c r="H333" s="114"/>
      <c r="J333" s="114"/>
    </row>
    <row r="334" spans="4:10" ht="15.75" customHeight="1" x14ac:dyDescent="0.25">
      <c r="D334" s="114"/>
      <c r="F334" s="114"/>
      <c r="H334" s="114"/>
      <c r="J334" s="114"/>
    </row>
    <row r="335" spans="4:10" ht="15.75" customHeight="1" x14ac:dyDescent="0.25">
      <c r="D335" s="114"/>
      <c r="F335" s="114"/>
      <c r="H335" s="114"/>
      <c r="J335" s="114"/>
    </row>
    <row r="336" spans="4:10" ht="15.75" customHeight="1" x14ac:dyDescent="0.25">
      <c r="D336" s="114"/>
      <c r="F336" s="114"/>
      <c r="H336" s="114"/>
      <c r="J336" s="114"/>
    </row>
    <row r="337" spans="4:10" ht="15.75" customHeight="1" x14ac:dyDescent="0.25">
      <c r="D337" s="114"/>
      <c r="F337" s="114"/>
      <c r="H337" s="114"/>
      <c r="J337" s="114"/>
    </row>
    <row r="338" spans="4:10" ht="15.75" customHeight="1" x14ac:dyDescent="0.25">
      <c r="D338" s="114"/>
      <c r="F338" s="114"/>
      <c r="H338" s="114"/>
      <c r="J338" s="114"/>
    </row>
    <row r="339" spans="4:10" ht="15.75" customHeight="1" x14ac:dyDescent="0.25">
      <c r="D339" s="114"/>
      <c r="F339" s="114"/>
      <c r="H339" s="114"/>
      <c r="J339" s="114"/>
    </row>
    <row r="340" spans="4:10" ht="15.75" customHeight="1" x14ac:dyDescent="0.25">
      <c r="D340" s="114"/>
      <c r="F340" s="114"/>
      <c r="H340" s="114"/>
      <c r="J340" s="114"/>
    </row>
    <row r="341" spans="4:10" ht="15.75" customHeight="1" x14ac:dyDescent="0.25">
      <c r="D341" s="114"/>
      <c r="F341" s="114"/>
      <c r="H341" s="114"/>
      <c r="J341" s="114"/>
    </row>
    <row r="342" spans="4:10" ht="15.75" customHeight="1" x14ac:dyDescent="0.25">
      <c r="D342" s="114"/>
      <c r="F342" s="114"/>
      <c r="H342" s="114"/>
      <c r="J342" s="114"/>
    </row>
    <row r="343" spans="4:10" ht="15.75" customHeight="1" x14ac:dyDescent="0.25">
      <c r="D343" s="114"/>
      <c r="F343" s="114"/>
      <c r="H343" s="114"/>
      <c r="J343" s="114"/>
    </row>
    <row r="344" spans="4:10" ht="15.75" customHeight="1" x14ac:dyDescent="0.25">
      <c r="D344" s="114"/>
      <c r="F344" s="114"/>
      <c r="H344" s="114"/>
      <c r="J344" s="114"/>
    </row>
    <row r="345" spans="4:10" ht="15.75" customHeight="1" x14ac:dyDescent="0.25">
      <c r="D345" s="114"/>
      <c r="F345" s="114"/>
      <c r="H345" s="114"/>
      <c r="J345" s="114"/>
    </row>
    <row r="346" spans="4:10" ht="15.75" customHeight="1" x14ac:dyDescent="0.25">
      <c r="D346" s="114"/>
      <c r="F346" s="114"/>
      <c r="H346" s="114"/>
      <c r="J346" s="114"/>
    </row>
    <row r="347" spans="4:10" ht="15.75" customHeight="1" x14ac:dyDescent="0.25">
      <c r="D347" s="114"/>
      <c r="F347" s="114"/>
      <c r="H347" s="114"/>
      <c r="J347" s="114"/>
    </row>
    <row r="348" spans="4:10" ht="15.75" customHeight="1" x14ac:dyDescent="0.25">
      <c r="D348" s="114"/>
      <c r="F348" s="114"/>
      <c r="H348" s="114"/>
      <c r="J348" s="114"/>
    </row>
    <row r="349" spans="4:10" ht="15.75" customHeight="1" x14ac:dyDescent="0.25">
      <c r="D349" s="114"/>
      <c r="F349" s="114"/>
      <c r="H349" s="114"/>
      <c r="J349" s="114"/>
    </row>
    <row r="350" spans="4:10" ht="15.75" customHeight="1" x14ac:dyDescent="0.25">
      <c r="D350" s="114"/>
      <c r="F350" s="114"/>
      <c r="H350" s="114"/>
      <c r="J350" s="114"/>
    </row>
    <row r="351" spans="4:10" ht="15.75" customHeight="1" x14ac:dyDescent="0.25">
      <c r="D351" s="114"/>
      <c r="F351" s="114"/>
      <c r="H351" s="114"/>
      <c r="J351" s="114"/>
    </row>
    <row r="352" spans="4:10" ht="15.75" customHeight="1" x14ac:dyDescent="0.25">
      <c r="D352" s="114"/>
      <c r="F352" s="114"/>
      <c r="H352" s="114"/>
      <c r="J352" s="114"/>
    </row>
    <row r="353" spans="4:10" ht="15.75" customHeight="1" x14ac:dyDescent="0.25">
      <c r="D353" s="114"/>
      <c r="F353" s="114"/>
      <c r="H353" s="114"/>
      <c r="J353" s="114"/>
    </row>
    <row r="354" spans="4:10" ht="15.75" customHeight="1" x14ac:dyDescent="0.25">
      <c r="D354" s="114"/>
      <c r="F354" s="114"/>
      <c r="H354" s="114"/>
      <c r="J354" s="114"/>
    </row>
    <row r="355" spans="4:10" ht="15.75" customHeight="1" x14ac:dyDescent="0.25">
      <c r="D355" s="114"/>
      <c r="F355" s="114"/>
      <c r="H355" s="114"/>
      <c r="J355" s="114"/>
    </row>
    <row r="356" spans="4:10" ht="15.75" customHeight="1" x14ac:dyDescent="0.25">
      <c r="D356" s="114"/>
      <c r="F356" s="114"/>
      <c r="H356" s="114"/>
      <c r="J356" s="114"/>
    </row>
    <row r="357" spans="4:10" ht="15.75" customHeight="1" x14ac:dyDescent="0.25">
      <c r="D357" s="114"/>
      <c r="F357" s="114"/>
      <c r="H357" s="114"/>
      <c r="J357" s="114"/>
    </row>
    <row r="358" spans="4:10" ht="15.75" customHeight="1" x14ac:dyDescent="0.25">
      <c r="D358" s="114"/>
      <c r="F358" s="114"/>
      <c r="H358" s="114"/>
      <c r="J358" s="114"/>
    </row>
    <row r="359" spans="4:10" ht="15.75" customHeight="1" x14ac:dyDescent="0.25">
      <c r="D359" s="114"/>
      <c r="F359" s="114"/>
      <c r="H359" s="114"/>
      <c r="J359" s="114"/>
    </row>
    <row r="360" spans="4:10" ht="15.75" customHeight="1" x14ac:dyDescent="0.25">
      <c r="D360" s="114"/>
      <c r="F360" s="114"/>
      <c r="H360" s="114"/>
      <c r="J360" s="114"/>
    </row>
    <row r="361" spans="4:10" ht="15.75" customHeight="1" x14ac:dyDescent="0.25">
      <c r="D361" s="114"/>
      <c r="F361" s="114"/>
      <c r="H361" s="114"/>
      <c r="J361" s="114"/>
    </row>
    <row r="362" spans="4:10" ht="15.75" customHeight="1" x14ac:dyDescent="0.25">
      <c r="D362" s="114"/>
      <c r="F362" s="114"/>
      <c r="H362" s="114"/>
      <c r="J362" s="114"/>
    </row>
    <row r="363" spans="4:10" ht="15.75" customHeight="1" x14ac:dyDescent="0.25">
      <c r="D363" s="114"/>
      <c r="F363" s="114"/>
      <c r="H363" s="114"/>
      <c r="J363" s="114"/>
    </row>
    <row r="364" spans="4:10" ht="15.75" customHeight="1" x14ac:dyDescent="0.25">
      <c r="D364" s="114"/>
      <c r="F364" s="114"/>
      <c r="H364" s="114"/>
      <c r="J364" s="114"/>
    </row>
    <row r="365" spans="4:10" ht="15.75" customHeight="1" x14ac:dyDescent="0.25">
      <c r="D365" s="114"/>
      <c r="F365" s="114"/>
      <c r="H365" s="114"/>
      <c r="J365" s="114"/>
    </row>
    <row r="366" spans="4:10" ht="15.75" customHeight="1" x14ac:dyDescent="0.25">
      <c r="D366" s="114"/>
      <c r="F366" s="114"/>
      <c r="H366" s="114"/>
      <c r="J366" s="114"/>
    </row>
    <row r="367" spans="4:10" ht="15.75" customHeight="1" x14ac:dyDescent="0.25">
      <c r="D367" s="114"/>
      <c r="F367" s="114"/>
      <c r="H367" s="114"/>
      <c r="J367" s="114"/>
    </row>
    <row r="368" spans="4:10" ht="15.75" customHeight="1" x14ac:dyDescent="0.25">
      <c r="D368" s="114"/>
      <c r="F368" s="114"/>
      <c r="H368" s="114"/>
      <c r="J368" s="114"/>
    </row>
    <row r="369" spans="4:10" ht="15.75" customHeight="1" x14ac:dyDescent="0.25">
      <c r="D369" s="114"/>
      <c r="F369" s="114"/>
      <c r="H369" s="114"/>
      <c r="J369" s="114"/>
    </row>
    <row r="370" spans="4:10" ht="15.75" customHeight="1" x14ac:dyDescent="0.25">
      <c r="D370" s="114"/>
      <c r="F370" s="114"/>
      <c r="H370" s="114"/>
      <c r="J370" s="114"/>
    </row>
    <row r="371" spans="4:10" ht="15.75" customHeight="1" x14ac:dyDescent="0.25">
      <c r="D371" s="114"/>
      <c r="F371" s="114"/>
      <c r="H371" s="114"/>
      <c r="J371" s="114"/>
    </row>
    <row r="372" spans="4:10" ht="15.75" customHeight="1" x14ac:dyDescent="0.25">
      <c r="D372" s="114"/>
      <c r="F372" s="114"/>
      <c r="H372" s="114"/>
      <c r="J372" s="114"/>
    </row>
    <row r="373" spans="4:10" ht="15.75" customHeight="1" x14ac:dyDescent="0.25">
      <c r="D373" s="114"/>
      <c r="F373" s="114"/>
      <c r="H373" s="114"/>
      <c r="J373" s="114"/>
    </row>
    <row r="374" spans="4:10" ht="15.75" customHeight="1" x14ac:dyDescent="0.25">
      <c r="D374" s="114"/>
      <c r="F374" s="114"/>
      <c r="H374" s="114"/>
      <c r="J374" s="114"/>
    </row>
    <row r="375" spans="4:10" ht="15.75" customHeight="1" x14ac:dyDescent="0.25">
      <c r="D375" s="114"/>
      <c r="F375" s="114"/>
      <c r="H375" s="114"/>
      <c r="J375" s="114"/>
    </row>
    <row r="376" spans="4:10" ht="15.75" customHeight="1" x14ac:dyDescent="0.25">
      <c r="D376" s="114"/>
      <c r="F376" s="114"/>
      <c r="H376" s="114"/>
      <c r="J376" s="114"/>
    </row>
    <row r="377" spans="4:10" ht="15.75" customHeight="1" x14ac:dyDescent="0.25">
      <c r="D377" s="114"/>
      <c r="F377" s="114"/>
      <c r="H377" s="114"/>
      <c r="J377" s="114"/>
    </row>
    <row r="378" spans="4:10" ht="15.75" customHeight="1" x14ac:dyDescent="0.25">
      <c r="D378" s="114"/>
      <c r="F378" s="114"/>
      <c r="H378" s="114"/>
      <c r="J378" s="114"/>
    </row>
    <row r="379" spans="4:10" ht="15.75" customHeight="1" x14ac:dyDescent="0.25">
      <c r="D379" s="114"/>
      <c r="F379" s="114"/>
      <c r="H379" s="114"/>
      <c r="J379" s="114"/>
    </row>
    <row r="380" spans="4:10" ht="15.75" customHeight="1" x14ac:dyDescent="0.25">
      <c r="D380" s="114"/>
      <c r="F380" s="114"/>
      <c r="H380" s="114"/>
      <c r="J380" s="114"/>
    </row>
    <row r="381" spans="4:10" ht="15.75" customHeight="1" x14ac:dyDescent="0.25">
      <c r="D381" s="114"/>
      <c r="F381" s="114"/>
      <c r="H381" s="114"/>
      <c r="J381" s="114"/>
    </row>
    <row r="382" spans="4:10" ht="15.75" customHeight="1" x14ac:dyDescent="0.25">
      <c r="D382" s="114"/>
      <c r="F382" s="114"/>
      <c r="H382" s="114"/>
      <c r="J382" s="114"/>
    </row>
    <row r="383" spans="4:10" ht="15.75" customHeight="1" x14ac:dyDescent="0.25">
      <c r="D383" s="114"/>
      <c r="F383" s="114"/>
      <c r="H383" s="114"/>
      <c r="J383" s="114"/>
    </row>
    <row r="384" spans="4:10" ht="15.75" customHeight="1" x14ac:dyDescent="0.25">
      <c r="D384" s="114"/>
      <c r="F384" s="114"/>
      <c r="H384" s="114"/>
      <c r="J384" s="114"/>
    </row>
    <row r="385" spans="4:10" ht="15.75" customHeight="1" x14ac:dyDescent="0.25">
      <c r="D385" s="114"/>
      <c r="F385" s="114"/>
      <c r="H385" s="114"/>
      <c r="J385" s="114"/>
    </row>
    <row r="386" spans="4:10" ht="15.75" customHeight="1" x14ac:dyDescent="0.25">
      <c r="D386" s="114"/>
      <c r="F386" s="114"/>
      <c r="H386" s="114"/>
      <c r="J386" s="114"/>
    </row>
    <row r="387" spans="4:10" ht="15.75" customHeight="1" x14ac:dyDescent="0.25">
      <c r="D387" s="114"/>
      <c r="F387" s="114"/>
      <c r="H387" s="114"/>
      <c r="J387" s="114"/>
    </row>
    <row r="388" spans="4:10" ht="15.75" customHeight="1" x14ac:dyDescent="0.25">
      <c r="D388" s="114"/>
      <c r="F388" s="114"/>
      <c r="H388" s="114"/>
      <c r="J388" s="114"/>
    </row>
    <row r="389" spans="4:10" ht="15.75" customHeight="1" x14ac:dyDescent="0.25">
      <c r="D389" s="114"/>
      <c r="F389" s="114"/>
      <c r="H389" s="114"/>
      <c r="J389" s="114"/>
    </row>
    <row r="390" spans="4:10" ht="15.75" customHeight="1" x14ac:dyDescent="0.25">
      <c r="D390" s="114"/>
      <c r="F390" s="114"/>
      <c r="H390" s="114"/>
      <c r="J390" s="114"/>
    </row>
    <row r="391" spans="4:10" ht="15.75" customHeight="1" x14ac:dyDescent="0.25">
      <c r="D391" s="114"/>
      <c r="F391" s="114"/>
      <c r="H391" s="114"/>
      <c r="J391" s="114"/>
    </row>
    <row r="392" spans="4:10" ht="15.75" customHeight="1" x14ac:dyDescent="0.25">
      <c r="D392" s="114"/>
      <c r="F392" s="114"/>
      <c r="H392" s="114"/>
      <c r="J392" s="114"/>
    </row>
    <row r="393" spans="4:10" ht="15.75" customHeight="1" x14ac:dyDescent="0.25">
      <c r="D393" s="114"/>
      <c r="F393" s="114"/>
      <c r="H393" s="114"/>
      <c r="J393" s="114"/>
    </row>
    <row r="394" spans="4:10" ht="15.75" customHeight="1" x14ac:dyDescent="0.25">
      <c r="D394" s="114"/>
      <c r="F394" s="114"/>
      <c r="H394" s="114"/>
      <c r="J394" s="114"/>
    </row>
    <row r="395" spans="4:10" ht="15.75" customHeight="1" x14ac:dyDescent="0.25">
      <c r="D395" s="114"/>
      <c r="F395" s="114"/>
      <c r="H395" s="114"/>
      <c r="J395" s="114"/>
    </row>
    <row r="396" spans="4:10" ht="15.75" customHeight="1" x14ac:dyDescent="0.25">
      <c r="D396" s="114"/>
      <c r="F396" s="114"/>
      <c r="H396" s="114"/>
      <c r="J396" s="114"/>
    </row>
    <row r="397" spans="4:10" ht="15.75" customHeight="1" x14ac:dyDescent="0.25">
      <c r="D397" s="114"/>
      <c r="F397" s="114"/>
      <c r="H397" s="114"/>
      <c r="J397" s="114"/>
    </row>
    <row r="398" spans="4:10" ht="15.75" customHeight="1" x14ac:dyDescent="0.25">
      <c r="D398" s="114"/>
      <c r="F398" s="114"/>
      <c r="H398" s="114"/>
      <c r="J398" s="114"/>
    </row>
    <row r="399" spans="4:10" ht="15.75" customHeight="1" x14ac:dyDescent="0.25">
      <c r="D399" s="114"/>
      <c r="F399" s="114"/>
      <c r="H399" s="114"/>
      <c r="J399" s="114"/>
    </row>
    <row r="400" spans="4:10" ht="15.75" customHeight="1" x14ac:dyDescent="0.25">
      <c r="D400" s="114"/>
      <c r="F400" s="114"/>
      <c r="H400" s="114"/>
      <c r="J400" s="114"/>
    </row>
    <row r="401" spans="4:10" ht="15.75" customHeight="1" x14ac:dyDescent="0.25">
      <c r="D401" s="114"/>
      <c r="F401" s="114"/>
      <c r="H401" s="114"/>
      <c r="J401" s="114"/>
    </row>
    <row r="402" spans="4:10" ht="15.75" customHeight="1" x14ac:dyDescent="0.25">
      <c r="D402" s="114"/>
      <c r="F402" s="114"/>
      <c r="H402" s="114"/>
      <c r="J402" s="114"/>
    </row>
    <row r="403" spans="4:10" ht="15.75" customHeight="1" x14ac:dyDescent="0.25">
      <c r="D403" s="114"/>
      <c r="F403" s="114"/>
      <c r="H403" s="114"/>
      <c r="J403" s="114"/>
    </row>
    <row r="404" spans="4:10" ht="15.75" customHeight="1" x14ac:dyDescent="0.25">
      <c r="D404" s="114"/>
      <c r="F404" s="114"/>
      <c r="H404" s="114"/>
      <c r="J404" s="114"/>
    </row>
    <row r="405" spans="4:10" ht="15.75" customHeight="1" x14ac:dyDescent="0.25">
      <c r="D405" s="114"/>
      <c r="F405" s="114"/>
      <c r="H405" s="114"/>
      <c r="J405" s="114"/>
    </row>
    <row r="406" spans="4:10" ht="15.75" customHeight="1" x14ac:dyDescent="0.25">
      <c r="D406" s="114"/>
      <c r="F406" s="114"/>
      <c r="H406" s="114"/>
      <c r="J406" s="114"/>
    </row>
    <row r="407" spans="4:10" ht="15.75" customHeight="1" x14ac:dyDescent="0.25">
      <c r="D407" s="114"/>
      <c r="F407" s="114"/>
      <c r="H407" s="114"/>
      <c r="J407" s="114"/>
    </row>
    <row r="408" spans="4:10" ht="15.75" customHeight="1" x14ac:dyDescent="0.25">
      <c r="D408" s="114"/>
      <c r="F408" s="114"/>
      <c r="H408" s="114"/>
      <c r="J408" s="114"/>
    </row>
    <row r="409" spans="4:10" ht="15.75" customHeight="1" x14ac:dyDescent="0.25">
      <c r="D409" s="114"/>
      <c r="F409" s="114"/>
      <c r="H409" s="114"/>
      <c r="J409" s="114"/>
    </row>
    <row r="410" spans="4:10" ht="15.75" customHeight="1" x14ac:dyDescent="0.25">
      <c r="D410" s="114"/>
      <c r="F410" s="114"/>
      <c r="H410" s="114"/>
      <c r="J410" s="114"/>
    </row>
    <row r="411" spans="4:10" ht="15.75" customHeight="1" x14ac:dyDescent="0.25">
      <c r="D411" s="114"/>
      <c r="F411" s="114"/>
      <c r="H411" s="114"/>
      <c r="J411" s="114"/>
    </row>
    <row r="412" spans="4:10" ht="15.75" customHeight="1" x14ac:dyDescent="0.25">
      <c r="D412" s="114"/>
      <c r="F412" s="114"/>
      <c r="H412" s="114"/>
      <c r="J412" s="114"/>
    </row>
    <row r="413" spans="4:10" ht="15.75" customHeight="1" x14ac:dyDescent="0.25">
      <c r="D413" s="114"/>
      <c r="F413" s="114"/>
      <c r="H413" s="114"/>
      <c r="J413" s="114"/>
    </row>
    <row r="414" spans="4:10" ht="15.75" customHeight="1" x14ac:dyDescent="0.25">
      <c r="D414" s="114"/>
      <c r="F414" s="114"/>
      <c r="H414" s="114"/>
      <c r="J414" s="114"/>
    </row>
    <row r="415" spans="4:10" ht="15.75" customHeight="1" x14ac:dyDescent="0.25">
      <c r="D415" s="114"/>
      <c r="F415" s="114"/>
      <c r="H415" s="114"/>
      <c r="J415" s="114"/>
    </row>
    <row r="416" spans="4:10" ht="15.75" customHeight="1" x14ac:dyDescent="0.25">
      <c r="D416" s="114"/>
      <c r="F416" s="114"/>
      <c r="H416" s="114"/>
      <c r="J416" s="114"/>
    </row>
    <row r="417" spans="4:10" ht="15.75" customHeight="1" x14ac:dyDescent="0.25">
      <c r="D417" s="114"/>
      <c r="F417" s="114"/>
      <c r="H417" s="114"/>
      <c r="J417" s="114"/>
    </row>
    <row r="418" spans="4:10" ht="15.75" customHeight="1" x14ac:dyDescent="0.25">
      <c r="D418" s="114"/>
      <c r="F418" s="114"/>
      <c r="H418" s="114"/>
      <c r="J418" s="114"/>
    </row>
    <row r="419" spans="4:10" ht="15.75" customHeight="1" x14ac:dyDescent="0.25">
      <c r="D419" s="114"/>
      <c r="F419" s="114"/>
      <c r="H419" s="114"/>
      <c r="J419" s="114"/>
    </row>
    <row r="420" spans="4:10" ht="15.75" customHeight="1" x14ac:dyDescent="0.25">
      <c r="D420" s="114"/>
      <c r="F420" s="114"/>
      <c r="H420" s="114"/>
      <c r="J420" s="114"/>
    </row>
    <row r="421" spans="4:10" ht="15.75" customHeight="1" x14ac:dyDescent="0.25">
      <c r="D421" s="114"/>
      <c r="F421" s="114"/>
      <c r="H421" s="114"/>
      <c r="J421" s="114"/>
    </row>
    <row r="422" spans="4:10" ht="15.75" customHeight="1" x14ac:dyDescent="0.25">
      <c r="D422" s="114"/>
      <c r="F422" s="114"/>
      <c r="H422" s="114"/>
      <c r="J422" s="114"/>
    </row>
    <row r="423" spans="4:10" ht="15.75" customHeight="1" x14ac:dyDescent="0.25">
      <c r="D423" s="114"/>
      <c r="F423" s="114"/>
      <c r="H423" s="114"/>
      <c r="J423" s="114"/>
    </row>
    <row r="424" spans="4:10" ht="15.75" customHeight="1" x14ac:dyDescent="0.25">
      <c r="D424" s="114"/>
      <c r="F424" s="114"/>
      <c r="H424" s="114"/>
      <c r="J424" s="114"/>
    </row>
    <row r="425" spans="4:10" ht="15.75" customHeight="1" x14ac:dyDescent="0.25">
      <c r="D425" s="114"/>
      <c r="F425" s="114"/>
      <c r="H425" s="114"/>
      <c r="J425" s="114"/>
    </row>
    <row r="426" spans="4:10" ht="15.75" customHeight="1" x14ac:dyDescent="0.25">
      <c r="D426" s="114"/>
      <c r="F426" s="114"/>
      <c r="H426" s="114"/>
      <c r="J426" s="114"/>
    </row>
    <row r="427" spans="4:10" ht="15.75" customHeight="1" x14ac:dyDescent="0.25">
      <c r="D427" s="114"/>
      <c r="F427" s="114"/>
      <c r="H427" s="114"/>
      <c r="J427" s="114"/>
    </row>
    <row r="428" spans="4:10" ht="15.75" customHeight="1" x14ac:dyDescent="0.25">
      <c r="D428" s="114"/>
      <c r="F428" s="114"/>
      <c r="H428" s="114"/>
      <c r="J428" s="114"/>
    </row>
    <row r="429" spans="4:10" ht="15.75" customHeight="1" x14ac:dyDescent="0.25">
      <c r="D429" s="114"/>
      <c r="F429" s="114"/>
      <c r="H429" s="114"/>
      <c r="J429" s="114"/>
    </row>
    <row r="430" spans="4:10" ht="15.75" customHeight="1" x14ac:dyDescent="0.25">
      <c r="D430" s="114"/>
      <c r="F430" s="114"/>
      <c r="H430" s="114"/>
      <c r="J430" s="114"/>
    </row>
    <row r="431" spans="4:10" ht="15.75" customHeight="1" x14ac:dyDescent="0.25">
      <c r="D431" s="114"/>
      <c r="F431" s="114"/>
      <c r="H431" s="114"/>
      <c r="J431" s="114"/>
    </row>
    <row r="432" spans="4:10" ht="15.75" customHeight="1" x14ac:dyDescent="0.25">
      <c r="D432" s="114"/>
      <c r="F432" s="114"/>
      <c r="H432" s="114"/>
      <c r="J432" s="114"/>
    </row>
    <row r="433" spans="4:10" ht="15.75" customHeight="1" x14ac:dyDescent="0.25">
      <c r="D433" s="114"/>
      <c r="F433" s="114"/>
      <c r="H433" s="114"/>
      <c r="J433" s="114"/>
    </row>
    <row r="434" spans="4:10" ht="15.75" customHeight="1" x14ac:dyDescent="0.25">
      <c r="D434" s="114"/>
      <c r="F434" s="114"/>
      <c r="H434" s="114"/>
      <c r="J434" s="114"/>
    </row>
    <row r="435" spans="4:10" ht="15.75" customHeight="1" x14ac:dyDescent="0.25">
      <c r="D435" s="114"/>
      <c r="F435" s="114"/>
      <c r="H435" s="114"/>
      <c r="J435" s="114"/>
    </row>
    <row r="436" spans="4:10" ht="15.75" customHeight="1" x14ac:dyDescent="0.25">
      <c r="D436" s="114"/>
      <c r="F436" s="114"/>
      <c r="H436" s="114"/>
      <c r="J436" s="114"/>
    </row>
    <row r="437" spans="4:10" ht="15.75" customHeight="1" x14ac:dyDescent="0.25">
      <c r="D437" s="114"/>
      <c r="F437" s="114"/>
      <c r="H437" s="114"/>
      <c r="J437" s="114"/>
    </row>
    <row r="438" spans="4:10" ht="15.75" customHeight="1" x14ac:dyDescent="0.25">
      <c r="D438" s="114"/>
      <c r="F438" s="114"/>
      <c r="H438" s="114"/>
      <c r="J438" s="114"/>
    </row>
    <row r="439" spans="4:10" ht="15.75" customHeight="1" x14ac:dyDescent="0.25">
      <c r="D439" s="114"/>
      <c r="F439" s="114"/>
      <c r="H439" s="114"/>
      <c r="J439" s="114"/>
    </row>
    <row r="440" spans="4:10" ht="15.75" customHeight="1" x14ac:dyDescent="0.25">
      <c r="D440" s="114"/>
      <c r="F440" s="114"/>
      <c r="H440" s="114"/>
      <c r="J440" s="114"/>
    </row>
    <row r="441" spans="4:10" ht="15.75" customHeight="1" x14ac:dyDescent="0.25">
      <c r="D441" s="114"/>
      <c r="F441" s="114"/>
      <c r="H441" s="114"/>
      <c r="J441" s="114"/>
    </row>
    <row r="442" spans="4:10" ht="15.75" customHeight="1" x14ac:dyDescent="0.25">
      <c r="D442" s="114"/>
      <c r="F442" s="114"/>
      <c r="H442" s="114"/>
      <c r="J442" s="114"/>
    </row>
    <row r="443" spans="4:10" ht="15.75" customHeight="1" x14ac:dyDescent="0.25">
      <c r="D443" s="114"/>
      <c r="F443" s="114"/>
      <c r="H443" s="114"/>
      <c r="J443" s="114"/>
    </row>
    <row r="444" spans="4:10" ht="15.75" customHeight="1" x14ac:dyDescent="0.25">
      <c r="D444" s="114"/>
      <c r="F444" s="114"/>
      <c r="H444" s="114"/>
      <c r="J444" s="114"/>
    </row>
    <row r="445" spans="4:10" ht="15.75" customHeight="1" x14ac:dyDescent="0.25">
      <c r="D445" s="114"/>
      <c r="F445" s="114"/>
      <c r="H445" s="114"/>
      <c r="J445" s="114"/>
    </row>
    <row r="446" spans="4:10" ht="15.75" customHeight="1" x14ac:dyDescent="0.25">
      <c r="D446" s="114"/>
      <c r="F446" s="114"/>
      <c r="H446" s="114"/>
      <c r="J446" s="114"/>
    </row>
    <row r="447" spans="4:10" ht="15.75" customHeight="1" x14ac:dyDescent="0.25">
      <c r="D447" s="114"/>
      <c r="F447" s="114"/>
      <c r="H447" s="114"/>
      <c r="J447" s="114"/>
    </row>
    <row r="448" spans="4:10" ht="15.75" customHeight="1" x14ac:dyDescent="0.25">
      <c r="D448" s="114"/>
      <c r="F448" s="114"/>
      <c r="H448" s="114"/>
      <c r="J448" s="114"/>
    </row>
    <row r="449" spans="4:10" ht="15.75" customHeight="1" x14ac:dyDescent="0.25">
      <c r="D449" s="114"/>
      <c r="F449" s="114"/>
      <c r="H449" s="114"/>
      <c r="J449" s="114"/>
    </row>
    <row r="450" spans="4:10" ht="15.75" customHeight="1" x14ac:dyDescent="0.25">
      <c r="D450" s="114"/>
      <c r="F450" s="114"/>
      <c r="H450" s="114"/>
      <c r="J450" s="114"/>
    </row>
    <row r="451" spans="4:10" ht="15.75" customHeight="1" x14ac:dyDescent="0.25">
      <c r="D451" s="114"/>
      <c r="F451" s="114"/>
      <c r="H451" s="114"/>
      <c r="J451" s="114"/>
    </row>
    <row r="452" spans="4:10" ht="15.75" customHeight="1" x14ac:dyDescent="0.25">
      <c r="D452" s="114"/>
      <c r="F452" s="114"/>
      <c r="H452" s="114"/>
      <c r="J452" s="114"/>
    </row>
    <row r="453" spans="4:10" ht="15.75" customHeight="1" x14ac:dyDescent="0.25">
      <c r="D453" s="114"/>
      <c r="F453" s="114"/>
      <c r="H453" s="114"/>
      <c r="J453" s="114"/>
    </row>
    <row r="454" spans="4:10" ht="15.75" customHeight="1" x14ac:dyDescent="0.25">
      <c r="D454" s="114"/>
      <c r="F454" s="114"/>
      <c r="H454" s="114"/>
      <c r="J454" s="114"/>
    </row>
    <row r="455" spans="4:10" ht="15.75" customHeight="1" x14ac:dyDescent="0.25">
      <c r="D455" s="114"/>
      <c r="F455" s="114"/>
      <c r="H455" s="114"/>
      <c r="J455" s="114"/>
    </row>
    <row r="456" spans="4:10" ht="15.75" customHeight="1" x14ac:dyDescent="0.25">
      <c r="D456" s="114"/>
      <c r="F456" s="114"/>
      <c r="H456" s="114"/>
      <c r="J456" s="114"/>
    </row>
    <row r="457" spans="4:10" ht="15.75" customHeight="1" x14ac:dyDescent="0.25">
      <c r="D457" s="114"/>
      <c r="F457" s="114"/>
      <c r="H457" s="114"/>
      <c r="J457" s="114"/>
    </row>
    <row r="458" spans="4:10" ht="15.75" customHeight="1" x14ac:dyDescent="0.25">
      <c r="D458" s="114"/>
      <c r="F458" s="114"/>
      <c r="H458" s="114"/>
      <c r="J458" s="114"/>
    </row>
    <row r="459" spans="4:10" ht="15.75" customHeight="1" x14ac:dyDescent="0.25">
      <c r="D459" s="114"/>
      <c r="F459" s="114"/>
      <c r="H459" s="114"/>
      <c r="J459" s="114"/>
    </row>
    <row r="460" spans="4:10" ht="15.75" customHeight="1" x14ac:dyDescent="0.25">
      <c r="D460" s="114"/>
      <c r="F460" s="114"/>
      <c r="H460" s="114"/>
      <c r="J460" s="114"/>
    </row>
    <row r="461" spans="4:10" ht="15.75" customHeight="1" x14ac:dyDescent="0.25">
      <c r="D461" s="114"/>
      <c r="F461" s="114"/>
      <c r="H461" s="114"/>
      <c r="J461" s="114"/>
    </row>
    <row r="462" spans="4:10" ht="15.75" customHeight="1" x14ac:dyDescent="0.25">
      <c r="D462" s="114"/>
      <c r="F462" s="114"/>
      <c r="H462" s="114"/>
      <c r="J462" s="114"/>
    </row>
    <row r="463" spans="4:10" ht="15.75" customHeight="1" x14ac:dyDescent="0.25">
      <c r="D463" s="114"/>
      <c r="F463" s="114"/>
      <c r="H463" s="114"/>
      <c r="J463" s="114"/>
    </row>
    <row r="464" spans="4:10" ht="15.75" customHeight="1" x14ac:dyDescent="0.25">
      <c r="D464" s="114"/>
      <c r="F464" s="114"/>
      <c r="H464" s="114"/>
      <c r="J464" s="114"/>
    </row>
    <row r="465" spans="4:10" ht="15.75" customHeight="1" x14ac:dyDescent="0.25">
      <c r="D465" s="114"/>
      <c r="F465" s="114"/>
      <c r="H465" s="114"/>
      <c r="J465" s="114"/>
    </row>
    <row r="466" spans="4:10" ht="15.75" customHeight="1" x14ac:dyDescent="0.25">
      <c r="D466" s="114"/>
      <c r="F466" s="114"/>
      <c r="H466" s="114"/>
      <c r="J466" s="114"/>
    </row>
    <row r="467" spans="4:10" ht="15.75" customHeight="1" x14ac:dyDescent="0.25">
      <c r="D467" s="114"/>
      <c r="F467" s="114"/>
      <c r="H467" s="114"/>
      <c r="J467" s="114"/>
    </row>
    <row r="468" spans="4:10" ht="15.75" customHeight="1" x14ac:dyDescent="0.25">
      <c r="D468" s="114"/>
      <c r="F468" s="114"/>
      <c r="H468" s="114"/>
      <c r="J468" s="114"/>
    </row>
    <row r="469" spans="4:10" ht="15.75" customHeight="1" x14ac:dyDescent="0.25">
      <c r="D469" s="114"/>
      <c r="F469" s="114"/>
      <c r="H469" s="114"/>
      <c r="J469" s="114"/>
    </row>
    <row r="470" spans="4:10" ht="15.75" customHeight="1" x14ac:dyDescent="0.25">
      <c r="D470" s="114"/>
      <c r="F470" s="114"/>
      <c r="H470" s="114"/>
      <c r="J470" s="114"/>
    </row>
    <row r="471" spans="4:10" ht="15.75" customHeight="1" x14ac:dyDescent="0.25">
      <c r="D471" s="114"/>
      <c r="F471" s="114"/>
      <c r="H471" s="114"/>
      <c r="J471" s="114"/>
    </row>
    <row r="472" spans="4:10" ht="15.75" customHeight="1" x14ac:dyDescent="0.25">
      <c r="D472" s="114"/>
      <c r="F472" s="114"/>
      <c r="H472" s="114"/>
      <c r="J472" s="114"/>
    </row>
    <row r="473" spans="4:10" ht="15.75" customHeight="1" x14ac:dyDescent="0.25">
      <c r="D473" s="114"/>
      <c r="F473" s="114"/>
      <c r="H473" s="114"/>
      <c r="J473" s="114"/>
    </row>
    <row r="474" spans="4:10" ht="15.75" customHeight="1" x14ac:dyDescent="0.25">
      <c r="D474" s="114"/>
      <c r="F474" s="114"/>
      <c r="H474" s="114"/>
      <c r="J474" s="114"/>
    </row>
    <row r="475" spans="4:10" ht="15.75" customHeight="1" x14ac:dyDescent="0.25">
      <c r="D475" s="114"/>
      <c r="F475" s="114"/>
      <c r="H475" s="114"/>
      <c r="J475" s="114"/>
    </row>
    <row r="476" spans="4:10" ht="15.75" customHeight="1" x14ac:dyDescent="0.25">
      <c r="D476" s="114"/>
      <c r="F476" s="114"/>
      <c r="H476" s="114"/>
      <c r="J476" s="114"/>
    </row>
    <row r="477" spans="4:10" ht="15.75" customHeight="1" x14ac:dyDescent="0.25">
      <c r="D477" s="114"/>
      <c r="F477" s="114"/>
      <c r="H477" s="114"/>
      <c r="J477" s="114"/>
    </row>
    <row r="478" spans="4:10" ht="15.75" customHeight="1" x14ac:dyDescent="0.25">
      <c r="D478" s="114"/>
      <c r="F478" s="114"/>
      <c r="H478" s="114"/>
      <c r="J478" s="114"/>
    </row>
    <row r="479" spans="4:10" ht="15.75" customHeight="1" x14ac:dyDescent="0.25">
      <c r="D479" s="114"/>
      <c r="F479" s="114"/>
      <c r="H479" s="114"/>
      <c r="J479" s="114"/>
    </row>
    <row r="480" spans="4:10" ht="15.75" customHeight="1" x14ac:dyDescent="0.25">
      <c r="D480" s="114"/>
      <c r="F480" s="114"/>
      <c r="H480" s="114"/>
      <c r="J480" s="114"/>
    </row>
    <row r="481" spans="4:10" ht="15.75" customHeight="1" x14ac:dyDescent="0.25">
      <c r="D481" s="114"/>
      <c r="F481" s="114"/>
      <c r="H481" s="114"/>
      <c r="J481" s="114"/>
    </row>
    <row r="482" spans="4:10" ht="15.75" customHeight="1" x14ac:dyDescent="0.25">
      <c r="D482" s="114"/>
      <c r="F482" s="114"/>
      <c r="H482" s="114"/>
      <c r="J482" s="114"/>
    </row>
    <row r="483" spans="4:10" ht="15.75" customHeight="1" x14ac:dyDescent="0.25">
      <c r="D483" s="114"/>
      <c r="F483" s="114"/>
      <c r="H483" s="114"/>
      <c r="J483" s="114"/>
    </row>
    <row r="484" spans="4:10" ht="15.75" customHeight="1" x14ac:dyDescent="0.25">
      <c r="D484" s="114"/>
      <c r="F484" s="114"/>
      <c r="H484" s="114"/>
      <c r="J484" s="114"/>
    </row>
    <row r="485" spans="4:10" ht="15.75" customHeight="1" x14ac:dyDescent="0.25">
      <c r="D485" s="114"/>
      <c r="F485" s="114"/>
      <c r="H485" s="114"/>
      <c r="J485" s="114"/>
    </row>
    <row r="486" spans="4:10" ht="15.75" customHeight="1" x14ac:dyDescent="0.25">
      <c r="D486" s="114"/>
      <c r="F486" s="114"/>
      <c r="H486" s="114"/>
      <c r="J486" s="114"/>
    </row>
    <row r="487" spans="4:10" ht="15.75" customHeight="1" x14ac:dyDescent="0.25">
      <c r="D487" s="114"/>
      <c r="F487" s="114"/>
      <c r="H487" s="114"/>
      <c r="J487" s="114"/>
    </row>
    <row r="488" spans="4:10" ht="15.75" customHeight="1" x14ac:dyDescent="0.25">
      <c r="D488" s="114"/>
      <c r="F488" s="114"/>
      <c r="H488" s="114"/>
      <c r="J488" s="114"/>
    </row>
    <row r="489" spans="4:10" ht="15.75" customHeight="1" x14ac:dyDescent="0.25">
      <c r="D489" s="114"/>
      <c r="F489" s="114"/>
      <c r="H489" s="114"/>
      <c r="J489" s="114"/>
    </row>
    <row r="490" spans="4:10" ht="15.75" customHeight="1" x14ac:dyDescent="0.25">
      <c r="D490" s="114"/>
      <c r="F490" s="114"/>
      <c r="H490" s="114"/>
      <c r="J490" s="114"/>
    </row>
    <row r="491" spans="4:10" ht="15.75" customHeight="1" x14ac:dyDescent="0.25">
      <c r="D491" s="114"/>
      <c r="F491" s="114"/>
      <c r="H491" s="114"/>
      <c r="J491" s="114"/>
    </row>
    <row r="492" spans="4:10" ht="15.75" customHeight="1" x14ac:dyDescent="0.25">
      <c r="D492" s="114"/>
      <c r="F492" s="114"/>
      <c r="H492" s="114"/>
      <c r="J492" s="114"/>
    </row>
    <row r="493" spans="4:10" ht="15.75" customHeight="1" x14ac:dyDescent="0.25">
      <c r="D493" s="114"/>
      <c r="F493" s="114"/>
      <c r="H493" s="114"/>
      <c r="J493" s="114"/>
    </row>
    <row r="494" spans="4:10" ht="15.75" customHeight="1" x14ac:dyDescent="0.25">
      <c r="D494" s="114"/>
      <c r="F494" s="114"/>
      <c r="H494" s="114"/>
      <c r="J494" s="114"/>
    </row>
    <row r="495" spans="4:10" ht="15.75" customHeight="1" x14ac:dyDescent="0.25">
      <c r="D495" s="114"/>
      <c r="F495" s="114"/>
      <c r="H495" s="114"/>
      <c r="J495" s="114"/>
    </row>
    <row r="496" spans="4:10" ht="15.75" customHeight="1" x14ac:dyDescent="0.25">
      <c r="D496" s="114"/>
      <c r="F496" s="114"/>
      <c r="H496" s="114"/>
      <c r="J496" s="114"/>
    </row>
    <row r="497" spans="4:10" ht="15.75" customHeight="1" x14ac:dyDescent="0.25">
      <c r="D497" s="114"/>
      <c r="F497" s="114"/>
      <c r="H497" s="114"/>
      <c r="J497" s="114"/>
    </row>
    <row r="498" spans="4:10" ht="15.75" customHeight="1" x14ac:dyDescent="0.25">
      <c r="D498" s="114"/>
      <c r="F498" s="114"/>
      <c r="H498" s="114"/>
      <c r="J498" s="114"/>
    </row>
    <row r="499" spans="4:10" ht="15.75" customHeight="1" x14ac:dyDescent="0.25">
      <c r="D499" s="114"/>
      <c r="F499" s="114"/>
      <c r="H499" s="114"/>
      <c r="J499" s="114"/>
    </row>
    <row r="500" spans="4:10" ht="15.75" customHeight="1" x14ac:dyDescent="0.25">
      <c r="D500" s="114"/>
      <c r="F500" s="114"/>
      <c r="H500" s="114"/>
      <c r="J500" s="114"/>
    </row>
    <row r="501" spans="4:10" ht="15.75" customHeight="1" x14ac:dyDescent="0.25">
      <c r="D501" s="114"/>
      <c r="F501" s="114"/>
      <c r="H501" s="114"/>
      <c r="J501" s="114"/>
    </row>
    <row r="502" spans="4:10" ht="15.75" customHeight="1" x14ac:dyDescent="0.25">
      <c r="D502" s="114"/>
      <c r="F502" s="114"/>
      <c r="H502" s="114"/>
      <c r="J502" s="114"/>
    </row>
    <row r="503" spans="4:10" ht="15.75" customHeight="1" x14ac:dyDescent="0.25">
      <c r="D503" s="114"/>
      <c r="F503" s="114"/>
      <c r="H503" s="114"/>
      <c r="J503" s="114"/>
    </row>
    <row r="504" spans="4:10" ht="15.75" customHeight="1" x14ac:dyDescent="0.25">
      <c r="D504" s="114"/>
      <c r="F504" s="114"/>
      <c r="H504" s="114"/>
      <c r="J504" s="114"/>
    </row>
    <row r="505" spans="4:10" ht="15.75" customHeight="1" x14ac:dyDescent="0.25">
      <c r="D505" s="114"/>
      <c r="F505" s="114"/>
      <c r="H505" s="114"/>
      <c r="J505" s="114"/>
    </row>
    <row r="506" spans="4:10" ht="15.75" customHeight="1" x14ac:dyDescent="0.25">
      <c r="D506" s="114"/>
      <c r="F506" s="114"/>
      <c r="H506" s="114"/>
      <c r="J506" s="114"/>
    </row>
    <row r="507" spans="4:10" ht="15.75" customHeight="1" x14ac:dyDescent="0.25">
      <c r="D507" s="114"/>
      <c r="F507" s="114"/>
      <c r="H507" s="114"/>
      <c r="J507" s="114"/>
    </row>
    <row r="508" spans="4:10" ht="15.75" customHeight="1" x14ac:dyDescent="0.25">
      <c r="D508" s="114"/>
      <c r="F508" s="114"/>
      <c r="H508" s="114"/>
      <c r="J508" s="114"/>
    </row>
    <row r="509" spans="4:10" ht="15.75" customHeight="1" x14ac:dyDescent="0.25">
      <c r="D509" s="114"/>
      <c r="F509" s="114"/>
      <c r="H509" s="114"/>
      <c r="J509" s="114"/>
    </row>
    <row r="510" spans="4:10" ht="15.75" customHeight="1" x14ac:dyDescent="0.25">
      <c r="D510" s="114"/>
      <c r="F510" s="114"/>
      <c r="H510" s="114"/>
      <c r="J510" s="114"/>
    </row>
    <row r="511" spans="4:10" ht="15.75" customHeight="1" x14ac:dyDescent="0.25">
      <c r="D511" s="114"/>
      <c r="F511" s="114"/>
      <c r="H511" s="114"/>
      <c r="J511" s="114"/>
    </row>
    <row r="512" spans="4:10" ht="15.75" customHeight="1" x14ac:dyDescent="0.25">
      <c r="D512" s="114"/>
      <c r="F512" s="114"/>
      <c r="H512" s="114"/>
      <c r="J512" s="114"/>
    </row>
    <row r="513" spans="4:10" ht="15.75" customHeight="1" x14ac:dyDescent="0.25">
      <c r="D513" s="114"/>
      <c r="F513" s="114"/>
      <c r="H513" s="114"/>
      <c r="J513" s="114"/>
    </row>
    <row r="514" spans="4:10" ht="15.75" customHeight="1" x14ac:dyDescent="0.25">
      <c r="D514" s="114"/>
      <c r="F514" s="114"/>
      <c r="H514" s="114"/>
      <c r="J514" s="114"/>
    </row>
    <row r="515" spans="4:10" ht="15.75" customHeight="1" x14ac:dyDescent="0.25">
      <c r="D515" s="114"/>
      <c r="F515" s="114"/>
      <c r="H515" s="114"/>
      <c r="J515" s="114"/>
    </row>
    <row r="516" spans="4:10" ht="15.75" customHeight="1" x14ac:dyDescent="0.25">
      <c r="D516" s="114"/>
      <c r="F516" s="114"/>
      <c r="H516" s="114"/>
      <c r="J516" s="114"/>
    </row>
    <row r="517" spans="4:10" ht="15.75" customHeight="1" x14ac:dyDescent="0.25">
      <c r="D517" s="114"/>
      <c r="F517" s="114"/>
      <c r="H517" s="114"/>
      <c r="J517" s="114"/>
    </row>
    <row r="518" spans="4:10" ht="15.75" customHeight="1" x14ac:dyDescent="0.25">
      <c r="D518" s="114"/>
      <c r="F518" s="114"/>
      <c r="H518" s="114"/>
      <c r="J518" s="114"/>
    </row>
    <row r="519" spans="4:10" ht="15.75" customHeight="1" x14ac:dyDescent="0.25">
      <c r="D519" s="114"/>
      <c r="F519" s="114"/>
      <c r="H519" s="114"/>
      <c r="J519" s="114"/>
    </row>
    <row r="520" spans="4:10" ht="15.75" customHeight="1" x14ac:dyDescent="0.25">
      <c r="D520" s="114"/>
      <c r="F520" s="114"/>
      <c r="H520" s="114"/>
      <c r="J520" s="114"/>
    </row>
    <row r="521" spans="4:10" ht="15.75" customHeight="1" x14ac:dyDescent="0.25">
      <c r="D521" s="114"/>
      <c r="F521" s="114"/>
      <c r="H521" s="114"/>
      <c r="J521" s="114"/>
    </row>
    <row r="522" spans="4:10" ht="15.75" customHeight="1" x14ac:dyDescent="0.25">
      <c r="D522" s="114"/>
      <c r="F522" s="114"/>
      <c r="H522" s="114"/>
      <c r="J522" s="114"/>
    </row>
    <row r="523" spans="4:10" ht="15.75" customHeight="1" x14ac:dyDescent="0.25">
      <c r="D523" s="114"/>
      <c r="F523" s="114"/>
      <c r="H523" s="114"/>
      <c r="J523" s="114"/>
    </row>
    <row r="524" spans="4:10" ht="15.75" customHeight="1" x14ac:dyDescent="0.25">
      <c r="D524" s="114"/>
      <c r="F524" s="114"/>
      <c r="H524" s="114"/>
      <c r="J524" s="114"/>
    </row>
    <row r="525" spans="4:10" ht="15.75" customHeight="1" x14ac:dyDescent="0.25">
      <c r="D525" s="114"/>
      <c r="F525" s="114"/>
      <c r="H525" s="114"/>
      <c r="J525" s="114"/>
    </row>
    <row r="526" spans="4:10" ht="15.75" customHeight="1" x14ac:dyDescent="0.25">
      <c r="D526" s="114"/>
      <c r="F526" s="114"/>
      <c r="H526" s="114"/>
      <c r="J526" s="114"/>
    </row>
    <row r="527" spans="4:10" ht="15.75" customHeight="1" x14ac:dyDescent="0.25">
      <c r="D527" s="114"/>
      <c r="F527" s="114"/>
      <c r="H527" s="114"/>
      <c r="J527" s="114"/>
    </row>
    <row r="528" spans="4:10" ht="15.75" customHeight="1" x14ac:dyDescent="0.25">
      <c r="D528" s="114"/>
      <c r="F528" s="114"/>
      <c r="H528" s="114"/>
      <c r="J528" s="114"/>
    </row>
    <row r="529" spans="4:10" ht="15.75" customHeight="1" x14ac:dyDescent="0.25">
      <c r="D529" s="114"/>
      <c r="F529" s="114"/>
      <c r="H529" s="114"/>
      <c r="J529" s="114"/>
    </row>
    <row r="530" spans="4:10" ht="15.75" customHeight="1" x14ac:dyDescent="0.25">
      <c r="D530" s="114"/>
      <c r="F530" s="114"/>
      <c r="H530" s="114"/>
      <c r="J530" s="114"/>
    </row>
    <row r="531" spans="4:10" ht="15.75" customHeight="1" x14ac:dyDescent="0.25">
      <c r="D531" s="114"/>
      <c r="F531" s="114"/>
      <c r="H531" s="114"/>
      <c r="J531" s="114"/>
    </row>
    <row r="532" spans="4:10" ht="15.75" customHeight="1" x14ac:dyDescent="0.25">
      <c r="D532" s="114"/>
      <c r="F532" s="114"/>
      <c r="H532" s="114"/>
      <c r="J532" s="114"/>
    </row>
    <row r="533" spans="4:10" ht="15.75" customHeight="1" x14ac:dyDescent="0.25">
      <c r="D533" s="114"/>
      <c r="F533" s="114"/>
      <c r="H533" s="114"/>
      <c r="J533" s="114"/>
    </row>
    <row r="534" spans="4:10" ht="15.75" customHeight="1" x14ac:dyDescent="0.25">
      <c r="D534" s="114"/>
      <c r="F534" s="114"/>
      <c r="H534" s="114"/>
      <c r="J534" s="114"/>
    </row>
    <row r="535" spans="4:10" ht="15.75" customHeight="1" x14ac:dyDescent="0.25">
      <c r="D535" s="114"/>
      <c r="F535" s="114"/>
      <c r="H535" s="114"/>
      <c r="J535" s="114"/>
    </row>
    <row r="536" spans="4:10" ht="15.75" customHeight="1" x14ac:dyDescent="0.25">
      <c r="D536" s="114"/>
      <c r="F536" s="114"/>
      <c r="H536" s="114"/>
      <c r="J536" s="114"/>
    </row>
    <row r="537" spans="4:10" ht="15.75" customHeight="1" x14ac:dyDescent="0.25">
      <c r="D537" s="114"/>
      <c r="F537" s="114"/>
      <c r="H537" s="114"/>
      <c r="J537" s="114"/>
    </row>
    <row r="538" spans="4:10" ht="15.75" customHeight="1" x14ac:dyDescent="0.25">
      <c r="D538" s="114"/>
      <c r="F538" s="114"/>
      <c r="H538" s="114"/>
      <c r="J538" s="114"/>
    </row>
    <row r="539" spans="4:10" ht="15.75" customHeight="1" x14ac:dyDescent="0.25">
      <c r="D539" s="114"/>
      <c r="F539" s="114"/>
      <c r="H539" s="114"/>
      <c r="J539" s="114"/>
    </row>
    <row r="540" spans="4:10" ht="15.75" customHeight="1" x14ac:dyDescent="0.25">
      <c r="D540" s="114"/>
      <c r="F540" s="114"/>
      <c r="H540" s="114"/>
      <c r="J540" s="114"/>
    </row>
    <row r="541" spans="4:10" ht="15.75" customHeight="1" x14ac:dyDescent="0.25">
      <c r="D541" s="114"/>
      <c r="F541" s="114"/>
      <c r="H541" s="114"/>
      <c r="J541" s="114"/>
    </row>
    <row r="542" spans="4:10" ht="15.75" customHeight="1" x14ac:dyDescent="0.25">
      <c r="D542" s="114"/>
      <c r="F542" s="114"/>
      <c r="H542" s="114"/>
      <c r="J542" s="114"/>
    </row>
    <row r="543" spans="4:10" ht="15.75" customHeight="1" x14ac:dyDescent="0.25">
      <c r="D543" s="114"/>
      <c r="F543" s="114"/>
      <c r="H543" s="114"/>
      <c r="J543" s="114"/>
    </row>
    <row r="544" spans="4:10" ht="15.75" customHeight="1" x14ac:dyDescent="0.25">
      <c r="D544" s="114"/>
      <c r="F544" s="114"/>
      <c r="H544" s="114"/>
      <c r="J544" s="114"/>
    </row>
    <row r="545" spans="4:10" ht="15.75" customHeight="1" x14ac:dyDescent="0.25">
      <c r="D545" s="114"/>
      <c r="F545" s="114"/>
      <c r="H545" s="114"/>
      <c r="J545" s="114"/>
    </row>
    <row r="546" spans="4:10" ht="15.75" customHeight="1" x14ac:dyDescent="0.25">
      <c r="D546" s="114"/>
      <c r="F546" s="114"/>
      <c r="H546" s="114"/>
      <c r="J546" s="114"/>
    </row>
    <row r="547" spans="4:10" ht="15.75" customHeight="1" x14ac:dyDescent="0.25">
      <c r="D547" s="114"/>
      <c r="F547" s="114"/>
      <c r="H547" s="114"/>
      <c r="J547" s="114"/>
    </row>
    <row r="548" spans="4:10" ht="15.75" customHeight="1" x14ac:dyDescent="0.25">
      <c r="D548" s="114"/>
      <c r="F548" s="114"/>
      <c r="H548" s="114"/>
      <c r="J548" s="114"/>
    </row>
    <row r="549" spans="4:10" ht="15.75" customHeight="1" x14ac:dyDescent="0.25">
      <c r="D549" s="114"/>
      <c r="F549" s="114"/>
      <c r="H549" s="114"/>
      <c r="J549" s="114"/>
    </row>
    <row r="550" spans="4:10" ht="15.75" customHeight="1" x14ac:dyDescent="0.25">
      <c r="D550" s="114"/>
      <c r="F550" s="114"/>
      <c r="H550" s="114"/>
      <c r="J550" s="114"/>
    </row>
    <row r="551" spans="4:10" ht="15.75" customHeight="1" x14ac:dyDescent="0.25">
      <c r="D551" s="114"/>
      <c r="F551" s="114"/>
      <c r="H551" s="114"/>
      <c r="J551" s="114"/>
    </row>
    <row r="552" spans="4:10" ht="15.75" customHeight="1" x14ac:dyDescent="0.25">
      <c r="D552" s="114"/>
      <c r="F552" s="114"/>
      <c r="H552" s="114"/>
      <c r="J552" s="114"/>
    </row>
    <row r="553" spans="4:10" ht="15.75" customHeight="1" x14ac:dyDescent="0.25">
      <c r="D553" s="114"/>
      <c r="F553" s="114"/>
      <c r="H553" s="114"/>
      <c r="J553" s="114"/>
    </row>
    <row r="554" spans="4:10" ht="15.75" customHeight="1" x14ac:dyDescent="0.25">
      <c r="D554" s="114"/>
      <c r="F554" s="114"/>
      <c r="H554" s="114"/>
      <c r="J554" s="114"/>
    </row>
    <row r="555" spans="4:10" ht="15.75" customHeight="1" x14ac:dyDescent="0.25">
      <c r="D555" s="114"/>
      <c r="F555" s="114"/>
      <c r="H555" s="114"/>
      <c r="J555" s="114"/>
    </row>
    <row r="556" spans="4:10" ht="15.75" customHeight="1" x14ac:dyDescent="0.25">
      <c r="D556" s="114"/>
      <c r="F556" s="114"/>
      <c r="H556" s="114"/>
      <c r="J556" s="114"/>
    </row>
    <row r="557" spans="4:10" ht="15.75" customHeight="1" x14ac:dyDescent="0.25">
      <c r="D557" s="114"/>
      <c r="F557" s="114"/>
      <c r="H557" s="114"/>
      <c r="J557" s="114"/>
    </row>
    <row r="558" spans="4:10" ht="15.75" customHeight="1" x14ac:dyDescent="0.25">
      <c r="D558" s="114"/>
      <c r="F558" s="114"/>
      <c r="H558" s="114"/>
      <c r="J558" s="114"/>
    </row>
    <row r="559" spans="4:10" ht="15.75" customHeight="1" x14ac:dyDescent="0.25">
      <c r="D559" s="114"/>
      <c r="F559" s="114"/>
      <c r="H559" s="114"/>
      <c r="J559" s="114"/>
    </row>
    <row r="560" spans="4:10" ht="15.75" customHeight="1" x14ac:dyDescent="0.25">
      <c r="D560" s="114"/>
      <c r="F560" s="114"/>
      <c r="H560" s="114"/>
      <c r="J560" s="114"/>
    </row>
    <row r="561" spans="4:10" ht="15.75" customHeight="1" x14ac:dyDescent="0.25">
      <c r="D561" s="114"/>
      <c r="F561" s="114"/>
      <c r="H561" s="114"/>
      <c r="J561" s="114"/>
    </row>
    <row r="562" spans="4:10" ht="15.75" customHeight="1" x14ac:dyDescent="0.25">
      <c r="D562" s="114"/>
      <c r="F562" s="114"/>
      <c r="H562" s="114"/>
      <c r="J562" s="114"/>
    </row>
    <row r="563" spans="4:10" ht="15.75" customHeight="1" x14ac:dyDescent="0.25">
      <c r="D563" s="114"/>
      <c r="F563" s="114"/>
      <c r="H563" s="114"/>
      <c r="J563" s="114"/>
    </row>
    <row r="564" spans="4:10" ht="15.75" customHeight="1" x14ac:dyDescent="0.25">
      <c r="D564" s="114"/>
      <c r="F564" s="114"/>
      <c r="H564" s="114"/>
      <c r="J564" s="114"/>
    </row>
    <row r="565" spans="4:10" ht="15.75" customHeight="1" x14ac:dyDescent="0.25">
      <c r="D565" s="114"/>
      <c r="F565" s="114"/>
      <c r="H565" s="114"/>
      <c r="J565" s="114"/>
    </row>
    <row r="566" spans="4:10" ht="15.75" customHeight="1" x14ac:dyDescent="0.25">
      <c r="D566" s="114"/>
      <c r="F566" s="114"/>
      <c r="H566" s="114"/>
      <c r="J566" s="114"/>
    </row>
    <row r="567" spans="4:10" ht="15.75" customHeight="1" x14ac:dyDescent="0.25">
      <c r="D567" s="114"/>
      <c r="F567" s="114"/>
      <c r="H567" s="114"/>
      <c r="J567" s="114"/>
    </row>
    <row r="568" spans="4:10" ht="15.75" customHeight="1" x14ac:dyDescent="0.25">
      <c r="D568" s="114"/>
      <c r="F568" s="114"/>
      <c r="H568" s="114"/>
      <c r="J568" s="114"/>
    </row>
    <row r="569" spans="4:10" ht="15.75" customHeight="1" x14ac:dyDescent="0.25">
      <c r="D569" s="114"/>
      <c r="F569" s="114"/>
      <c r="H569" s="114"/>
      <c r="J569" s="114"/>
    </row>
    <row r="570" spans="4:10" ht="15.75" customHeight="1" x14ac:dyDescent="0.25">
      <c r="D570" s="114"/>
      <c r="F570" s="114"/>
      <c r="H570" s="114"/>
      <c r="J570" s="114"/>
    </row>
    <row r="571" spans="4:10" ht="15.75" customHeight="1" x14ac:dyDescent="0.25">
      <c r="D571" s="114"/>
      <c r="F571" s="114"/>
      <c r="H571" s="114"/>
      <c r="J571" s="114"/>
    </row>
    <row r="572" spans="4:10" ht="15.75" customHeight="1" x14ac:dyDescent="0.25">
      <c r="D572" s="114"/>
      <c r="F572" s="114"/>
      <c r="H572" s="114"/>
      <c r="J572" s="114"/>
    </row>
    <row r="573" spans="4:10" ht="15.75" customHeight="1" x14ac:dyDescent="0.25">
      <c r="D573" s="114"/>
      <c r="F573" s="114"/>
      <c r="H573" s="114"/>
      <c r="J573" s="114"/>
    </row>
    <row r="574" spans="4:10" ht="15.75" customHeight="1" x14ac:dyDescent="0.25">
      <c r="D574" s="114"/>
      <c r="F574" s="114"/>
      <c r="H574" s="114"/>
      <c r="J574" s="114"/>
    </row>
    <row r="575" spans="4:10" ht="15.75" customHeight="1" x14ac:dyDescent="0.25">
      <c r="D575" s="114"/>
      <c r="F575" s="114"/>
      <c r="H575" s="114"/>
      <c r="J575" s="114"/>
    </row>
    <row r="576" spans="4:10" ht="15.75" customHeight="1" x14ac:dyDescent="0.25">
      <c r="D576" s="114"/>
      <c r="F576" s="114"/>
      <c r="H576" s="114"/>
      <c r="J576" s="114"/>
    </row>
    <row r="577" spans="4:10" ht="15.75" customHeight="1" x14ac:dyDescent="0.25">
      <c r="D577" s="114"/>
      <c r="F577" s="114"/>
      <c r="H577" s="114"/>
      <c r="J577" s="114"/>
    </row>
    <row r="578" spans="4:10" ht="15.75" customHeight="1" x14ac:dyDescent="0.25">
      <c r="D578" s="114"/>
      <c r="F578" s="114"/>
      <c r="H578" s="114"/>
      <c r="J578" s="114"/>
    </row>
    <row r="579" spans="4:10" ht="15.75" customHeight="1" x14ac:dyDescent="0.25">
      <c r="D579" s="114"/>
      <c r="F579" s="114"/>
      <c r="H579" s="114"/>
      <c r="J579" s="114"/>
    </row>
    <row r="580" spans="4:10" ht="15.75" customHeight="1" x14ac:dyDescent="0.25">
      <c r="D580" s="114"/>
      <c r="F580" s="114"/>
      <c r="H580" s="114"/>
      <c r="J580" s="114"/>
    </row>
    <row r="581" spans="4:10" ht="15.75" customHeight="1" x14ac:dyDescent="0.25">
      <c r="D581" s="114"/>
      <c r="F581" s="114"/>
      <c r="H581" s="114"/>
      <c r="J581" s="114"/>
    </row>
    <row r="582" spans="4:10" ht="15.75" customHeight="1" x14ac:dyDescent="0.25">
      <c r="D582" s="114"/>
      <c r="F582" s="114"/>
      <c r="H582" s="114"/>
      <c r="J582" s="114"/>
    </row>
    <row r="583" spans="4:10" ht="15.75" customHeight="1" x14ac:dyDescent="0.25">
      <c r="D583" s="114"/>
      <c r="F583" s="114"/>
      <c r="H583" s="114"/>
      <c r="J583" s="114"/>
    </row>
    <row r="584" spans="4:10" ht="15.75" customHeight="1" x14ac:dyDescent="0.25">
      <c r="D584" s="114"/>
      <c r="F584" s="114"/>
      <c r="H584" s="114"/>
      <c r="J584" s="114"/>
    </row>
    <row r="585" spans="4:10" ht="15.75" customHeight="1" x14ac:dyDescent="0.25">
      <c r="D585" s="114"/>
      <c r="F585" s="114"/>
      <c r="H585" s="114"/>
      <c r="J585" s="114"/>
    </row>
    <row r="586" spans="4:10" ht="15.75" customHeight="1" x14ac:dyDescent="0.25">
      <c r="D586" s="114"/>
      <c r="F586" s="114"/>
      <c r="H586" s="114"/>
      <c r="J586" s="114"/>
    </row>
    <row r="587" spans="4:10" ht="15.75" customHeight="1" x14ac:dyDescent="0.25">
      <c r="D587" s="114"/>
      <c r="F587" s="114"/>
      <c r="H587" s="114"/>
      <c r="J587" s="114"/>
    </row>
    <row r="588" spans="4:10" ht="15.75" customHeight="1" x14ac:dyDescent="0.25">
      <c r="D588" s="114"/>
      <c r="F588" s="114"/>
      <c r="H588" s="114"/>
      <c r="J588" s="114"/>
    </row>
    <row r="589" spans="4:10" ht="15.75" customHeight="1" x14ac:dyDescent="0.25">
      <c r="D589" s="114"/>
      <c r="F589" s="114"/>
      <c r="H589" s="114"/>
      <c r="J589" s="114"/>
    </row>
    <row r="590" spans="4:10" ht="15.75" customHeight="1" x14ac:dyDescent="0.25">
      <c r="D590" s="114"/>
      <c r="F590" s="114"/>
      <c r="H590" s="114"/>
      <c r="J590" s="114"/>
    </row>
    <row r="591" spans="4:10" ht="15.75" customHeight="1" x14ac:dyDescent="0.25">
      <c r="D591" s="114"/>
      <c r="F591" s="114"/>
      <c r="H591" s="114"/>
      <c r="J591" s="114"/>
    </row>
    <row r="592" spans="4:10" ht="15.75" customHeight="1" x14ac:dyDescent="0.25">
      <c r="D592" s="114"/>
      <c r="F592" s="114"/>
      <c r="H592" s="114"/>
      <c r="J592" s="114"/>
    </row>
    <row r="593" spans="4:10" ht="15.75" customHeight="1" x14ac:dyDescent="0.25">
      <c r="D593" s="114"/>
      <c r="F593" s="114"/>
      <c r="H593" s="114"/>
      <c r="J593" s="114"/>
    </row>
    <row r="594" spans="4:10" ht="15.75" customHeight="1" x14ac:dyDescent="0.25">
      <c r="D594" s="114"/>
      <c r="F594" s="114"/>
      <c r="H594" s="114"/>
      <c r="J594" s="114"/>
    </row>
    <row r="595" spans="4:10" ht="15.75" customHeight="1" x14ac:dyDescent="0.25">
      <c r="D595" s="114"/>
      <c r="F595" s="114"/>
      <c r="H595" s="114"/>
      <c r="J595" s="114"/>
    </row>
    <row r="596" spans="4:10" ht="15.75" customHeight="1" x14ac:dyDescent="0.25">
      <c r="D596" s="114"/>
      <c r="F596" s="114"/>
      <c r="H596" s="114"/>
      <c r="J596" s="114"/>
    </row>
    <row r="597" spans="4:10" ht="15.75" customHeight="1" x14ac:dyDescent="0.25">
      <c r="D597" s="114"/>
      <c r="F597" s="114"/>
      <c r="H597" s="114"/>
      <c r="J597" s="114"/>
    </row>
    <row r="598" spans="4:10" ht="15.75" customHeight="1" x14ac:dyDescent="0.25">
      <c r="D598" s="114"/>
      <c r="F598" s="114"/>
      <c r="H598" s="114"/>
      <c r="J598" s="114"/>
    </row>
    <row r="599" spans="4:10" ht="15.75" customHeight="1" x14ac:dyDescent="0.25">
      <c r="D599" s="114"/>
      <c r="F599" s="114"/>
      <c r="H599" s="114"/>
      <c r="J599" s="114"/>
    </row>
    <row r="600" spans="4:10" ht="15.75" customHeight="1" x14ac:dyDescent="0.25">
      <c r="D600" s="114"/>
      <c r="F600" s="114"/>
      <c r="H600" s="114"/>
      <c r="J600" s="114"/>
    </row>
    <row r="601" spans="4:10" ht="15.75" customHeight="1" x14ac:dyDescent="0.25">
      <c r="D601" s="114"/>
      <c r="F601" s="114"/>
      <c r="H601" s="114"/>
      <c r="J601" s="114"/>
    </row>
    <row r="602" spans="4:10" ht="15.75" customHeight="1" x14ac:dyDescent="0.25">
      <c r="D602" s="114"/>
      <c r="F602" s="114"/>
      <c r="H602" s="114"/>
      <c r="J602" s="114"/>
    </row>
    <row r="603" spans="4:10" ht="15.75" customHeight="1" x14ac:dyDescent="0.25">
      <c r="D603" s="114"/>
      <c r="F603" s="114"/>
      <c r="H603" s="114"/>
      <c r="J603" s="114"/>
    </row>
    <row r="604" spans="4:10" ht="15.75" customHeight="1" x14ac:dyDescent="0.25">
      <c r="D604" s="114"/>
      <c r="F604" s="114"/>
      <c r="H604" s="114"/>
      <c r="J604" s="114"/>
    </row>
    <row r="605" spans="4:10" ht="15.75" customHeight="1" x14ac:dyDescent="0.25">
      <c r="D605" s="114"/>
      <c r="F605" s="114"/>
      <c r="H605" s="114"/>
      <c r="J605" s="114"/>
    </row>
    <row r="606" spans="4:10" ht="15.75" customHeight="1" x14ac:dyDescent="0.25">
      <c r="D606" s="114"/>
      <c r="F606" s="114"/>
      <c r="H606" s="114"/>
      <c r="J606" s="114"/>
    </row>
    <row r="607" spans="4:10" ht="15.75" customHeight="1" x14ac:dyDescent="0.25">
      <c r="D607" s="114"/>
      <c r="F607" s="114"/>
      <c r="H607" s="114"/>
      <c r="J607" s="114"/>
    </row>
    <row r="608" spans="4:10" ht="15.75" customHeight="1" x14ac:dyDescent="0.25">
      <c r="D608" s="114"/>
      <c r="F608" s="114"/>
      <c r="H608" s="114"/>
      <c r="J608" s="114"/>
    </row>
    <row r="609" spans="4:10" ht="15.75" customHeight="1" x14ac:dyDescent="0.25">
      <c r="D609" s="114"/>
      <c r="F609" s="114"/>
      <c r="H609" s="114"/>
      <c r="J609" s="114"/>
    </row>
    <row r="610" spans="4:10" ht="15.75" customHeight="1" x14ac:dyDescent="0.25">
      <c r="D610" s="114"/>
      <c r="F610" s="114"/>
      <c r="H610" s="114"/>
      <c r="J610" s="114"/>
    </row>
    <row r="611" spans="4:10" ht="15.75" customHeight="1" x14ac:dyDescent="0.25">
      <c r="D611" s="114"/>
      <c r="F611" s="114"/>
      <c r="H611" s="114"/>
      <c r="J611" s="114"/>
    </row>
    <row r="612" spans="4:10" ht="15.75" customHeight="1" x14ac:dyDescent="0.25">
      <c r="D612" s="114"/>
      <c r="F612" s="114"/>
      <c r="H612" s="114"/>
      <c r="J612" s="114"/>
    </row>
    <row r="613" spans="4:10" ht="15.75" customHeight="1" x14ac:dyDescent="0.25">
      <c r="D613" s="114"/>
      <c r="F613" s="114"/>
      <c r="H613" s="114"/>
      <c r="J613" s="114"/>
    </row>
    <row r="614" spans="4:10" ht="15.75" customHeight="1" x14ac:dyDescent="0.25">
      <c r="D614" s="114"/>
      <c r="F614" s="114"/>
      <c r="H614" s="114"/>
      <c r="J614" s="114"/>
    </row>
    <row r="615" spans="4:10" ht="15.75" customHeight="1" x14ac:dyDescent="0.25">
      <c r="D615" s="114"/>
      <c r="F615" s="114"/>
      <c r="H615" s="114"/>
      <c r="J615" s="114"/>
    </row>
    <row r="616" spans="4:10" ht="15.75" customHeight="1" x14ac:dyDescent="0.25">
      <c r="D616" s="114"/>
      <c r="F616" s="114"/>
      <c r="H616" s="114"/>
      <c r="J616" s="114"/>
    </row>
    <row r="617" spans="4:10" ht="15.75" customHeight="1" x14ac:dyDescent="0.25">
      <c r="D617" s="114"/>
      <c r="F617" s="114"/>
      <c r="H617" s="114"/>
      <c r="J617" s="114"/>
    </row>
    <row r="618" spans="4:10" ht="15.75" customHeight="1" x14ac:dyDescent="0.25">
      <c r="D618" s="114"/>
      <c r="F618" s="114"/>
      <c r="H618" s="114"/>
      <c r="J618" s="114"/>
    </row>
    <row r="619" spans="4:10" ht="15.75" customHeight="1" x14ac:dyDescent="0.25">
      <c r="D619" s="114"/>
      <c r="F619" s="114"/>
      <c r="H619" s="114"/>
      <c r="J619" s="114"/>
    </row>
    <row r="620" spans="4:10" ht="15.75" customHeight="1" x14ac:dyDescent="0.25">
      <c r="D620" s="114"/>
      <c r="F620" s="114"/>
      <c r="H620" s="114"/>
      <c r="J620" s="114"/>
    </row>
    <row r="621" spans="4:10" ht="15.75" customHeight="1" x14ac:dyDescent="0.25">
      <c r="D621" s="114"/>
      <c r="F621" s="114"/>
      <c r="H621" s="114"/>
      <c r="J621" s="114"/>
    </row>
    <row r="622" spans="4:10" ht="15.75" customHeight="1" x14ac:dyDescent="0.25">
      <c r="D622" s="114"/>
      <c r="F622" s="114"/>
      <c r="H622" s="114"/>
      <c r="J622" s="114"/>
    </row>
    <row r="623" spans="4:10" ht="15.75" customHeight="1" x14ac:dyDescent="0.25">
      <c r="D623" s="114"/>
      <c r="F623" s="114"/>
      <c r="H623" s="114"/>
      <c r="J623" s="114"/>
    </row>
    <row r="624" spans="4:10" ht="15.75" customHeight="1" x14ac:dyDescent="0.25">
      <c r="D624" s="114"/>
      <c r="F624" s="114"/>
      <c r="H624" s="114"/>
      <c r="J624" s="114"/>
    </row>
    <row r="625" spans="4:10" ht="15.75" customHeight="1" x14ac:dyDescent="0.25">
      <c r="D625" s="114"/>
      <c r="F625" s="114"/>
      <c r="H625" s="114"/>
      <c r="J625" s="114"/>
    </row>
    <row r="626" spans="4:10" ht="15.75" customHeight="1" x14ac:dyDescent="0.25">
      <c r="D626" s="114"/>
      <c r="F626" s="114"/>
      <c r="H626" s="114"/>
      <c r="J626" s="114"/>
    </row>
    <row r="627" spans="4:10" ht="15.75" customHeight="1" x14ac:dyDescent="0.25">
      <c r="D627" s="114"/>
      <c r="F627" s="114"/>
      <c r="H627" s="114"/>
      <c r="J627" s="114"/>
    </row>
    <row r="628" spans="4:10" ht="15.75" customHeight="1" x14ac:dyDescent="0.25">
      <c r="D628" s="114"/>
      <c r="F628" s="114"/>
      <c r="H628" s="114"/>
      <c r="J628" s="114"/>
    </row>
    <row r="629" spans="4:10" ht="15.75" customHeight="1" x14ac:dyDescent="0.25">
      <c r="D629" s="114"/>
      <c r="F629" s="114"/>
      <c r="H629" s="114"/>
      <c r="J629" s="114"/>
    </row>
    <row r="630" spans="4:10" ht="15.75" customHeight="1" x14ac:dyDescent="0.25">
      <c r="D630" s="114"/>
      <c r="F630" s="114"/>
      <c r="H630" s="114"/>
      <c r="J630" s="114"/>
    </row>
    <row r="631" spans="4:10" ht="15.75" customHeight="1" x14ac:dyDescent="0.25">
      <c r="D631" s="114"/>
      <c r="F631" s="114"/>
      <c r="H631" s="114"/>
      <c r="J631" s="114"/>
    </row>
    <row r="632" spans="4:10" ht="15.75" customHeight="1" x14ac:dyDescent="0.25">
      <c r="D632" s="114"/>
      <c r="F632" s="114"/>
      <c r="H632" s="114"/>
      <c r="J632" s="114"/>
    </row>
    <row r="633" spans="4:10" ht="15.75" customHeight="1" x14ac:dyDescent="0.25">
      <c r="D633" s="114"/>
      <c r="F633" s="114"/>
      <c r="H633" s="114"/>
      <c r="J633" s="114"/>
    </row>
    <row r="634" spans="4:10" ht="15.75" customHeight="1" x14ac:dyDescent="0.25">
      <c r="D634" s="114"/>
      <c r="F634" s="114"/>
      <c r="H634" s="114"/>
      <c r="J634" s="114"/>
    </row>
    <row r="635" spans="4:10" ht="15.75" customHeight="1" x14ac:dyDescent="0.25">
      <c r="D635" s="114"/>
      <c r="F635" s="114"/>
      <c r="H635" s="114"/>
      <c r="J635" s="114"/>
    </row>
    <row r="636" spans="4:10" ht="15.75" customHeight="1" x14ac:dyDescent="0.25">
      <c r="D636" s="114"/>
      <c r="F636" s="114"/>
      <c r="H636" s="114"/>
      <c r="J636" s="114"/>
    </row>
    <row r="637" spans="4:10" ht="15.75" customHeight="1" x14ac:dyDescent="0.25">
      <c r="D637" s="114"/>
      <c r="F637" s="114"/>
      <c r="H637" s="114"/>
      <c r="J637" s="114"/>
    </row>
    <row r="638" spans="4:10" ht="15.75" customHeight="1" x14ac:dyDescent="0.25">
      <c r="D638" s="114"/>
      <c r="F638" s="114"/>
      <c r="H638" s="114"/>
      <c r="J638" s="114"/>
    </row>
    <row r="639" spans="4:10" ht="15.75" customHeight="1" x14ac:dyDescent="0.25">
      <c r="D639" s="114"/>
      <c r="F639" s="114"/>
      <c r="H639" s="114"/>
      <c r="J639" s="114"/>
    </row>
    <row r="640" spans="4:10" ht="15.75" customHeight="1" x14ac:dyDescent="0.25">
      <c r="D640" s="114"/>
      <c r="F640" s="114"/>
      <c r="H640" s="114"/>
      <c r="J640" s="114"/>
    </row>
    <row r="641" spans="4:10" ht="15.75" customHeight="1" x14ac:dyDescent="0.25">
      <c r="D641" s="114"/>
      <c r="F641" s="114"/>
      <c r="H641" s="114"/>
      <c r="J641" s="114"/>
    </row>
    <row r="642" spans="4:10" ht="15.75" customHeight="1" x14ac:dyDescent="0.25">
      <c r="D642" s="114"/>
      <c r="F642" s="114"/>
      <c r="H642" s="114"/>
      <c r="J642" s="114"/>
    </row>
    <row r="643" spans="4:10" ht="15.75" customHeight="1" x14ac:dyDescent="0.25">
      <c r="D643" s="114"/>
      <c r="F643" s="114"/>
      <c r="H643" s="114"/>
      <c r="J643" s="114"/>
    </row>
    <row r="644" spans="4:10" ht="15.75" customHeight="1" x14ac:dyDescent="0.25">
      <c r="D644" s="114"/>
      <c r="F644" s="114"/>
      <c r="H644" s="114"/>
      <c r="J644" s="114"/>
    </row>
    <row r="645" spans="4:10" ht="15.75" customHeight="1" x14ac:dyDescent="0.25">
      <c r="D645" s="114"/>
      <c r="F645" s="114"/>
      <c r="H645" s="114"/>
      <c r="J645" s="114"/>
    </row>
    <row r="646" spans="4:10" ht="15.75" customHeight="1" x14ac:dyDescent="0.25">
      <c r="D646" s="114"/>
      <c r="F646" s="114"/>
      <c r="H646" s="114"/>
      <c r="J646" s="114"/>
    </row>
    <row r="647" spans="4:10" ht="15.75" customHeight="1" x14ac:dyDescent="0.25">
      <c r="D647" s="114"/>
      <c r="F647" s="114"/>
      <c r="H647" s="114"/>
      <c r="J647" s="114"/>
    </row>
    <row r="648" spans="4:10" ht="15.75" customHeight="1" x14ac:dyDescent="0.25">
      <c r="D648" s="114"/>
      <c r="F648" s="114"/>
      <c r="H648" s="114"/>
      <c r="J648" s="114"/>
    </row>
    <row r="649" spans="4:10" ht="15.75" customHeight="1" x14ac:dyDescent="0.25">
      <c r="D649" s="114"/>
      <c r="F649" s="114"/>
      <c r="H649" s="114"/>
      <c r="J649" s="114"/>
    </row>
    <row r="650" spans="4:10" ht="15.75" customHeight="1" x14ac:dyDescent="0.25">
      <c r="D650" s="114"/>
      <c r="F650" s="114"/>
      <c r="H650" s="114"/>
      <c r="J650" s="114"/>
    </row>
    <row r="651" spans="4:10" ht="15.75" customHeight="1" x14ac:dyDescent="0.25">
      <c r="D651" s="114"/>
      <c r="F651" s="114"/>
      <c r="H651" s="114"/>
      <c r="J651" s="114"/>
    </row>
    <row r="652" spans="4:10" ht="15.75" customHeight="1" x14ac:dyDescent="0.25">
      <c r="D652" s="114"/>
      <c r="F652" s="114"/>
      <c r="H652" s="114"/>
      <c r="J652" s="114"/>
    </row>
    <row r="653" spans="4:10" ht="15.75" customHeight="1" x14ac:dyDescent="0.25">
      <c r="D653" s="114"/>
      <c r="F653" s="114"/>
      <c r="H653" s="114"/>
      <c r="J653" s="114"/>
    </row>
    <row r="654" spans="4:10" ht="15.75" customHeight="1" x14ac:dyDescent="0.25">
      <c r="D654" s="114"/>
      <c r="F654" s="114"/>
      <c r="H654" s="114"/>
      <c r="J654" s="114"/>
    </row>
    <row r="655" spans="4:10" ht="15.75" customHeight="1" x14ac:dyDescent="0.25">
      <c r="D655" s="114"/>
      <c r="F655" s="114"/>
      <c r="H655" s="114"/>
      <c r="J655" s="114"/>
    </row>
    <row r="656" spans="4:10" ht="15.75" customHeight="1" x14ac:dyDescent="0.25">
      <c r="D656" s="114"/>
      <c r="F656" s="114"/>
      <c r="H656" s="114"/>
      <c r="J656" s="114"/>
    </row>
    <row r="657" spans="4:10" ht="15.75" customHeight="1" x14ac:dyDescent="0.25">
      <c r="D657" s="114"/>
      <c r="F657" s="114"/>
      <c r="H657" s="114"/>
      <c r="J657" s="114"/>
    </row>
    <row r="658" spans="4:10" ht="15.75" customHeight="1" x14ac:dyDescent="0.25">
      <c r="D658" s="114"/>
      <c r="F658" s="114"/>
      <c r="H658" s="114"/>
      <c r="J658" s="114"/>
    </row>
    <row r="659" spans="4:10" ht="15.75" customHeight="1" x14ac:dyDescent="0.25">
      <c r="D659" s="114"/>
      <c r="F659" s="114"/>
      <c r="H659" s="114"/>
      <c r="J659" s="114"/>
    </row>
    <row r="660" spans="4:10" ht="15.75" customHeight="1" x14ac:dyDescent="0.25">
      <c r="D660" s="114"/>
      <c r="F660" s="114"/>
      <c r="H660" s="114"/>
      <c r="J660" s="114"/>
    </row>
    <row r="661" spans="4:10" ht="15.75" customHeight="1" x14ac:dyDescent="0.25">
      <c r="D661" s="114"/>
      <c r="F661" s="114"/>
      <c r="H661" s="114"/>
      <c r="J661" s="114"/>
    </row>
    <row r="662" spans="4:10" ht="15.75" customHeight="1" x14ac:dyDescent="0.25">
      <c r="D662" s="114"/>
      <c r="F662" s="114"/>
      <c r="H662" s="114"/>
      <c r="J662" s="114"/>
    </row>
    <row r="663" spans="4:10" ht="15.75" customHeight="1" x14ac:dyDescent="0.25">
      <c r="D663" s="114"/>
      <c r="F663" s="114"/>
      <c r="H663" s="114"/>
      <c r="J663" s="114"/>
    </row>
    <row r="664" spans="4:10" ht="15.75" customHeight="1" x14ac:dyDescent="0.25">
      <c r="D664" s="114"/>
      <c r="F664" s="114"/>
      <c r="H664" s="114"/>
      <c r="J664" s="114"/>
    </row>
    <row r="665" spans="4:10" ht="15.75" customHeight="1" x14ac:dyDescent="0.25">
      <c r="D665" s="114"/>
      <c r="F665" s="114"/>
      <c r="H665" s="114"/>
      <c r="J665" s="114"/>
    </row>
    <row r="666" spans="4:10" ht="15.75" customHeight="1" x14ac:dyDescent="0.25">
      <c r="D666" s="114"/>
      <c r="F666" s="114"/>
      <c r="H666" s="114"/>
      <c r="J666" s="114"/>
    </row>
    <row r="667" spans="4:10" ht="15.75" customHeight="1" x14ac:dyDescent="0.25">
      <c r="D667" s="114"/>
      <c r="F667" s="114"/>
      <c r="H667" s="114"/>
      <c r="J667" s="114"/>
    </row>
    <row r="668" spans="4:10" ht="15.75" customHeight="1" x14ac:dyDescent="0.25">
      <c r="D668" s="114"/>
      <c r="F668" s="114"/>
      <c r="H668" s="114"/>
      <c r="J668" s="114"/>
    </row>
    <row r="669" spans="4:10" ht="15.75" customHeight="1" x14ac:dyDescent="0.25">
      <c r="D669" s="114"/>
      <c r="F669" s="114"/>
      <c r="H669" s="114"/>
      <c r="J669" s="114"/>
    </row>
    <row r="670" spans="4:10" ht="15.75" customHeight="1" x14ac:dyDescent="0.25">
      <c r="D670" s="114"/>
      <c r="F670" s="114"/>
      <c r="H670" s="114"/>
      <c r="J670" s="114"/>
    </row>
    <row r="671" spans="4:10" ht="15.75" customHeight="1" x14ac:dyDescent="0.25">
      <c r="D671" s="114"/>
      <c r="F671" s="114"/>
      <c r="H671" s="114"/>
      <c r="J671" s="114"/>
    </row>
    <row r="672" spans="4:10" ht="15.75" customHeight="1" x14ac:dyDescent="0.25">
      <c r="D672" s="114"/>
      <c r="F672" s="114"/>
      <c r="H672" s="114"/>
      <c r="J672" s="114"/>
    </row>
    <row r="673" spans="4:10" ht="15.75" customHeight="1" x14ac:dyDescent="0.25">
      <c r="D673" s="114"/>
      <c r="F673" s="114"/>
      <c r="H673" s="114"/>
      <c r="J673" s="114"/>
    </row>
    <row r="674" spans="4:10" ht="15.75" customHeight="1" x14ac:dyDescent="0.25">
      <c r="D674" s="114"/>
      <c r="F674" s="114"/>
      <c r="H674" s="114"/>
      <c r="J674" s="114"/>
    </row>
    <row r="675" spans="4:10" ht="15.75" customHeight="1" x14ac:dyDescent="0.25">
      <c r="D675" s="114"/>
      <c r="F675" s="114"/>
      <c r="H675" s="114"/>
      <c r="J675" s="114"/>
    </row>
    <row r="676" spans="4:10" ht="15.75" customHeight="1" x14ac:dyDescent="0.25">
      <c r="D676" s="114"/>
      <c r="F676" s="114"/>
      <c r="H676" s="114"/>
      <c r="J676" s="114"/>
    </row>
    <row r="677" spans="4:10" ht="15.75" customHeight="1" x14ac:dyDescent="0.25">
      <c r="D677" s="114"/>
      <c r="F677" s="114"/>
      <c r="H677" s="114"/>
      <c r="J677" s="114"/>
    </row>
    <row r="678" spans="4:10" ht="15.75" customHeight="1" x14ac:dyDescent="0.25">
      <c r="D678" s="114"/>
      <c r="F678" s="114"/>
      <c r="H678" s="114"/>
      <c r="J678" s="114"/>
    </row>
    <row r="679" spans="4:10" ht="15.75" customHeight="1" x14ac:dyDescent="0.25">
      <c r="D679" s="114"/>
      <c r="F679" s="114"/>
      <c r="H679" s="114"/>
      <c r="J679" s="114"/>
    </row>
    <row r="680" spans="4:10" ht="15.75" customHeight="1" x14ac:dyDescent="0.25">
      <c r="D680" s="114"/>
      <c r="F680" s="114"/>
      <c r="H680" s="114"/>
      <c r="J680" s="114"/>
    </row>
    <row r="681" spans="4:10" ht="15.75" customHeight="1" x14ac:dyDescent="0.25">
      <c r="D681" s="114"/>
      <c r="F681" s="114"/>
      <c r="H681" s="114"/>
      <c r="J681" s="114"/>
    </row>
    <row r="682" spans="4:10" ht="15.75" customHeight="1" x14ac:dyDescent="0.25">
      <c r="D682" s="114"/>
      <c r="F682" s="114"/>
      <c r="H682" s="114"/>
      <c r="J682" s="114"/>
    </row>
    <row r="683" spans="4:10" ht="15.75" customHeight="1" x14ac:dyDescent="0.25">
      <c r="D683" s="114"/>
      <c r="F683" s="114"/>
      <c r="H683" s="114"/>
      <c r="J683" s="114"/>
    </row>
    <row r="684" spans="4:10" ht="15.75" customHeight="1" x14ac:dyDescent="0.25">
      <c r="D684" s="114"/>
      <c r="F684" s="114"/>
      <c r="H684" s="114"/>
      <c r="J684" s="114"/>
    </row>
    <row r="685" spans="4:10" ht="15.75" customHeight="1" x14ac:dyDescent="0.25">
      <c r="D685" s="114"/>
      <c r="F685" s="114"/>
      <c r="H685" s="114"/>
      <c r="J685" s="114"/>
    </row>
    <row r="686" spans="4:10" ht="15.75" customHeight="1" x14ac:dyDescent="0.25">
      <c r="D686" s="114"/>
      <c r="F686" s="114"/>
      <c r="H686" s="114"/>
      <c r="J686" s="114"/>
    </row>
    <row r="687" spans="4:10" ht="15.75" customHeight="1" x14ac:dyDescent="0.25">
      <c r="D687" s="114"/>
      <c r="F687" s="114"/>
      <c r="H687" s="114"/>
      <c r="J687" s="114"/>
    </row>
    <row r="688" spans="4:10" ht="15.75" customHeight="1" x14ac:dyDescent="0.25">
      <c r="D688" s="114"/>
      <c r="F688" s="114"/>
      <c r="H688" s="114"/>
      <c r="J688" s="114"/>
    </row>
    <row r="689" spans="4:10" ht="15.75" customHeight="1" x14ac:dyDescent="0.25">
      <c r="D689" s="114"/>
      <c r="F689" s="114"/>
      <c r="H689" s="114"/>
      <c r="J689" s="114"/>
    </row>
    <row r="690" spans="4:10" ht="15.75" customHeight="1" x14ac:dyDescent="0.25">
      <c r="D690" s="114"/>
      <c r="F690" s="114"/>
      <c r="H690" s="114"/>
      <c r="J690" s="114"/>
    </row>
    <row r="691" spans="4:10" ht="15.75" customHeight="1" x14ac:dyDescent="0.25">
      <c r="D691" s="114"/>
      <c r="F691" s="114"/>
      <c r="H691" s="114"/>
      <c r="J691" s="114"/>
    </row>
    <row r="692" spans="4:10" ht="15.75" customHeight="1" x14ac:dyDescent="0.25">
      <c r="D692" s="114"/>
      <c r="F692" s="114"/>
      <c r="H692" s="114"/>
      <c r="J692" s="114"/>
    </row>
    <row r="693" spans="4:10" ht="15.75" customHeight="1" x14ac:dyDescent="0.25">
      <c r="D693" s="114"/>
      <c r="F693" s="114"/>
      <c r="H693" s="114"/>
      <c r="J693" s="114"/>
    </row>
    <row r="694" spans="4:10" ht="15.75" customHeight="1" x14ac:dyDescent="0.25">
      <c r="D694" s="114"/>
      <c r="F694" s="114"/>
      <c r="H694" s="114"/>
      <c r="J694" s="114"/>
    </row>
    <row r="695" spans="4:10" ht="15.75" customHeight="1" x14ac:dyDescent="0.25">
      <c r="D695" s="114"/>
      <c r="F695" s="114"/>
      <c r="H695" s="114"/>
      <c r="J695" s="114"/>
    </row>
    <row r="696" spans="4:10" ht="15.75" customHeight="1" x14ac:dyDescent="0.25">
      <c r="D696" s="114"/>
      <c r="F696" s="114"/>
      <c r="H696" s="114"/>
      <c r="J696" s="114"/>
    </row>
    <row r="697" spans="4:10" ht="15.75" customHeight="1" x14ac:dyDescent="0.25">
      <c r="D697" s="114"/>
      <c r="F697" s="114"/>
      <c r="H697" s="114"/>
      <c r="J697" s="114"/>
    </row>
    <row r="698" spans="4:10" ht="15.75" customHeight="1" x14ac:dyDescent="0.25">
      <c r="D698" s="114"/>
      <c r="F698" s="114"/>
      <c r="H698" s="114"/>
      <c r="J698" s="114"/>
    </row>
    <row r="699" spans="4:10" ht="15.75" customHeight="1" x14ac:dyDescent="0.25">
      <c r="D699" s="114"/>
      <c r="F699" s="114"/>
      <c r="H699" s="114"/>
      <c r="J699" s="114"/>
    </row>
    <row r="700" spans="4:10" ht="15.75" customHeight="1" x14ac:dyDescent="0.25">
      <c r="D700" s="114"/>
      <c r="F700" s="114"/>
      <c r="H700" s="114"/>
      <c r="J700" s="114"/>
    </row>
    <row r="701" spans="4:10" ht="15.75" customHeight="1" x14ac:dyDescent="0.25">
      <c r="D701" s="114"/>
      <c r="F701" s="114"/>
      <c r="H701" s="114"/>
      <c r="J701" s="114"/>
    </row>
    <row r="702" spans="4:10" ht="15.75" customHeight="1" x14ac:dyDescent="0.25">
      <c r="D702" s="114"/>
      <c r="F702" s="114"/>
      <c r="H702" s="114"/>
      <c r="J702" s="114"/>
    </row>
    <row r="703" spans="4:10" ht="15.75" customHeight="1" x14ac:dyDescent="0.25">
      <c r="D703" s="114"/>
      <c r="F703" s="114"/>
      <c r="H703" s="114"/>
      <c r="J703" s="114"/>
    </row>
    <row r="704" spans="4:10" ht="15.75" customHeight="1" x14ac:dyDescent="0.25">
      <c r="D704" s="114"/>
      <c r="F704" s="114"/>
      <c r="H704" s="114"/>
      <c r="J704" s="114"/>
    </row>
    <row r="705" spans="4:10" ht="15.75" customHeight="1" x14ac:dyDescent="0.25">
      <c r="D705" s="114"/>
      <c r="F705" s="114"/>
      <c r="H705" s="114"/>
      <c r="J705" s="114"/>
    </row>
    <row r="706" spans="4:10" ht="15.75" customHeight="1" x14ac:dyDescent="0.25">
      <c r="D706" s="114"/>
      <c r="F706" s="114"/>
      <c r="H706" s="114"/>
      <c r="J706" s="114"/>
    </row>
    <row r="707" spans="4:10" ht="15.75" customHeight="1" x14ac:dyDescent="0.25">
      <c r="D707" s="114"/>
      <c r="F707" s="114"/>
      <c r="H707" s="114"/>
      <c r="J707" s="114"/>
    </row>
    <row r="708" spans="4:10" ht="15.75" customHeight="1" x14ac:dyDescent="0.25">
      <c r="D708" s="114"/>
      <c r="F708" s="114"/>
      <c r="H708" s="114"/>
      <c r="J708" s="114"/>
    </row>
    <row r="709" spans="4:10" ht="15.75" customHeight="1" x14ac:dyDescent="0.25">
      <c r="D709" s="114"/>
      <c r="F709" s="114"/>
      <c r="H709" s="114"/>
      <c r="J709" s="114"/>
    </row>
    <row r="710" spans="4:10" ht="15.75" customHeight="1" x14ac:dyDescent="0.25">
      <c r="D710" s="114"/>
      <c r="F710" s="114"/>
      <c r="H710" s="114"/>
      <c r="J710" s="114"/>
    </row>
    <row r="711" spans="4:10" ht="15.75" customHeight="1" x14ac:dyDescent="0.25">
      <c r="D711" s="114"/>
      <c r="F711" s="114"/>
      <c r="H711" s="114"/>
      <c r="J711" s="114"/>
    </row>
    <row r="712" spans="4:10" ht="15.75" customHeight="1" x14ac:dyDescent="0.25">
      <c r="D712" s="114"/>
      <c r="F712" s="114"/>
      <c r="H712" s="114"/>
      <c r="J712" s="114"/>
    </row>
    <row r="713" spans="4:10" ht="15.75" customHeight="1" x14ac:dyDescent="0.25">
      <c r="D713" s="114"/>
      <c r="F713" s="114"/>
      <c r="H713" s="114"/>
      <c r="J713" s="114"/>
    </row>
    <row r="714" spans="4:10" ht="15.75" customHeight="1" x14ac:dyDescent="0.25">
      <c r="D714" s="114"/>
      <c r="F714" s="114"/>
      <c r="H714" s="114"/>
      <c r="J714" s="114"/>
    </row>
    <row r="715" spans="4:10" ht="15.75" customHeight="1" x14ac:dyDescent="0.25">
      <c r="D715" s="114"/>
      <c r="F715" s="114"/>
      <c r="H715" s="114"/>
      <c r="J715" s="114"/>
    </row>
    <row r="716" spans="4:10" ht="15.75" customHeight="1" x14ac:dyDescent="0.25">
      <c r="D716" s="114"/>
      <c r="F716" s="114"/>
      <c r="H716" s="114"/>
      <c r="J716" s="114"/>
    </row>
    <row r="717" spans="4:10" ht="15.75" customHeight="1" x14ac:dyDescent="0.25">
      <c r="D717" s="114"/>
      <c r="F717" s="114"/>
      <c r="H717" s="114"/>
      <c r="J717" s="114"/>
    </row>
    <row r="718" spans="4:10" ht="15.75" customHeight="1" x14ac:dyDescent="0.25">
      <c r="D718" s="114"/>
      <c r="F718" s="114"/>
      <c r="H718" s="114"/>
      <c r="J718" s="114"/>
    </row>
    <row r="719" spans="4:10" ht="15.75" customHeight="1" x14ac:dyDescent="0.25">
      <c r="D719" s="114"/>
      <c r="F719" s="114"/>
      <c r="H719" s="114"/>
      <c r="J719" s="114"/>
    </row>
    <row r="720" spans="4:10" ht="15.75" customHeight="1" x14ac:dyDescent="0.25">
      <c r="D720" s="114"/>
      <c r="F720" s="114"/>
      <c r="H720" s="114"/>
      <c r="J720" s="114"/>
    </row>
    <row r="721" spans="4:10" ht="15.75" customHeight="1" x14ac:dyDescent="0.25">
      <c r="D721" s="114"/>
      <c r="F721" s="114"/>
      <c r="H721" s="114"/>
      <c r="J721" s="114"/>
    </row>
    <row r="722" spans="4:10" ht="15.75" customHeight="1" x14ac:dyDescent="0.25">
      <c r="D722" s="114"/>
      <c r="F722" s="114"/>
      <c r="H722" s="114"/>
      <c r="J722" s="114"/>
    </row>
    <row r="723" spans="4:10" ht="15.75" customHeight="1" x14ac:dyDescent="0.25">
      <c r="D723" s="114"/>
      <c r="F723" s="114"/>
      <c r="H723" s="114"/>
      <c r="J723" s="114"/>
    </row>
    <row r="724" spans="4:10" ht="15.75" customHeight="1" x14ac:dyDescent="0.25">
      <c r="D724" s="114"/>
      <c r="F724" s="114"/>
      <c r="H724" s="114"/>
      <c r="J724" s="114"/>
    </row>
    <row r="725" spans="4:10" ht="15.75" customHeight="1" x14ac:dyDescent="0.25">
      <c r="D725" s="114"/>
      <c r="F725" s="114"/>
      <c r="H725" s="114"/>
      <c r="J725" s="114"/>
    </row>
    <row r="726" spans="4:10" ht="15.75" customHeight="1" x14ac:dyDescent="0.25">
      <c r="D726" s="114"/>
      <c r="F726" s="114"/>
      <c r="H726" s="114"/>
      <c r="J726" s="114"/>
    </row>
    <row r="727" spans="4:10" ht="15.75" customHeight="1" x14ac:dyDescent="0.25">
      <c r="D727" s="114"/>
      <c r="F727" s="114"/>
      <c r="H727" s="114"/>
      <c r="J727" s="114"/>
    </row>
    <row r="728" spans="4:10" ht="15.75" customHeight="1" x14ac:dyDescent="0.25">
      <c r="D728" s="114"/>
      <c r="F728" s="114"/>
      <c r="H728" s="114"/>
      <c r="J728" s="114"/>
    </row>
    <row r="729" spans="4:10" ht="15.75" customHeight="1" x14ac:dyDescent="0.25">
      <c r="D729" s="114"/>
      <c r="F729" s="114"/>
      <c r="H729" s="114"/>
      <c r="J729" s="114"/>
    </row>
    <row r="730" spans="4:10" ht="15.75" customHeight="1" x14ac:dyDescent="0.25">
      <c r="D730" s="114"/>
      <c r="F730" s="114"/>
      <c r="H730" s="114"/>
      <c r="J730" s="114"/>
    </row>
    <row r="731" spans="4:10" ht="15.75" customHeight="1" x14ac:dyDescent="0.25">
      <c r="D731" s="114"/>
      <c r="F731" s="114"/>
      <c r="H731" s="114"/>
      <c r="J731" s="114"/>
    </row>
    <row r="732" spans="4:10" ht="15.75" customHeight="1" x14ac:dyDescent="0.25">
      <c r="D732" s="114"/>
      <c r="F732" s="114"/>
      <c r="H732" s="114"/>
      <c r="J732" s="114"/>
    </row>
    <row r="733" spans="4:10" ht="15.75" customHeight="1" x14ac:dyDescent="0.25">
      <c r="D733" s="114"/>
      <c r="F733" s="114"/>
      <c r="H733" s="114"/>
      <c r="J733" s="114"/>
    </row>
    <row r="734" spans="4:10" ht="15.75" customHeight="1" x14ac:dyDescent="0.25">
      <c r="D734" s="114"/>
      <c r="F734" s="114"/>
      <c r="H734" s="114"/>
      <c r="J734" s="114"/>
    </row>
    <row r="735" spans="4:10" ht="15.75" customHeight="1" x14ac:dyDescent="0.25">
      <c r="D735" s="114"/>
      <c r="F735" s="114"/>
      <c r="H735" s="114"/>
      <c r="J735" s="114"/>
    </row>
    <row r="736" spans="4:10" ht="15.75" customHeight="1" x14ac:dyDescent="0.25">
      <c r="D736" s="114"/>
      <c r="F736" s="114"/>
      <c r="H736" s="114"/>
      <c r="J736" s="114"/>
    </row>
    <row r="737" spans="4:10" ht="15.75" customHeight="1" x14ac:dyDescent="0.25">
      <c r="D737" s="114"/>
      <c r="F737" s="114"/>
      <c r="H737" s="114"/>
      <c r="J737" s="114"/>
    </row>
    <row r="738" spans="4:10" ht="15.75" customHeight="1" x14ac:dyDescent="0.25">
      <c r="D738" s="114"/>
      <c r="F738" s="114"/>
      <c r="H738" s="114"/>
      <c r="J738" s="114"/>
    </row>
    <row r="739" spans="4:10" ht="15.75" customHeight="1" x14ac:dyDescent="0.25">
      <c r="D739" s="114"/>
      <c r="F739" s="114"/>
      <c r="H739" s="114"/>
      <c r="J739" s="114"/>
    </row>
    <row r="740" spans="4:10" ht="15.75" customHeight="1" x14ac:dyDescent="0.25">
      <c r="D740" s="114"/>
      <c r="F740" s="114"/>
      <c r="H740" s="114"/>
      <c r="J740" s="114"/>
    </row>
    <row r="741" spans="4:10" ht="15.75" customHeight="1" x14ac:dyDescent="0.25">
      <c r="D741" s="114"/>
      <c r="F741" s="114"/>
      <c r="H741" s="114"/>
      <c r="J741" s="114"/>
    </row>
    <row r="742" spans="4:10" ht="15.75" customHeight="1" x14ac:dyDescent="0.25">
      <c r="D742" s="114"/>
      <c r="F742" s="114"/>
      <c r="H742" s="114"/>
      <c r="J742" s="114"/>
    </row>
    <row r="743" spans="4:10" ht="15.75" customHeight="1" x14ac:dyDescent="0.25">
      <c r="D743" s="114"/>
      <c r="F743" s="114"/>
      <c r="H743" s="114"/>
      <c r="J743" s="114"/>
    </row>
    <row r="744" spans="4:10" ht="15.75" customHeight="1" x14ac:dyDescent="0.25">
      <c r="D744" s="114"/>
      <c r="F744" s="114"/>
      <c r="H744" s="114"/>
      <c r="J744" s="114"/>
    </row>
    <row r="745" spans="4:10" ht="15.75" customHeight="1" x14ac:dyDescent="0.25">
      <c r="D745" s="114"/>
      <c r="F745" s="114"/>
      <c r="H745" s="114"/>
      <c r="J745" s="114"/>
    </row>
    <row r="746" spans="4:10" ht="15.75" customHeight="1" x14ac:dyDescent="0.25">
      <c r="D746" s="114"/>
      <c r="F746" s="114"/>
      <c r="H746" s="114"/>
      <c r="J746" s="114"/>
    </row>
    <row r="747" spans="4:10" ht="15.75" customHeight="1" x14ac:dyDescent="0.25">
      <c r="D747" s="114"/>
      <c r="F747" s="114"/>
      <c r="H747" s="114"/>
      <c r="J747" s="114"/>
    </row>
    <row r="748" spans="4:10" ht="15.75" customHeight="1" x14ac:dyDescent="0.25">
      <c r="D748" s="114"/>
      <c r="F748" s="114"/>
      <c r="H748" s="114"/>
      <c r="J748" s="114"/>
    </row>
    <row r="749" spans="4:10" ht="15.75" customHeight="1" x14ac:dyDescent="0.25">
      <c r="D749" s="114"/>
      <c r="F749" s="114"/>
      <c r="H749" s="114"/>
      <c r="J749" s="114"/>
    </row>
    <row r="750" spans="4:10" ht="15.75" customHeight="1" x14ac:dyDescent="0.25">
      <c r="D750" s="114"/>
      <c r="F750" s="114"/>
      <c r="H750" s="114"/>
      <c r="J750" s="114"/>
    </row>
    <row r="751" spans="4:10" ht="15.75" customHeight="1" x14ac:dyDescent="0.25">
      <c r="D751" s="114"/>
      <c r="F751" s="114"/>
      <c r="H751" s="114"/>
      <c r="J751" s="114"/>
    </row>
    <row r="752" spans="4:10" ht="15.75" customHeight="1" x14ac:dyDescent="0.25">
      <c r="D752" s="114"/>
      <c r="F752" s="114"/>
      <c r="H752" s="114"/>
      <c r="J752" s="114"/>
    </row>
    <row r="753" spans="4:10" ht="15.75" customHeight="1" x14ac:dyDescent="0.25">
      <c r="D753" s="114"/>
      <c r="F753" s="114"/>
      <c r="H753" s="114"/>
      <c r="J753" s="114"/>
    </row>
    <row r="754" spans="4:10" ht="15.75" customHeight="1" x14ac:dyDescent="0.25">
      <c r="D754" s="114"/>
      <c r="F754" s="114"/>
      <c r="H754" s="114"/>
      <c r="J754" s="114"/>
    </row>
    <row r="755" spans="4:10" ht="15.75" customHeight="1" x14ac:dyDescent="0.25">
      <c r="D755" s="114"/>
      <c r="F755" s="114"/>
      <c r="H755" s="114"/>
      <c r="J755" s="114"/>
    </row>
    <row r="756" spans="4:10" ht="15.75" customHeight="1" x14ac:dyDescent="0.25">
      <c r="D756" s="114"/>
      <c r="F756" s="114"/>
      <c r="H756" s="114"/>
      <c r="J756" s="114"/>
    </row>
    <row r="757" spans="4:10" ht="15.75" customHeight="1" x14ac:dyDescent="0.25">
      <c r="D757" s="114"/>
      <c r="F757" s="114"/>
      <c r="H757" s="114"/>
      <c r="J757" s="114"/>
    </row>
    <row r="758" spans="4:10" ht="15.75" customHeight="1" x14ac:dyDescent="0.25">
      <c r="D758" s="114"/>
      <c r="F758" s="114"/>
      <c r="H758" s="114"/>
      <c r="J758" s="114"/>
    </row>
    <row r="759" spans="4:10" ht="15.75" customHeight="1" x14ac:dyDescent="0.25">
      <c r="D759" s="114"/>
      <c r="F759" s="114"/>
      <c r="H759" s="114"/>
      <c r="J759" s="114"/>
    </row>
    <row r="760" spans="4:10" ht="15.75" customHeight="1" x14ac:dyDescent="0.25">
      <c r="D760" s="114"/>
      <c r="F760" s="114"/>
      <c r="H760" s="114"/>
      <c r="J760" s="114"/>
    </row>
    <row r="761" spans="4:10" ht="15.75" customHeight="1" x14ac:dyDescent="0.25">
      <c r="D761" s="114"/>
      <c r="F761" s="114"/>
      <c r="H761" s="114"/>
      <c r="J761" s="114"/>
    </row>
    <row r="762" spans="4:10" ht="15.75" customHeight="1" x14ac:dyDescent="0.25">
      <c r="D762" s="114"/>
      <c r="F762" s="114"/>
      <c r="H762" s="114"/>
      <c r="J762" s="114"/>
    </row>
    <row r="763" spans="4:10" ht="15.75" customHeight="1" x14ac:dyDescent="0.25">
      <c r="D763" s="114"/>
      <c r="F763" s="114"/>
      <c r="H763" s="114"/>
      <c r="J763" s="114"/>
    </row>
    <row r="764" spans="4:10" ht="15.75" customHeight="1" x14ac:dyDescent="0.25">
      <c r="D764" s="114"/>
      <c r="F764" s="114"/>
      <c r="H764" s="114"/>
      <c r="J764" s="114"/>
    </row>
    <row r="765" spans="4:10" ht="15.75" customHeight="1" x14ac:dyDescent="0.25">
      <c r="D765" s="114"/>
      <c r="F765" s="114"/>
      <c r="H765" s="114"/>
      <c r="J765" s="114"/>
    </row>
    <row r="766" spans="4:10" ht="15.75" customHeight="1" x14ac:dyDescent="0.25">
      <c r="D766" s="114"/>
      <c r="F766" s="114"/>
      <c r="H766" s="114"/>
      <c r="J766" s="114"/>
    </row>
    <row r="767" spans="4:10" ht="15.75" customHeight="1" x14ac:dyDescent="0.25">
      <c r="D767" s="114"/>
      <c r="F767" s="114"/>
      <c r="H767" s="114"/>
      <c r="J767" s="114"/>
    </row>
    <row r="768" spans="4:10" ht="15.75" customHeight="1" x14ac:dyDescent="0.25">
      <c r="D768" s="114"/>
      <c r="F768" s="114"/>
      <c r="H768" s="114"/>
      <c r="J768" s="114"/>
    </row>
    <row r="769" spans="4:10" ht="15.75" customHeight="1" x14ac:dyDescent="0.25">
      <c r="D769" s="114"/>
      <c r="F769" s="114"/>
      <c r="H769" s="114"/>
      <c r="J769" s="114"/>
    </row>
    <row r="770" spans="4:10" ht="15.75" customHeight="1" x14ac:dyDescent="0.25">
      <c r="D770" s="114"/>
      <c r="F770" s="114"/>
      <c r="H770" s="114"/>
      <c r="J770" s="114"/>
    </row>
    <row r="771" spans="4:10" ht="15.75" customHeight="1" x14ac:dyDescent="0.25">
      <c r="D771" s="114"/>
      <c r="F771" s="114"/>
      <c r="H771" s="114"/>
      <c r="J771" s="114"/>
    </row>
    <row r="772" spans="4:10" ht="15.75" customHeight="1" x14ac:dyDescent="0.25">
      <c r="D772" s="114"/>
      <c r="F772" s="114"/>
      <c r="H772" s="114"/>
      <c r="J772" s="114"/>
    </row>
    <row r="773" spans="4:10" ht="15.75" customHeight="1" x14ac:dyDescent="0.25">
      <c r="D773" s="114"/>
      <c r="F773" s="114"/>
      <c r="H773" s="114"/>
      <c r="J773" s="114"/>
    </row>
    <row r="774" spans="4:10" ht="15.75" customHeight="1" x14ac:dyDescent="0.25">
      <c r="D774" s="114"/>
      <c r="F774" s="114"/>
      <c r="H774" s="114"/>
      <c r="J774" s="114"/>
    </row>
    <row r="775" spans="4:10" ht="15.75" customHeight="1" x14ac:dyDescent="0.25">
      <c r="D775" s="114"/>
      <c r="F775" s="114"/>
      <c r="H775" s="114"/>
      <c r="J775" s="114"/>
    </row>
    <row r="776" spans="4:10" ht="15.75" customHeight="1" x14ac:dyDescent="0.25">
      <c r="D776" s="114"/>
      <c r="F776" s="114"/>
      <c r="H776" s="114"/>
      <c r="J776" s="114"/>
    </row>
    <row r="777" spans="4:10" ht="15.75" customHeight="1" x14ac:dyDescent="0.25">
      <c r="D777" s="114"/>
      <c r="F777" s="114"/>
      <c r="H777" s="114"/>
      <c r="J777" s="114"/>
    </row>
    <row r="778" spans="4:10" ht="15.75" customHeight="1" x14ac:dyDescent="0.25">
      <c r="D778" s="114"/>
      <c r="F778" s="114"/>
      <c r="H778" s="114"/>
      <c r="J778" s="114"/>
    </row>
    <row r="779" spans="4:10" ht="15.75" customHeight="1" x14ac:dyDescent="0.25">
      <c r="D779" s="114"/>
      <c r="F779" s="114"/>
      <c r="H779" s="114"/>
      <c r="J779" s="114"/>
    </row>
    <row r="780" spans="4:10" ht="15.75" customHeight="1" x14ac:dyDescent="0.25">
      <c r="D780" s="114"/>
      <c r="F780" s="114"/>
      <c r="H780" s="114"/>
      <c r="J780" s="114"/>
    </row>
    <row r="781" spans="4:10" ht="15.75" customHeight="1" x14ac:dyDescent="0.25">
      <c r="D781" s="114"/>
      <c r="F781" s="114"/>
      <c r="H781" s="114"/>
      <c r="J781" s="114"/>
    </row>
    <row r="782" spans="4:10" ht="15.75" customHeight="1" x14ac:dyDescent="0.25">
      <c r="D782" s="114"/>
      <c r="F782" s="114"/>
      <c r="H782" s="114"/>
      <c r="J782" s="114"/>
    </row>
    <row r="783" spans="4:10" ht="15.75" customHeight="1" x14ac:dyDescent="0.25">
      <c r="D783" s="114"/>
      <c r="F783" s="114"/>
      <c r="H783" s="114"/>
      <c r="J783" s="114"/>
    </row>
    <row r="784" spans="4:10" ht="15.75" customHeight="1" x14ac:dyDescent="0.25">
      <c r="D784" s="114"/>
      <c r="F784" s="114"/>
      <c r="H784" s="114"/>
      <c r="J784" s="114"/>
    </row>
    <row r="785" spans="4:10" ht="15.75" customHeight="1" x14ac:dyDescent="0.25">
      <c r="D785" s="114"/>
      <c r="F785" s="114"/>
      <c r="H785" s="114"/>
      <c r="J785" s="114"/>
    </row>
    <row r="786" spans="4:10" ht="15.75" customHeight="1" x14ac:dyDescent="0.25">
      <c r="D786" s="114"/>
      <c r="F786" s="114"/>
      <c r="H786" s="114"/>
      <c r="J786" s="114"/>
    </row>
    <row r="787" spans="4:10" ht="15.75" customHeight="1" x14ac:dyDescent="0.25">
      <c r="D787" s="114"/>
      <c r="F787" s="114"/>
      <c r="H787" s="114"/>
      <c r="J787" s="114"/>
    </row>
    <row r="788" spans="4:10" ht="15.75" customHeight="1" x14ac:dyDescent="0.25">
      <c r="D788" s="114"/>
      <c r="F788" s="114"/>
      <c r="H788" s="114"/>
      <c r="J788" s="114"/>
    </row>
    <row r="789" spans="4:10" ht="15.75" customHeight="1" x14ac:dyDescent="0.25">
      <c r="D789" s="114"/>
      <c r="F789" s="114"/>
      <c r="H789" s="114"/>
      <c r="J789" s="114"/>
    </row>
    <row r="790" spans="4:10" ht="15.75" customHeight="1" x14ac:dyDescent="0.25">
      <c r="D790" s="114"/>
      <c r="F790" s="114"/>
      <c r="H790" s="114"/>
      <c r="J790" s="114"/>
    </row>
    <row r="791" spans="4:10" ht="15.75" customHeight="1" x14ac:dyDescent="0.25">
      <c r="D791" s="114"/>
      <c r="F791" s="114"/>
      <c r="H791" s="114"/>
      <c r="J791" s="114"/>
    </row>
    <row r="792" spans="4:10" ht="15.75" customHeight="1" x14ac:dyDescent="0.25">
      <c r="D792" s="114"/>
      <c r="F792" s="114"/>
      <c r="H792" s="114"/>
      <c r="J792" s="114"/>
    </row>
    <row r="793" spans="4:10" ht="15.75" customHeight="1" x14ac:dyDescent="0.25">
      <c r="D793" s="114"/>
      <c r="F793" s="114"/>
      <c r="H793" s="114"/>
      <c r="J793" s="114"/>
    </row>
    <row r="794" spans="4:10" ht="15.75" customHeight="1" x14ac:dyDescent="0.25">
      <c r="D794" s="114"/>
      <c r="F794" s="114"/>
      <c r="H794" s="114"/>
      <c r="J794" s="114"/>
    </row>
    <row r="795" spans="4:10" ht="15.75" customHeight="1" x14ac:dyDescent="0.25">
      <c r="D795" s="114"/>
      <c r="F795" s="114"/>
      <c r="H795" s="114"/>
      <c r="J795" s="114"/>
    </row>
    <row r="796" spans="4:10" ht="15.75" customHeight="1" x14ac:dyDescent="0.25">
      <c r="D796" s="114"/>
      <c r="F796" s="114"/>
      <c r="H796" s="114"/>
      <c r="J796" s="114"/>
    </row>
    <row r="797" spans="4:10" ht="15.75" customHeight="1" x14ac:dyDescent="0.25">
      <c r="D797" s="114"/>
      <c r="F797" s="114"/>
      <c r="H797" s="114"/>
      <c r="J797" s="114"/>
    </row>
    <row r="798" spans="4:10" ht="15.75" customHeight="1" x14ac:dyDescent="0.25">
      <c r="D798" s="114"/>
      <c r="F798" s="114"/>
      <c r="H798" s="114"/>
      <c r="J798" s="114"/>
    </row>
    <row r="799" spans="4:10" ht="15.75" customHeight="1" x14ac:dyDescent="0.25">
      <c r="D799" s="114"/>
      <c r="F799" s="114"/>
      <c r="H799" s="114"/>
      <c r="J799" s="114"/>
    </row>
    <row r="800" spans="4:10" ht="15.75" customHeight="1" x14ac:dyDescent="0.25">
      <c r="D800" s="114"/>
      <c r="F800" s="114"/>
      <c r="H800" s="114"/>
      <c r="J800" s="114"/>
    </row>
    <row r="801" spans="4:10" ht="15.75" customHeight="1" x14ac:dyDescent="0.25">
      <c r="D801" s="114"/>
      <c r="F801" s="114"/>
      <c r="H801" s="114"/>
      <c r="J801" s="114"/>
    </row>
    <row r="802" spans="4:10" ht="15.75" customHeight="1" x14ac:dyDescent="0.25">
      <c r="D802" s="114"/>
      <c r="F802" s="114"/>
      <c r="H802" s="114"/>
      <c r="J802" s="114"/>
    </row>
    <row r="803" spans="4:10" ht="15.75" customHeight="1" x14ac:dyDescent="0.25">
      <c r="D803" s="114"/>
      <c r="F803" s="114"/>
      <c r="H803" s="114"/>
      <c r="J803" s="114"/>
    </row>
    <row r="804" spans="4:10" ht="15.75" customHeight="1" x14ac:dyDescent="0.25">
      <c r="D804" s="114"/>
      <c r="F804" s="114"/>
      <c r="H804" s="114"/>
      <c r="J804" s="114"/>
    </row>
    <row r="805" spans="4:10" ht="15.75" customHeight="1" x14ac:dyDescent="0.25">
      <c r="D805" s="114"/>
      <c r="F805" s="114"/>
      <c r="H805" s="114"/>
      <c r="J805" s="114"/>
    </row>
    <row r="806" spans="4:10" ht="15.75" customHeight="1" x14ac:dyDescent="0.25">
      <c r="D806" s="114"/>
      <c r="F806" s="114"/>
      <c r="H806" s="114"/>
      <c r="J806" s="114"/>
    </row>
    <row r="807" spans="4:10" ht="15.75" customHeight="1" x14ac:dyDescent="0.25">
      <c r="D807" s="114"/>
      <c r="F807" s="114"/>
      <c r="H807" s="114"/>
      <c r="J807" s="114"/>
    </row>
    <row r="808" spans="4:10" ht="15.75" customHeight="1" x14ac:dyDescent="0.25">
      <c r="D808" s="114"/>
      <c r="F808" s="114"/>
      <c r="H808" s="114"/>
      <c r="J808" s="114"/>
    </row>
    <row r="809" spans="4:10" ht="15.75" customHeight="1" x14ac:dyDescent="0.25">
      <c r="D809" s="114"/>
      <c r="F809" s="114"/>
      <c r="H809" s="114"/>
      <c r="J809" s="114"/>
    </row>
    <row r="810" spans="4:10" ht="15.75" customHeight="1" x14ac:dyDescent="0.25">
      <c r="D810" s="114"/>
      <c r="F810" s="114"/>
      <c r="H810" s="114"/>
      <c r="J810" s="114"/>
    </row>
    <row r="811" spans="4:10" ht="15.75" customHeight="1" x14ac:dyDescent="0.25">
      <c r="D811" s="114"/>
      <c r="F811" s="114"/>
      <c r="H811" s="114"/>
      <c r="J811" s="114"/>
    </row>
    <row r="812" spans="4:10" ht="15.75" customHeight="1" x14ac:dyDescent="0.25">
      <c r="D812" s="114"/>
      <c r="F812" s="114"/>
      <c r="H812" s="114"/>
      <c r="J812" s="114"/>
    </row>
    <row r="813" spans="4:10" ht="15.75" customHeight="1" x14ac:dyDescent="0.25">
      <c r="D813" s="114"/>
      <c r="F813" s="114"/>
      <c r="H813" s="114"/>
      <c r="J813" s="114"/>
    </row>
    <row r="814" spans="4:10" ht="15.75" customHeight="1" x14ac:dyDescent="0.25">
      <c r="D814" s="114"/>
      <c r="F814" s="114"/>
      <c r="H814" s="114"/>
      <c r="J814" s="114"/>
    </row>
    <row r="815" spans="4:10" ht="15.75" customHeight="1" x14ac:dyDescent="0.25">
      <c r="D815" s="114"/>
      <c r="F815" s="114"/>
      <c r="H815" s="114"/>
      <c r="J815" s="114"/>
    </row>
    <row r="816" spans="4:10" ht="15.75" customHeight="1" x14ac:dyDescent="0.25">
      <c r="D816" s="114"/>
      <c r="F816" s="114"/>
      <c r="H816" s="114"/>
      <c r="J816" s="114"/>
    </row>
    <row r="817" spans="4:10" ht="15.75" customHeight="1" x14ac:dyDescent="0.25">
      <c r="D817" s="114"/>
      <c r="F817" s="114"/>
      <c r="H817" s="114"/>
      <c r="J817" s="114"/>
    </row>
    <row r="818" spans="4:10" ht="15.75" customHeight="1" x14ac:dyDescent="0.25">
      <c r="D818" s="114"/>
      <c r="F818" s="114"/>
      <c r="H818" s="114"/>
      <c r="J818" s="114"/>
    </row>
    <row r="819" spans="4:10" ht="15.75" customHeight="1" x14ac:dyDescent="0.25">
      <c r="D819" s="114"/>
      <c r="F819" s="114"/>
      <c r="H819" s="114"/>
      <c r="J819" s="114"/>
    </row>
    <row r="820" spans="4:10" ht="15.75" customHeight="1" x14ac:dyDescent="0.25">
      <c r="D820" s="114"/>
      <c r="F820" s="114"/>
      <c r="H820" s="114"/>
      <c r="J820" s="114"/>
    </row>
    <row r="821" spans="4:10" ht="15.75" customHeight="1" x14ac:dyDescent="0.25">
      <c r="D821" s="114"/>
      <c r="F821" s="114"/>
      <c r="H821" s="114"/>
      <c r="J821" s="114"/>
    </row>
    <row r="822" spans="4:10" ht="15.75" customHeight="1" x14ac:dyDescent="0.25">
      <c r="D822" s="114"/>
      <c r="F822" s="114"/>
      <c r="H822" s="114"/>
      <c r="J822" s="114"/>
    </row>
    <row r="823" spans="4:10" ht="15.75" customHeight="1" x14ac:dyDescent="0.25">
      <c r="D823" s="114"/>
      <c r="F823" s="114"/>
      <c r="H823" s="114"/>
      <c r="J823" s="114"/>
    </row>
    <row r="824" spans="4:10" ht="15.75" customHeight="1" x14ac:dyDescent="0.25">
      <c r="D824" s="114"/>
      <c r="F824" s="114"/>
      <c r="H824" s="114"/>
      <c r="J824" s="114"/>
    </row>
    <row r="825" spans="4:10" ht="15.75" customHeight="1" x14ac:dyDescent="0.25">
      <c r="D825" s="114"/>
      <c r="F825" s="114"/>
      <c r="H825" s="114"/>
      <c r="J825" s="114"/>
    </row>
    <row r="826" spans="4:10" ht="15.75" customHeight="1" x14ac:dyDescent="0.25">
      <c r="D826" s="114"/>
      <c r="F826" s="114"/>
      <c r="H826" s="114"/>
      <c r="J826" s="114"/>
    </row>
    <row r="827" spans="4:10" ht="15.75" customHeight="1" x14ac:dyDescent="0.25">
      <c r="D827" s="114"/>
      <c r="F827" s="114"/>
      <c r="H827" s="114"/>
      <c r="J827" s="114"/>
    </row>
    <row r="828" spans="4:10" ht="15.75" customHeight="1" x14ac:dyDescent="0.25">
      <c r="D828" s="114"/>
      <c r="F828" s="114"/>
      <c r="H828" s="114"/>
      <c r="J828" s="114"/>
    </row>
    <row r="829" spans="4:10" ht="15.75" customHeight="1" x14ac:dyDescent="0.25">
      <c r="D829" s="114"/>
      <c r="F829" s="114"/>
      <c r="H829" s="114"/>
      <c r="J829" s="114"/>
    </row>
    <row r="830" spans="4:10" ht="15.75" customHeight="1" x14ac:dyDescent="0.25">
      <c r="D830" s="114"/>
      <c r="F830" s="114"/>
      <c r="H830" s="114"/>
      <c r="J830" s="114"/>
    </row>
    <row r="831" spans="4:10" ht="15.75" customHeight="1" x14ac:dyDescent="0.25">
      <c r="D831" s="114"/>
      <c r="F831" s="114"/>
      <c r="H831" s="114"/>
      <c r="J831" s="114"/>
    </row>
    <row r="832" spans="4:10" ht="15.75" customHeight="1" x14ac:dyDescent="0.25">
      <c r="D832" s="114"/>
      <c r="F832" s="114"/>
      <c r="H832" s="114"/>
      <c r="J832" s="114"/>
    </row>
    <row r="833" spans="4:10" ht="15.75" customHeight="1" x14ac:dyDescent="0.25">
      <c r="D833" s="114"/>
      <c r="F833" s="114"/>
      <c r="H833" s="114"/>
      <c r="J833" s="114"/>
    </row>
    <row r="834" spans="4:10" ht="15.75" customHeight="1" x14ac:dyDescent="0.25">
      <c r="D834" s="114"/>
      <c r="F834" s="114"/>
      <c r="H834" s="114"/>
      <c r="J834" s="114"/>
    </row>
    <row r="835" spans="4:10" ht="15.75" customHeight="1" x14ac:dyDescent="0.25">
      <c r="D835" s="114"/>
      <c r="F835" s="114"/>
      <c r="H835" s="114"/>
      <c r="J835" s="114"/>
    </row>
    <row r="836" spans="4:10" ht="15.75" customHeight="1" x14ac:dyDescent="0.25">
      <c r="D836" s="114"/>
      <c r="F836" s="114"/>
      <c r="H836" s="114"/>
      <c r="J836" s="114"/>
    </row>
    <row r="837" spans="4:10" ht="15.75" customHeight="1" x14ac:dyDescent="0.25">
      <c r="D837" s="114"/>
      <c r="F837" s="114"/>
      <c r="H837" s="114"/>
      <c r="J837" s="114"/>
    </row>
    <row r="838" spans="4:10" ht="15.75" customHeight="1" x14ac:dyDescent="0.25">
      <c r="D838" s="114"/>
      <c r="F838" s="114"/>
      <c r="H838" s="114"/>
      <c r="J838" s="114"/>
    </row>
    <row r="839" spans="4:10" ht="15.75" customHeight="1" x14ac:dyDescent="0.25">
      <c r="D839" s="114"/>
      <c r="F839" s="114"/>
      <c r="H839" s="114"/>
      <c r="J839" s="114"/>
    </row>
    <row r="840" spans="4:10" ht="15.75" customHeight="1" x14ac:dyDescent="0.25">
      <c r="D840" s="114"/>
      <c r="F840" s="114"/>
      <c r="H840" s="114"/>
      <c r="J840" s="114"/>
    </row>
    <row r="841" spans="4:10" ht="15.75" customHeight="1" x14ac:dyDescent="0.25">
      <c r="D841" s="114"/>
      <c r="F841" s="114"/>
      <c r="H841" s="114"/>
      <c r="J841" s="114"/>
    </row>
    <row r="842" spans="4:10" ht="15.75" customHeight="1" x14ac:dyDescent="0.25">
      <c r="D842" s="114"/>
      <c r="F842" s="114"/>
      <c r="H842" s="114"/>
      <c r="J842" s="114"/>
    </row>
    <row r="843" spans="4:10" ht="15.75" customHeight="1" x14ac:dyDescent="0.25">
      <c r="D843" s="114"/>
      <c r="F843" s="114"/>
      <c r="H843" s="114"/>
      <c r="J843" s="114"/>
    </row>
    <row r="844" spans="4:10" ht="15.75" customHeight="1" x14ac:dyDescent="0.25">
      <c r="D844" s="114"/>
      <c r="F844" s="114"/>
      <c r="H844" s="114"/>
      <c r="J844" s="114"/>
    </row>
    <row r="845" spans="4:10" ht="15.75" customHeight="1" x14ac:dyDescent="0.25">
      <c r="D845" s="114"/>
      <c r="F845" s="114"/>
      <c r="H845" s="114"/>
      <c r="J845" s="114"/>
    </row>
    <row r="846" spans="4:10" ht="15.75" customHeight="1" x14ac:dyDescent="0.25">
      <c r="D846" s="114"/>
      <c r="F846" s="114"/>
      <c r="H846" s="114"/>
      <c r="J846" s="114"/>
    </row>
    <row r="847" spans="4:10" ht="15.75" customHeight="1" x14ac:dyDescent="0.25">
      <c r="D847" s="114"/>
      <c r="F847" s="114"/>
      <c r="H847" s="114"/>
      <c r="J847" s="114"/>
    </row>
    <row r="848" spans="4:10" ht="15.75" customHeight="1" x14ac:dyDescent="0.25">
      <c r="D848" s="114"/>
      <c r="F848" s="114"/>
      <c r="H848" s="114"/>
      <c r="J848" s="114"/>
    </row>
    <row r="849" spans="4:10" ht="15.75" customHeight="1" x14ac:dyDescent="0.25">
      <c r="D849" s="114"/>
      <c r="F849" s="114"/>
      <c r="H849" s="114"/>
      <c r="J849" s="114"/>
    </row>
    <row r="850" spans="4:10" ht="15.75" customHeight="1" x14ac:dyDescent="0.25">
      <c r="D850" s="114"/>
      <c r="F850" s="114"/>
      <c r="H850" s="114"/>
      <c r="J850" s="114"/>
    </row>
    <row r="851" spans="4:10" ht="15.75" customHeight="1" x14ac:dyDescent="0.25">
      <c r="D851" s="114"/>
      <c r="F851" s="114"/>
      <c r="H851" s="114"/>
      <c r="J851" s="114"/>
    </row>
    <row r="852" spans="4:10" ht="15.75" customHeight="1" x14ac:dyDescent="0.25">
      <c r="D852" s="114"/>
      <c r="F852" s="114"/>
      <c r="H852" s="114"/>
      <c r="J852" s="114"/>
    </row>
    <row r="853" spans="4:10" ht="15.75" customHeight="1" x14ac:dyDescent="0.25">
      <c r="D853" s="114"/>
      <c r="F853" s="114"/>
      <c r="H853" s="114"/>
      <c r="J853" s="114"/>
    </row>
    <row r="854" spans="4:10" ht="15.75" customHeight="1" x14ac:dyDescent="0.25">
      <c r="D854" s="114"/>
      <c r="F854" s="114"/>
      <c r="H854" s="114"/>
      <c r="J854" s="114"/>
    </row>
    <row r="855" spans="4:10" ht="15.75" customHeight="1" x14ac:dyDescent="0.25">
      <c r="D855" s="114"/>
      <c r="F855" s="114"/>
      <c r="H855" s="114"/>
      <c r="J855" s="114"/>
    </row>
    <row r="856" spans="4:10" ht="15.75" customHeight="1" x14ac:dyDescent="0.25">
      <c r="D856" s="114"/>
      <c r="F856" s="114"/>
      <c r="H856" s="114"/>
      <c r="J856" s="114"/>
    </row>
    <row r="857" spans="4:10" ht="15.75" customHeight="1" x14ac:dyDescent="0.25">
      <c r="D857" s="114"/>
      <c r="F857" s="114"/>
      <c r="H857" s="114"/>
      <c r="J857" s="114"/>
    </row>
    <row r="858" spans="4:10" ht="15.75" customHeight="1" x14ac:dyDescent="0.25">
      <c r="D858" s="114"/>
      <c r="F858" s="114"/>
      <c r="H858" s="114"/>
      <c r="J858" s="114"/>
    </row>
    <row r="859" spans="4:10" ht="15.75" customHeight="1" x14ac:dyDescent="0.25">
      <c r="D859" s="114"/>
      <c r="F859" s="114"/>
      <c r="H859" s="114"/>
      <c r="J859" s="114"/>
    </row>
    <row r="860" spans="4:10" ht="15.75" customHeight="1" x14ac:dyDescent="0.25">
      <c r="D860" s="114"/>
      <c r="F860" s="114"/>
      <c r="H860" s="114"/>
      <c r="J860" s="114"/>
    </row>
    <row r="861" spans="4:10" ht="15.75" customHeight="1" x14ac:dyDescent="0.25">
      <c r="D861" s="114"/>
      <c r="F861" s="114"/>
      <c r="H861" s="114"/>
      <c r="J861" s="114"/>
    </row>
    <row r="862" spans="4:10" ht="15.75" customHeight="1" x14ac:dyDescent="0.25">
      <c r="D862" s="114"/>
      <c r="F862" s="114"/>
      <c r="H862" s="114"/>
      <c r="J862" s="114"/>
    </row>
    <row r="863" spans="4:10" ht="15.75" customHeight="1" x14ac:dyDescent="0.25">
      <c r="D863" s="114"/>
      <c r="F863" s="114"/>
      <c r="H863" s="114"/>
      <c r="J863" s="114"/>
    </row>
    <row r="864" spans="4:10" ht="15.75" customHeight="1" x14ac:dyDescent="0.25">
      <c r="D864" s="114"/>
      <c r="F864" s="114"/>
      <c r="H864" s="114"/>
      <c r="J864" s="114"/>
    </row>
    <row r="865" spans="4:10" ht="15.75" customHeight="1" x14ac:dyDescent="0.25">
      <c r="D865" s="114"/>
      <c r="F865" s="114"/>
      <c r="H865" s="114"/>
      <c r="J865" s="114"/>
    </row>
    <row r="866" spans="4:10" ht="15.75" customHeight="1" x14ac:dyDescent="0.25">
      <c r="D866" s="114"/>
      <c r="F866" s="114"/>
      <c r="H866" s="114"/>
      <c r="J866" s="114"/>
    </row>
    <row r="867" spans="4:10" ht="15.75" customHeight="1" x14ac:dyDescent="0.25">
      <c r="D867" s="114"/>
      <c r="F867" s="114"/>
      <c r="H867" s="114"/>
      <c r="J867" s="114"/>
    </row>
    <row r="868" spans="4:10" ht="15.75" customHeight="1" x14ac:dyDescent="0.25">
      <c r="D868" s="114"/>
      <c r="F868" s="114"/>
      <c r="H868" s="114"/>
      <c r="J868" s="114"/>
    </row>
    <row r="869" spans="4:10" ht="15.75" customHeight="1" x14ac:dyDescent="0.25">
      <c r="D869" s="114"/>
      <c r="F869" s="114"/>
      <c r="H869" s="114"/>
      <c r="J869" s="114"/>
    </row>
    <row r="870" spans="4:10" ht="15.75" customHeight="1" x14ac:dyDescent="0.25">
      <c r="D870" s="114"/>
      <c r="F870" s="114"/>
      <c r="H870" s="114"/>
      <c r="J870" s="114"/>
    </row>
    <row r="871" spans="4:10" ht="15.75" customHeight="1" x14ac:dyDescent="0.25">
      <c r="D871" s="114"/>
      <c r="F871" s="114"/>
      <c r="H871" s="114"/>
      <c r="J871" s="114"/>
    </row>
    <row r="872" spans="4:10" ht="15.75" customHeight="1" x14ac:dyDescent="0.25">
      <c r="D872" s="114"/>
      <c r="F872" s="114"/>
      <c r="H872" s="114"/>
      <c r="J872" s="114"/>
    </row>
    <row r="873" spans="4:10" ht="15.75" customHeight="1" x14ac:dyDescent="0.25">
      <c r="D873" s="114"/>
      <c r="F873" s="114"/>
      <c r="H873" s="114"/>
      <c r="J873" s="114"/>
    </row>
    <row r="874" spans="4:10" ht="15.75" customHeight="1" x14ac:dyDescent="0.25">
      <c r="D874" s="114"/>
      <c r="F874" s="114"/>
      <c r="H874" s="114"/>
      <c r="J874" s="114"/>
    </row>
    <row r="875" spans="4:10" ht="15.75" customHeight="1" x14ac:dyDescent="0.25">
      <c r="D875" s="114"/>
      <c r="F875" s="114"/>
      <c r="H875" s="114"/>
      <c r="J875" s="114"/>
    </row>
    <row r="876" spans="4:10" ht="15.75" customHeight="1" x14ac:dyDescent="0.25">
      <c r="D876" s="114"/>
      <c r="F876" s="114"/>
      <c r="H876" s="114"/>
      <c r="J876" s="114"/>
    </row>
    <row r="877" spans="4:10" ht="15.75" customHeight="1" x14ac:dyDescent="0.25">
      <c r="D877" s="114"/>
      <c r="F877" s="114"/>
      <c r="H877" s="114"/>
      <c r="J877" s="114"/>
    </row>
    <row r="878" spans="4:10" ht="15.75" customHeight="1" x14ac:dyDescent="0.25">
      <c r="D878" s="114"/>
      <c r="F878" s="114"/>
      <c r="H878" s="114"/>
      <c r="J878" s="114"/>
    </row>
    <row r="879" spans="4:10" ht="15.75" customHeight="1" x14ac:dyDescent="0.25">
      <c r="D879" s="114"/>
      <c r="F879" s="114"/>
      <c r="H879" s="114"/>
      <c r="J879" s="114"/>
    </row>
    <row r="880" spans="4:10" ht="15.75" customHeight="1" x14ac:dyDescent="0.25">
      <c r="D880" s="114"/>
      <c r="F880" s="114"/>
      <c r="H880" s="114"/>
      <c r="J880" s="114"/>
    </row>
    <row r="881" spans="4:10" ht="15.75" customHeight="1" x14ac:dyDescent="0.25">
      <c r="D881" s="114"/>
      <c r="F881" s="114"/>
      <c r="H881" s="114"/>
      <c r="J881" s="114"/>
    </row>
    <row r="882" spans="4:10" ht="15.75" customHeight="1" x14ac:dyDescent="0.25">
      <c r="D882" s="114"/>
      <c r="F882" s="114"/>
      <c r="H882" s="114"/>
      <c r="J882" s="114"/>
    </row>
    <row r="883" spans="4:10" ht="15.75" customHeight="1" x14ac:dyDescent="0.25">
      <c r="D883" s="114"/>
      <c r="F883" s="114"/>
      <c r="H883" s="114"/>
      <c r="J883" s="114"/>
    </row>
    <row r="884" spans="4:10" ht="15.75" customHeight="1" x14ac:dyDescent="0.25">
      <c r="D884" s="114"/>
      <c r="F884" s="114"/>
      <c r="H884" s="114"/>
      <c r="J884" s="114"/>
    </row>
    <row r="885" spans="4:10" ht="15.75" customHeight="1" x14ac:dyDescent="0.25">
      <c r="D885" s="114"/>
      <c r="F885" s="114"/>
      <c r="H885" s="114"/>
      <c r="J885" s="114"/>
    </row>
    <row r="886" spans="4:10" ht="15.75" customHeight="1" x14ac:dyDescent="0.25">
      <c r="D886" s="114"/>
      <c r="F886" s="114"/>
      <c r="H886" s="114"/>
      <c r="J886" s="114"/>
    </row>
    <row r="887" spans="4:10" ht="15.75" customHeight="1" x14ac:dyDescent="0.25">
      <c r="D887" s="114"/>
      <c r="F887" s="114"/>
      <c r="H887" s="114"/>
      <c r="J887" s="114"/>
    </row>
    <row r="888" spans="4:10" ht="15.75" customHeight="1" x14ac:dyDescent="0.25">
      <c r="D888" s="114"/>
      <c r="F888" s="114"/>
      <c r="H888" s="114"/>
      <c r="J888" s="114"/>
    </row>
    <row r="889" spans="4:10" ht="15.75" customHeight="1" x14ac:dyDescent="0.25">
      <c r="D889" s="114"/>
      <c r="F889" s="114"/>
      <c r="H889" s="114"/>
      <c r="J889" s="114"/>
    </row>
    <row r="890" spans="4:10" ht="15.75" customHeight="1" x14ac:dyDescent="0.25">
      <c r="D890" s="114"/>
      <c r="F890" s="114"/>
      <c r="H890" s="114"/>
      <c r="J890" s="114"/>
    </row>
    <row r="891" spans="4:10" ht="15.75" customHeight="1" x14ac:dyDescent="0.25">
      <c r="D891" s="114"/>
      <c r="F891" s="114"/>
      <c r="H891" s="114"/>
      <c r="J891" s="114"/>
    </row>
    <row r="892" spans="4:10" ht="15.75" customHeight="1" x14ac:dyDescent="0.25">
      <c r="D892" s="114"/>
      <c r="F892" s="114"/>
      <c r="H892" s="114"/>
      <c r="J892" s="114"/>
    </row>
    <row r="893" spans="4:10" ht="15.75" customHeight="1" x14ac:dyDescent="0.25">
      <c r="D893" s="114"/>
      <c r="F893" s="114"/>
      <c r="H893" s="114"/>
      <c r="J893" s="114"/>
    </row>
    <row r="894" spans="4:10" ht="15.75" customHeight="1" x14ac:dyDescent="0.25">
      <c r="D894" s="114"/>
      <c r="F894" s="114"/>
      <c r="H894" s="114"/>
      <c r="J894" s="114"/>
    </row>
    <row r="895" spans="4:10" ht="15.75" customHeight="1" x14ac:dyDescent="0.25">
      <c r="D895" s="114"/>
      <c r="F895" s="114"/>
      <c r="H895" s="114"/>
      <c r="J895" s="114"/>
    </row>
    <row r="896" spans="4:10" ht="15.75" customHeight="1" x14ac:dyDescent="0.25">
      <c r="D896" s="114"/>
      <c r="F896" s="114"/>
      <c r="H896" s="114"/>
      <c r="J896" s="114"/>
    </row>
    <row r="897" spans="4:10" ht="15.75" customHeight="1" x14ac:dyDescent="0.25">
      <c r="D897" s="114"/>
      <c r="F897" s="114"/>
      <c r="H897" s="114"/>
      <c r="J897" s="114"/>
    </row>
    <row r="898" spans="4:10" ht="15.75" customHeight="1" x14ac:dyDescent="0.25">
      <c r="D898" s="114"/>
      <c r="F898" s="114"/>
      <c r="H898" s="114"/>
      <c r="J898" s="114"/>
    </row>
    <row r="899" spans="4:10" ht="15.75" customHeight="1" x14ac:dyDescent="0.25">
      <c r="D899" s="114"/>
      <c r="F899" s="114"/>
      <c r="H899" s="114"/>
      <c r="J899" s="114"/>
    </row>
    <row r="900" spans="4:10" ht="15.75" customHeight="1" x14ac:dyDescent="0.25">
      <c r="D900" s="114"/>
      <c r="F900" s="114"/>
      <c r="H900" s="114"/>
      <c r="J900" s="114"/>
    </row>
    <row r="901" spans="4:10" ht="15.75" customHeight="1" x14ac:dyDescent="0.25">
      <c r="D901" s="114"/>
      <c r="F901" s="114"/>
      <c r="H901" s="114"/>
      <c r="J901" s="114"/>
    </row>
    <row r="902" spans="4:10" ht="15.75" customHeight="1" x14ac:dyDescent="0.25">
      <c r="D902" s="114"/>
      <c r="F902" s="114"/>
      <c r="H902" s="114"/>
      <c r="J902" s="114"/>
    </row>
    <row r="903" spans="4:10" ht="15.75" customHeight="1" x14ac:dyDescent="0.25">
      <c r="D903" s="114"/>
      <c r="F903" s="114"/>
      <c r="H903" s="114"/>
      <c r="J903" s="114"/>
    </row>
    <row r="904" spans="4:10" ht="15.75" customHeight="1" x14ac:dyDescent="0.25">
      <c r="D904" s="114"/>
      <c r="F904" s="114"/>
      <c r="H904" s="114"/>
      <c r="J904" s="114"/>
    </row>
    <row r="905" spans="4:10" ht="15.75" customHeight="1" x14ac:dyDescent="0.25">
      <c r="D905" s="114"/>
      <c r="F905" s="114"/>
      <c r="H905" s="114"/>
      <c r="J905" s="114"/>
    </row>
    <row r="906" spans="4:10" ht="15.75" customHeight="1" x14ac:dyDescent="0.25">
      <c r="D906" s="114"/>
      <c r="F906" s="114"/>
      <c r="H906" s="114"/>
      <c r="J906" s="114"/>
    </row>
    <row r="907" spans="4:10" ht="15.75" customHeight="1" x14ac:dyDescent="0.25">
      <c r="D907" s="114"/>
      <c r="F907" s="114"/>
      <c r="H907" s="114"/>
      <c r="J907" s="114"/>
    </row>
    <row r="908" spans="4:10" ht="15.75" customHeight="1" x14ac:dyDescent="0.25">
      <c r="D908" s="114"/>
      <c r="F908" s="114"/>
      <c r="H908" s="114"/>
      <c r="J908" s="114"/>
    </row>
    <row r="909" spans="4:10" ht="15.75" customHeight="1" x14ac:dyDescent="0.25">
      <c r="D909" s="114"/>
      <c r="F909" s="114"/>
      <c r="H909" s="114"/>
      <c r="J909" s="114"/>
    </row>
    <row r="910" spans="4:10" ht="15.75" customHeight="1" x14ac:dyDescent="0.25">
      <c r="D910" s="114"/>
      <c r="F910" s="114"/>
      <c r="H910" s="114"/>
      <c r="J910" s="114"/>
    </row>
    <row r="911" spans="4:10" ht="15.75" customHeight="1" x14ac:dyDescent="0.25">
      <c r="D911" s="114"/>
      <c r="F911" s="114"/>
      <c r="H911" s="114"/>
      <c r="J911" s="114"/>
    </row>
    <row r="912" spans="4:10" ht="15.75" customHeight="1" x14ac:dyDescent="0.25">
      <c r="D912" s="114"/>
      <c r="F912" s="114"/>
      <c r="H912" s="114"/>
      <c r="J912" s="114"/>
    </row>
    <row r="913" spans="4:10" ht="15.75" customHeight="1" x14ac:dyDescent="0.25">
      <c r="D913" s="114"/>
      <c r="F913" s="114"/>
      <c r="H913" s="114"/>
      <c r="J913" s="114"/>
    </row>
    <row r="914" spans="4:10" ht="15.75" customHeight="1" x14ac:dyDescent="0.25">
      <c r="D914" s="114"/>
      <c r="F914" s="114"/>
      <c r="H914" s="114"/>
      <c r="J914" s="114"/>
    </row>
    <row r="915" spans="4:10" ht="15.75" customHeight="1" x14ac:dyDescent="0.25">
      <c r="D915" s="114"/>
      <c r="F915" s="114"/>
      <c r="H915" s="114"/>
      <c r="J915" s="114"/>
    </row>
    <row r="916" spans="4:10" ht="15.75" customHeight="1" x14ac:dyDescent="0.25">
      <c r="D916" s="114"/>
      <c r="F916" s="114"/>
      <c r="H916" s="114"/>
      <c r="J916" s="114"/>
    </row>
    <row r="917" spans="4:10" ht="15.75" customHeight="1" x14ac:dyDescent="0.25">
      <c r="D917" s="114"/>
      <c r="F917" s="114"/>
      <c r="H917" s="114"/>
      <c r="J917" s="114"/>
    </row>
    <row r="918" spans="4:10" ht="15.75" customHeight="1" x14ac:dyDescent="0.25">
      <c r="D918" s="114"/>
      <c r="F918" s="114"/>
      <c r="H918" s="114"/>
      <c r="J918" s="114"/>
    </row>
    <row r="919" spans="4:10" ht="15.75" customHeight="1" x14ac:dyDescent="0.25">
      <c r="D919" s="114"/>
      <c r="F919" s="114"/>
      <c r="H919" s="114"/>
      <c r="J919" s="114"/>
    </row>
    <row r="920" spans="4:10" ht="15.75" customHeight="1" x14ac:dyDescent="0.25">
      <c r="D920" s="114"/>
      <c r="F920" s="114"/>
      <c r="H920" s="114"/>
      <c r="J920" s="114"/>
    </row>
    <row r="921" spans="4:10" ht="15.75" customHeight="1" x14ac:dyDescent="0.25">
      <c r="D921" s="114"/>
      <c r="F921" s="114"/>
      <c r="H921" s="114"/>
      <c r="J921" s="114"/>
    </row>
    <row r="922" spans="4:10" ht="15.75" customHeight="1" x14ac:dyDescent="0.25">
      <c r="D922" s="114"/>
      <c r="F922" s="114"/>
      <c r="H922" s="114"/>
      <c r="J922" s="114"/>
    </row>
    <row r="923" spans="4:10" ht="15.75" customHeight="1" x14ac:dyDescent="0.25">
      <c r="D923" s="114"/>
      <c r="F923" s="114"/>
      <c r="H923" s="114"/>
      <c r="J923" s="114"/>
    </row>
    <row r="924" spans="4:10" ht="15.75" customHeight="1" x14ac:dyDescent="0.25">
      <c r="D924" s="114"/>
      <c r="F924" s="114"/>
      <c r="H924" s="114"/>
      <c r="J924" s="114"/>
    </row>
    <row r="925" spans="4:10" ht="15.75" customHeight="1" x14ac:dyDescent="0.25">
      <c r="D925" s="114"/>
      <c r="F925" s="114"/>
      <c r="H925" s="114"/>
      <c r="J925" s="114"/>
    </row>
    <row r="926" spans="4:10" ht="15.75" customHeight="1" x14ac:dyDescent="0.25">
      <c r="D926" s="114"/>
      <c r="F926" s="114"/>
      <c r="H926" s="114"/>
      <c r="J926" s="114"/>
    </row>
    <row r="927" spans="4:10" ht="15.75" customHeight="1" x14ac:dyDescent="0.25">
      <c r="D927" s="114"/>
      <c r="F927" s="114"/>
      <c r="H927" s="114"/>
      <c r="J927" s="114"/>
    </row>
    <row r="928" spans="4:10" ht="15.75" customHeight="1" x14ac:dyDescent="0.25">
      <c r="D928" s="114"/>
      <c r="F928" s="114"/>
      <c r="H928" s="114"/>
      <c r="J928" s="114"/>
    </row>
    <row r="929" spans="4:10" ht="15.75" customHeight="1" x14ac:dyDescent="0.25">
      <c r="D929" s="114"/>
      <c r="F929" s="114"/>
      <c r="H929" s="114"/>
      <c r="J929" s="114"/>
    </row>
    <row r="930" spans="4:10" ht="15.75" customHeight="1" x14ac:dyDescent="0.25">
      <c r="D930" s="114"/>
      <c r="F930" s="114"/>
      <c r="H930" s="114"/>
      <c r="J930" s="114"/>
    </row>
    <row r="931" spans="4:10" ht="15.75" customHeight="1" x14ac:dyDescent="0.25">
      <c r="D931" s="114"/>
      <c r="F931" s="114"/>
      <c r="H931" s="114"/>
      <c r="J931" s="114"/>
    </row>
    <row r="932" spans="4:10" ht="15.75" customHeight="1" x14ac:dyDescent="0.25">
      <c r="D932" s="114"/>
      <c r="F932" s="114"/>
      <c r="H932" s="114"/>
      <c r="J932" s="114"/>
    </row>
    <row r="933" spans="4:10" ht="15.75" customHeight="1" x14ac:dyDescent="0.25">
      <c r="D933" s="114"/>
      <c r="F933" s="114"/>
      <c r="H933" s="114"/>
      <c r="J933" s="114"/>
    </row>
    <row r="934" spans="4:10" ht="15.75" customHeight="1" x14ac:dyDescent="0.25">
      <c r="D934" s="114"/>
      <c r="F934" s="114"/>
      <c r="H934" s="114"/>
      <c r="J934" s="114"/>
    </row>
    <row r="935" spans="4:10" ht="15.75" customHeight="1" x14ac:dyDescent="0.25">
      <c r="D935" s="114"/>
      <c r="F935" s="114"/>
      <c r="H935" s="114"/>
      <c r="J935" s="114"/>
    </row>
    <row r="936" spans="4:10" ht="15.75" customHeight="1" x14ac:dyDescent="0.25">
      <c r="D936" s="114"/>
      <c r="F936" s="114"/>
      <c r="H936" s="114"/>
      <c r="J936" s="114"/>
    </row>
    <row r="937" spans="4:10" ht="15.75" customHeight="1" x14ac:dyDescent="0.25">
      <c r="D937" s="114"/>
      <c r="F937" s="114"/>
      <c r="H937" s="114"/>
      <c r="J937" s="114"/>
    </row>
    <row r="938" spans="4:10" ht="15.75" customHeight="1" x14ac:dyDescent="0.25">
      <c r="D938" s="114"/>
      <c r="F938" s="114"/>
      <c r="H938" s="114"/>
      <c r="J938" s="114"/>
    </row>
    <row r="939" spans="4:10" ht="15.75" customHeight="1" x14ac:dyDescent="0.25">
      <c r="D939" s="114"/>
      <c r="F939" s="114"/>
      <c r="H939" s="114"/>
      <c r="J939" s="114"/>
    </row>
    <row r="940" spans="4:10" ht="15.75" customHeight="1" x14ac:dyDescent="0.25">
      <c r="D940" s="114"/>
      <c r="F940" s="114"/>
      <c r="H940" s="114"/>
      <c r="J940" s="114"/>
    </row>
    <row r="941" spans="4:10" ht="15.75" customHeight="1" x14ac:dyDescent="0.25">
      <c r="D941" s="114"/>
      <c r="F941" s="114"/>
      <c r="H941" s="114"/>
      <c r="J941" s="114"/>
    </row>
    <row r="942" spans="4:10" ht="15.75" customHeight="1" x14ac:dyDescent="0.25">
      <c r="D942" s="114"/>
      <c r="F942" s="114"/>
      <c r="H942" s="114"/>
      <c r="J942" s="114"/>
    </row>
    <row r="943" spans="4:10" ht="15.75" customHeight="1" x14ac:dyDescent="0.25">
      <c r="D943" s="114"/>
      <c r="F943" s="114"/>
      <c r="H943" s="114"/>
      <c r="J943" s="114"/>
    </row>
    <row r="944" spans="4:10" ht="15.75" customHeight="1" x14ac:dyDescent="0.25">
      <c r="D944" s="114"/>
      <c r="F944" s="114"/>
      <c r="H944" s="114"/>
      <c r="J944" s="114"/>
    </row>
    <row r="945" spans="4:10" ht="15.75" customHeight="1" x14ac:dyDescent="0.25">
      <c r="D945" s="114"/>
      <c r="F945" s="114"/>
      <c r="H945" s="114"/>
      <c r="J945" s="114"/>
    </row>
    <row r="946" spans="4:10" ht="15.75" customHeight="1" x14ac:dyDescent="0.25">
      <c r="D946" s="114"/>
      <c r="F946" s="114"/>
      <c r="H946" s="114"/>
      <c r="J946" s="114"/>
    </row>
    <row r="947" spans="4:10" ht="15.75" customHeight="1" x14ac:dyDescent="0.25">
      <c r="D947" s="114"/>
      <c r="F947" s="114"/>
      <c r="H947" s="114"/>
      <c r="J947" s="114"/>
    </row>
    <row r="948" spans="4:10" ht="15.75" customHeight="1" x14ac:dyDescent="0.25">
      <c r="D948" s="114"/>
      <c r="F948" s="114"/>
      <c r="H948" s="114"/>
      <c r="J948" s="114"/>
    </row>
    <row r="949" spans="4:10" ht="15.75" customHeight="1" x14ac:dyDescent="0.25">
      <c r="D949" s="114"/>
      <c r="F949" s="114"/>
      <c r="H949" s="114"/>
      <c r="J949" s="114"/>
    </row>
    <row r="950" spans="4:10" ht="15.75" customHeight="1" x14ac:dyDescent="0.25">
      <c r="D950" s="114"/>
      <c r="F950" s="114"/>
      <c r="H950" s="114"/>
      <c r="J950" s="114"/>
    </row>
    <row r="951" spans="4:10" ht="15.75" customHeight="1" x14ac:dyDescent="0.25">
      <c r="D951" s="114"/>
      <c r="F951" s="114"/>
      <c r="H951" s="114"/>
      <c r="J951" s="114"/>
    </row>
    <row r="952" spans="4:10" ht="15.75" customHeight="1" x14ac:dyDescent="0.25">
      <c r="D952" s="114"/>
      <c r="F952" s="114"/>
      <c r="H952" s="114"/>
      <c r="J952" s="114"/>
    </row>
    <row r="953" spans="4:10" ht="15.75" customHeight="1" x14ac:dyDescent="0.25">
      <c r="D953" s="114"/>
      <c r="F953" s="114"/>
      <c r="H953" s="114"/>
      <c r="J953" s="114"/>
    </row>
    <row r="954" spans="4:10" ht="15.75" customHeight="1" x14ac:dyDescent="0.25">
      <c r="D954" s="114"/>
      <c r="F954" s="114"/>
      <c r="H954" s="114"/>
      <c r="J954" s="114"/>
    </row>
    <row r="955" spans="4:10" ht="15.75" customHeight="1" x14ac:dyDescent="0.25">
      <c r="D955" s="114"/>
      <c r="F955" s="114"/>
      <c r="H955" s="114"/>
      <c r="J955" s="114"/>
    </row>
    <row r="956" spans="4:10" ht="15.75" customHeight="1" x14ac:dyDescent="0.25">
      <c r="D956" s="114"/>
      <c r="F956" s="114"/>
      <c r="H956" s="114"/>
      <c r="J956" s="114"/>
    </row>
    <row r="957" spans="4:10" ht="15.75" customHeight="1" x14ac:dyDescent="0.25">
      <c r="D957" s="114"/>
      <c r="F957" s="114"/>
      <c r="H957" s="114"/>
      <c r="J957" s="114"/>
    </row>
    <row r="958" spans="4:10" ht="15.75" customHeight="1" x14ac:dyDescent="0.25">
      <c r="D958" s="114"/>
      <c r="F958" s="114"/>
      <c r="H958" s="114"/>
      <c r="J958" s="114"/>
    </row>
    <row r="959" spans="4:10" ht="15.75" customHeight="1" x14ac:dyDescent="0.25">
      <c r="D959" s="114"/>
      <c r="F959" s="114"/>
      <c r="H959" s="114"/>
      <c r="J959" s="114"/>
    </row>
    <row r="960" spans="4:10" ht="15.75" customHeight="1" x14ac:dyDescent="0.25">
      <c r="D960" s="114"/>
      <c r="F960" s="114"/>
      <c r="H960" s="114"/>
      <c r="J960" s="114"/>
    </row>
    <row r="961" spans="4:10" ht="15.75" customHeight="1" x14ac:dyDescent="0.25">
      <c r="D961" s="114"/>
      <c r="F961" s="114"/>
      <c r="H961" s="114"/>
      <c r="J961" s="114"/>
    </row>
    <row r="962" spans="4:10" ht="15.75" customHeight="1" x14ac:dyDescent="0.25">
      <c r="D962" s="114"/>
      <c r="F962" s="114"/>
      <c r="H962" s="114"/>
      <c r="J962" s="114"/>
    </row>
    <row r="963" spans="4:10" ht="15.75" customHeight="1" x14ac:dyDescent="0.25">
      <c r="D963" s="114"/>
      <c r="F963" s="114"/>
      <c r="H963" s="114"/>
      <c r="J963" s="114"/>
    </row>
    <row r="964" spans="4:10" ht="15.75" customHeight="1" x14ac:dyDescent="0.25">
      <c r="D964" s="114"/>
      <c r="F964" s="114"/>
      <c r="H964" s="114"/>
      <c r="J964" s="114"/>
    </row>
    <row r="965" spans="4:10" ht="15.75" customHeight="1" x14ac:dyDescent="0.25">
      <c r="D965" s="114"/>
      <c r="F965" s="114"/>
      <c r="H965" s="114"/>
      <c r="J965" s="114"/>
    </row>
    <row r="966" spans="4:10" ht="15.75" customHeight="1" x14ac:dyDescent="0.25">
      <c r="D966" s="114"/>
      <c r="F966" s="114"/>
      <c r="H966" s="114"/>
      <c r="J966" s="114"/>
    </row>
    <row r="967" spans="4:10" ht="15.75" customHeight="1" x14ac:dyDescent="0.25">
      <c r="D967" s="114"/>
      <c r="F967" s="114"/>
      <c r="H967" s="114"/>
      <c r="J967" s="114"/>
    </row>
    <row r="968" spans="4:10" ht="15.75" customHeight="1" x14ac:dyDescent="0.25">
      <c r="D968" s="114"/>
      <c r="F968" s="114"/>
      <c r="H968" s="114"/>
      <c r="J968" s="114"/>
    </row>
    <row r="969" spans="4:10" ht="15.75" customHeight="1" x14ac:dyDescent="0.25">
      <c r="D969" s="114"/>
      <c r="F969" s="114"/>
      <c r="H969" s="114"/>
      <c r="J969" s="114"/>
    </row>
    <row r="970" spans="4:10" ht="15.75" customHeight="1" x14ac:dyDescent="0.25">
      <c r="D970" s="114"/>
      <c r="F970" s="114"/>
      <c r="H970" s="114"/>
      <c r="J970" s="114"/>
    </row>
    <row r="971" spans="4:10" ht="15.75" customHeight="1" x14ac:dyDescent="0.25">
      <c r="D971" s="114"/>
      <c r="F971" s="114"/>
      <c r="H971" s="114"/>
      <c r="J971" s="114"/>
    </row>
    <row r="972" spans="4:10" ht="15.75" customHeight="1" x14ac:dyDescent="0.25">
      <c r="D972" s="114"/>
      <c r="F972" s="114"/>
      <c r="H972" s="114"/>
      <c r="J972" s="114"/>
    </row>
    <row r="973" spans="4:10" ht="15.75" customHeight="1" x14ac:dyDescent="0.25">
      <c r="D973" s="114"/>
      <c r="F973" s="114"/>
      <c r="H973" s="114"/>
      <c r="J973" s="114"/>
    </row>
    <row r="974" spans="4:10" ht="15.75" customHeight="1" x14ac:dyDescent="0.25">
      <c r="D974" s="114"/>
      <c r="F974" s="114"/>
      <c r="H974" s="114"/>
      <c r="J974" s="114"/>
    </row>
    <row r="975" spans="4:10" ht="15.75" customHeight="1" x14ac:dyDescent="0.25">
      <c r="D975" s="114"/>
      <c r="F975" s="114"/>
      <c r="H975" s="114"/>
      <c r="J975" s="114"/>
    </row>
    <row r="976" spans="4:10" ht="15.75" customHeight="1" x14ac:dyDescent="0.25">
      <c r="D976" s="114"/>
      <c r="F976" s="114"/>
      <c r="H976" s="114"/>
      <c r="J976" s="114"/>
    </row>
    <row r="977" spans="4:10" ht="15.75" customHeight="1" x14ac:dyDescent="0.25">
      <c r="D977" s="114"/>
      <c r="F977" s="114"/>
      <c r="H977" s="114"/>
      <c r="J977" s="114"/>
    </row>
    <row r="978" spans="4:10" ht="15.75" customHeight="1" x14ac:dyDescent="0.25">
      <c r="D978" s="114"/>
      <c r="F978" s="114"/>
      <c r="H978" s="114"/>
      <c r="J978" s="114"/>
    </row>
    <row r="979" spans="4:10" ht="15.75" customHeight="1" x14ac:dyDescent="0.25">
      <c r="D979" s="114"/>
      <c r="F979" s="114"/>
      <c r="H979" s="114"/>
      <c r="J979" s="114"/>
    </row>
    <row r="980" spans="4:10" ht="15.75" customHeight="1" x14ac:dyDescent="0.25">
      <c r="D980" s="114"/>
      <c r="F980" s="114"/>
      <c r="H980" s="114"/>
      <c r="J980" s="114"/>
    </row>
    <row r="981" spans="4:10" ht="15.75" customHeight="1" x14ac:dyDescent="0.25">
      <c r="D981" s="114"/>
      <c r="F981" s="114"/>
      <c r="H981" s="114"/>
      <c r="J981" s="114"/>
    </row>
    <row r="982" spans="4:10" ht="15.75" customHeight="1" x14ac:dyDescent="0.25">
      <c r="D982" s="114"/>
      <c r="F982" s="114"/>
      <c r="H982" s="114"/>
      <c r="J982" s="114"/>
    </row>
    <row r="983" spans="4:10" ht="15.75" customHeight="1" x14ac:dyDescent="0.25">
      <c r="D983" s="114"/>
      <c r="F983" s="114"/>
      <c r="H983" s="114"/>
      <c r="J983" s="114"/>
    </row>
    <row r="984" spans="4:10" ht="15.75" customHeight="1" x14ac:dyDescent="0.25">
      <c r="D984" s="114"/>
      <c r="F984" s="114"/>
      <c r="H984" s="114"/>
      <c r="J984" s="114"/>
    </row>
    <row r="985" spans="4:10" ht="15.75" customHeight="1" x14ac:dyDescent="0.25">
      <c r="D985" s="114"/>
      <c r="F985" s="114"/>
      <c r="H985" s="114"/>
      <c r="J985" s="114"/>
    </row>
    <row r="986" spans="4:10" ht="15.75" customHeight="1" x14ac:dyDescent="0.25">
      <c r="D986" s="114"/>
      <c r="F986" s="114"/>
      <c r="H986" s="114"/>
      <c r="J986" s="114"/>
    </row>
    <row r="987" spans="4:10" ht="15.75" customHeight="1" x14ac:dyDescent="0.25">
      <c r="D987" s="114"/>
      <c r="F987" s="114"/>
      <c r="H987" s="114"/>
      <c r="J987" s="114"/>
    </row>
    <row r="988" spans="4:10" ht="15.75" customHeight="1" x14ac:dyDescent="0.25">
      <c r="D988" s="114"/>
      <c r="F988" s="114"/>
      <c r="H988" s="114"/>
      <c r="J988" s="114"/>
    </row>
    <row r="989" spans="4:10" ht="15.75" customHeight="1" x14ac:dyDescent="0.25">
      <c r="D989" s="114"/>
      <c r="F989" s="114"/>
      <c r="H989" s="114"/>
      <c r="J989" s="114"/>
    </row>
    <row r="990" spans="4:10" ht="15.75" customHeight="1" x14ac:dyDescent="0.25">
      <c r="D990" s="114"/>
      <c r="F990" s="114"/>
      <c r="H990" s="114"/>
      <c r="J990" s="114"/>
    </row>
    <row r="991" spans="4:10" ht="15.75" customHeight="1" x14ac:dyDescent="0.25">
      <c r="D991" s="114"/>
      <c r="F991" s="114"/>
      <c r="H991" s="114"/>
      <c r="J991" s="114"/>
    </row>
    <row r="992" spans="4:10" ht="15.75" customHeight="1" x14ac:dyDescent="0.25">
      <c r="D992" s="114"/>
      <c r="F992" s="114"/>
      <c r="H992" s="114"/>
      <c r="J992" s="114"/>
    </row>
    <row r="993" spans="4:10" ht="15.75" customHeight="1" x14ac:dyDescent="0.25">
      <c r="D993" s="114"/>
      <c r="F993" s="114"/>
      <c r="H993" s="114"/>
      <c r="J993" s="114"/>
    </row>
    <row r="994" spans="4:10" ht="15.75" customHeight="1" x14ac:dyDescent="0.25">
      <c r="D994" s="114"/>
      <c r="F994" s="114"/>
      <c r="H994" s="114"/>
      <c r="J994" s="114"/>
    </row>
    <row r="995" spans="4:10" ht="15.75" customHeight="1" x14ac:dyDescent="0.25">
      <c r="D995" s="114"/>
      <c r="F995" s="114"/>
      <c r="H995" s="114"/>
      <c r="J995" s="114"/>
    </row>
    <row r="996" spans="4:10" ht="15.75" customHeight="1" x14ac:dyDescent="0.25">
      <c r="D996" s="114"/>
      <c r="F996" s="114"/>
      <c r="H996" s="114"/>
      <c r="J996" s="114"/>
    </row>
    <row r="997" spans="4:10" ht="15.75" customHeight="1" x14ac:dyDescent="0.25">
      <c r="D997" s="114"/>
      <c r="F997" s="114"/>
      <c r="H997" s="114"/>
      <c r="J997" s="114"/>
    </row>
    <row r="998" spans="4:10" ht="15.75" customHeight="1" x14ac:dyDescent="0.25">
      <c r="D998" s="114"/>
      <c r="F998" s="114"/>
      <c r="H998" s="114"/>
      <c r="J998" s="114"/>
    </row>
    <row r="999" spans="4:10" ht="15.75" customHeight="1" x14ac:dyDescent="0.25">
      <c r="D999" s="114"/>
      <c r="F999" s="114"/>
      <c r="H999" s="114"/>
      <c r="J999" s="114"/>
    </row>
    <row r="1000" spans="4:10" ht="15.75" customHeight="1" x14ac:dyDescent="0.25">
      <c r="D1000" s="114"/>
      <c r="F1000" s="114"/>
      <c r="H1000" s="114"/>
      <c r="J1000" s="114"/>
    </row>
  </sheetData>
  <mergeCells count="58">
    <mergeCell ref="B3:K3"/>
    <mergeCell ref="N3:P3"/>
    <mergeCell ref="T3:U3"/>
    <mergeCell ref="C4:D4"/>
    <mergeCell ref="E4:G4"/>
    <mergeCell ref="H4:K4"/>
    <mergeCell ref="C5:D5"/>
    <mergeCell ref="E5:G5"/>
    <mergeCell ref="H5:K5"/>
    <mergeCell ref="C6:D6"/>
    <mergeCell ref="E6:G6"/>
    <mergeCell ref="H6:K6"/>
    <mergeCell ref="T17:U17"/>
    <mergeCell ref="C7:D7"/>
    <mergeCell ref="E7:G7"/>
    <mergeCell ref="H7:K7"/>
    <mergeCell ref="C8:D8"/>
    <mergeCell ref="E8:G8"/>
    <mergeCell ref="H8:K8"/>
    <mergeCell ref="C9:D9"/>
    <mergeCell ref="E9:G9"/>
    <mergeCell ref="H9:K9"/>
    <mergeCell ref="B16:K16"/>
    <mergeCell ref="N17:Q17"/>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B39:C39"/>
    <mergeCell ref="D39:K39"/>
    <mergeCell ref="N39:P39"/>
    <mergeCell ref="B40:C40"/>
    <mergeCell ref="D40:K40"/>
    <mergeCell ref="O40:P40"/>
    <mergeCell ref="B41:C41"/>
    <mergeCell ref="D41:K41"/>
    <mergeCell ref="O41:P41"/>
    <mergeCell ref="B42:C42"/>
    <mergeCell ref="D42:K42"/>
    <mergeCell ref="O42:P42"/>
    <mergeCell ref="D45:K45"/>
    <mergeCell ref="D46:K46"/>
    <mergeCell ref="B43:C43"/>
    <mergeCell ref="D43:K43"/>
    <mergeCell ref="O43:P43"/>
    <mergeCell ref="B44:C44"/>
    <mergeCell ref="D44:K44"/>
    <mergeCell ref="O44:P44"/>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B1:H45"/>
  <sheetViews>
    <sheetView zoomScale="130" zoomScaleNormal="130" workbookViewId="0"/>
  </sheetViews>
  <sheetFormatPr baseColWidth="10" defaultColWidth="11.42578125" defaultRowHeight="15" x14ac:dyDescent="0.25"/>
  <cols>
    <col min="1" max="1" width="2.85546875" style="73" customWidth="1"/>
    <col min="2" max="3" width="24.7109375" style="73" customWidth="1"/>
    <col min="4" max="4" width="16" style="73" customWidth="1"/>
    <col min="5" max="5" width="24.7109375" style="73" customWidth="1"/>
    <col min="6" max="6" width="27.7109375" style="73" customWidth="1"/>
    <col min="7" max="8" width="24.7109375" style="73" customWidth="1"/>
    <col min="9" max="16384" width="11.42578125" style="73"/>
  </cols>
  <sheetData>
    <row r="1" spans="2:8" ht="15.75" thickBot="1" x14ac:dyDescent="0.3"/>
    <row r="2" spans="2:8" ht="18" x14ac:dyDescent="0.25">
      <c r="B2" s="394" t="s">
        <v>119</v>
      </c>
      <c r="C2" s="395"/>
      <c r="D2" s="395"/>
      <c r="E2" s="395"/>
      <c r="F2" s="395"/>
      <c r="G2" s="395"/>
      <c r="H2" s="396"/>
    </row>
    <row r="3" spans="2:8" x14ac:dyDescent="0.25">
      <c r="B3" s="74"/>
      <c r="C3" s="75"/>
      <c r="D3" s="75"/>
      <c r="E3" s="75"/>
      <c r="F3" s="75"/>
      <c r="G3" s="75"/>
      <c r="H3" s="76"/>
    </row>
    <row r="4" spans="2:8" ht="63" customHeight="1" x14ac:dyDescent="0.25">
      <c r="B4" s="397" t="s">
        <v>120</v>
      </c>
      <c r="C4" s="398"/>
      <c r="D4" s="398"/>
      <c r="E4" s="398"/>
      <c r="F4" s="398"/>
      <c r="G4" s="398"/>
      <c r="H4" s="399"/>
    </row>
    <row r="5" spans="2:8" ht="63" customHeight="1" x14ac:dyDescent="0.25">
      <c r="B5" s="400"/>
      <c r="C5" s="401"/>
      <c r="D5" s="401"/>
      <c r="E5" s="401"/>
      <c r="F5" s="401"/>
      <c r="G5" s="401"/>
      <c r="H5" s="402"/>
    </row>
    <row r="6" spans="2:8" ht="16.5" x14ac:dyDescent="0.25">
      <c r="B6" s="403" t="s">
        <v>121</v>
      </c>
      <c r="C6" s="404"/>
      <c r="D6" s="404"/>
      <c r="E6" s="404"/>
      <c r="F6" s="404"/>
      <c r="G6" s="404"/>
      <c r="H6" s="405"/>
    </row>
    <row r="7" spans="2:8" ht="95.25" customHeight="1" x14ac:dyDescent="0.25">
      <c r="B7" s="413" t="s">
        <v>122</v>
      </c>
      <c r="C7" s="414"/>
      <c r="D7" s="414"/>
      <c r="E7" s="414"/>
      <c r="F7" s="414"/>
      <c r="G7" s="414"/>
      <c r="H7" s="415"/>
    </row>
    <row r="8" spans="2:8" ht="16.5" x14ac:dyDescent="0.25">
      <c r="B8" s="110"/>
      <c r="C8" s="111"/>
      <c r="D8" s="111"/>
      <c r="E8" s="111"/>
      <c r="F8" s="111"/>
      <c r="G8" s="111"/>
      <c r="H8" s="112"/>
    </row>
    <row r="9" spans="2:8" ht="16.5" customHeight="1" x14ac:dyDescent="0.25">
      <c r="B9" s="406" t="s">
        <v>123</v>
      </c>
      <c r="C9" s="407"/>
      <c r="D9" s="407"/>
      <c r="E9" s="407"/>
      <c r="F9" s="407"/>
      <c r="G9" s="407"/>
      <c r="H9" s="408"/>
    </row>
    <row r="10" spans="2:8" ht="44.25" customHeight="1" x14ac:dyDescent="0.25">
      <c r="B10" s="406"/>
      <c r="C10" s="407"/>
      <c r="D10" s="407"/>
      <c r="E10" s="407"/>
      <c r="F10" s="407"/>
      <c r="G10" s="407"/>
      <c r="H10" s="408"/>
    </row>
    <row r="11" spans="2:8" ht="15.75" thickBot="1" x14ac:dyDescent="0.3">
      <c r="B11" s="99"/>
      <c r="C11" s="102"/>
      <c r="D11" s="107"/>
      <c r="E11" s="108"/>
      <c r="F11" s="108"/>
      <c r="G11" s="109"/>
      <c r="H11" s="103"/>
    </row>
    <row r="12" spans="2:8" ht="15.75" thickTop="1" x14ac:dyDescent="0.25">
      <c r="B12" s="99"/>
      <c r="C12" s="409" t="s">
        <v>124</v>
      </c>
      <c r="D12" s="410"/>
      <c r="E12" s="411" t="s">
        <v>125</v>
      </c>
      <c r="F12" s="412"/>
      <c r="G12" s="102"/>
      <c r="H12" s="103"/>
    </row>
    <row r="13" spans="2:8" ht="35.25" customHeight="1" x14ac:dyDescent="0.25">
      <c r="B13" s="99"/>
      <c r="C13" s="416" t="s">
        <v>126</v>
      </c>
      <c r="D13" s="417"/>
      <c r="E13" s="418" t="s">
        <v>127</v>
      </c>
      <c r="F13" s="419"/>
      <c r="G13" s="102"/>
      <c r="H13" s="103"/>
    </row>
    <row r="14" spans="2:8" ht="17.25" customHeight="1" x14ac:dyDescent="0.25">
      <c r="B14" s="99"/>
      <c r="C14" s="416" t="s">
        <v>128</v>
      </c>
      <c r="D14" s="417"/>
      <c r="E14" s="418" t="s">
        <v>129</v>
      </c>
      <c r="F14" s="419"/>
      <c r="G14" s="102"/>
      <c r="H14" s="103"/>
    </row>
    <row r="15" spans="2:8" ht="19.5" customHeight="1" x14ac:dyDescent="0.25">
      <c r="B15" s="99"/>
      <c r="C15" s="416" t="s">
        <v>130</v>
      </c>
      <c r="D15" s="417"/>
      <c r="E15" s="418" t="s">
        <v>131</v>
      </c>
      <c r="F15" s="419"/>
      <c r="G15" s="102"/>
      <c r="H15" s="103"/>
    </row>
    <row r="16" spans="2:8" ht="69.75" customHeight="1" x14ac:dyDescent="0.25">
      <c r="B16" s="99"/>
      <c r="C16" s="435" t="s">
        <v>132</v>
      </c>
      <c r="D16" s="436"/>
      <c r="E16" s="418" t="s">
        <v>133</v>
      </c>
      <c r="F16" s="419"/>
      <c r="G16" s="102"/>
      <c r="H16" s="103"/>
    </row>
    <row r="17" spans="2:8" ht="34.5" customHeight="1" x14ac:dyDescent="0.25">
      <c r="B17" s="99"/>
      <c r="C17" s="420" t="s">
        <v>134</v>
      </c>
      <c r="D17" s="421"/>
      <c r="E17" s="422" t="s">
        <v>135</v>
      </c>
      <c r="F17" s="423"/>
      <c r="G17" s="102"/>
      <c r="H17" s="103"/>
    </row>
    <row r="18" spans="2:8" ht="27.75" customHeight="1" x14ac:dyDescent="0.25">
      <c r="B18" s="99"/>
      <c r="C18" s="420" t="s">
        <v>136</v>
      </c>
      <c r="D18" s="421"/>
      <c r="E18" s="422" t="s">
        <v>137</v>
      </c>
      <c r="F18" s="423"/>
      <c r="G18" s="102"/>
      <c r="H18" s="103"/>
    </row>
    <row r="19" spans="2:8" ht="28.5" customHeight="1" x14ac:dyDescent="0.25">
      <c r="B19" s="99"/>
      <c r="C19" s="420" t="s">
        <v>138</v>
      </c>
      <c r="D19" s="421"/>
      <c r="E19" s="422" t="s">
        <v>139</v>
      </c>
      <c r="F19" s="423"/>
      <c r="G19" s="102"/>
      <c r="H19" s="103"/>
    </row>
    <row r="20" spans="2:8" ht="72.75" customHeight="1" x14ac:dyDescent="0.25">
      <c r="B20" s="99"/>
      <c r="C20" s="420" t="s">
        <v>140</v>
      </c>
      <c r="D20" s="421"/>
      <c r="E20" s="422" t="s">
        <v>141</v>
      </c>
      <c r="F20" s="423"/>
      <c r="G20" s="102"/>
      <c r="H20" s="103"/>
    </row>
    <row r="21" spans="2:8" ht="64.5" customHeight="1" x14ac:dyDescent="0.25">
      <c r="B21" s="99"/>
      <c r="C21" s="420" t="s">
        <v>142</v>
      </c>
      <c r="D21" s="421"/>
      <c r="E21" s="422" t="s">
        <v>143</v>
      </c>
      <c r="F21" s="423"/>
      <c r="G21" s="102"/>
      <c r="H21" s="103"/>
    </row>
    <row r="22" spans="2:8" ht="71.25" customHeight="1" x14ac:dyDescent="0.25">
      <c r="B22" s="99"/>
      <c r="C22" s="420" t="s">
        <v>144</v>
      </c>
      <c r="D22" s="421"/>
      <c r="E22" s="422" t="s">
        <v>145</v>
      </c>
      <c r="F22" s="423"/>
      <c r="G22" s="102"/>
      <c r="H22" s="103"/>
    </row>
    <row r="23" spans="2:8" ht="55.5" customHeight="1" x14ac:dyDescent="0.25">
      <c r="B23" s="99"/>
      <c r="C23" s="427" t="s">
        <v>146</v>
      </c>
      <c r="D23" s="428"/>
      <c r="E23" s="422" t="s">
        <v>147</v>
      </c>
      <c r="F23" s="423"/>
      <c r="G23" s="102"/>
      <c r="H23" s="103"/>
    </row>
    <row r="24" spans="2:8" ht="42" customHeight="1" x14ac:dyDescent="0.25">
      <c r="B24" s="99"/>
      <c r="C24" s="427" t="s">
        <v>148</v>
      </c>
      <c r="D24" s="428"/>
      <c r="E24" s="422" t="s">
        <v>149</v>
      </c>
      <c r="F24" s="423"/>
      <c r="G24" s="102"/>
      <c r="H24" s="103"/>
    </row>
    <row r="25" spans="2:8" ht="59.25" customHeight="1" x14ac:dyDescent="0.25">
      <c r="B25" s="99"/>
      <c r="C25" s="427" t="s">
        <v>150</v>
      </c>
      <c r="D25" s="428"/>
      <c r="E25" s="422" t="s">
        <v>151</v>
      </c>
      <c r="F25" s="423"/>
      <c r="G25" s="102"/>
      <c r="H25" s="103"/>
    </row>
    <row r="26" spans="2:8" ht="23.25" customHeight="1" x14ac:dyDescent="0.25">
      <c r="B26" s="99"/>
      <c r="C26" s="427" t="s">
        <v>152</v>
      </c>
      <c r="D26" s="428"/>
      <c r="E26" s="422" t="s">
        <v>153</v>
      </c>
      <c r="F26" s="423"/>
      <c r="G26" s="102"/>
      <c r="H26" s="103"/>
    </row>
    <row r="27" spans="2:8" ht="30.75" customHeight="1" x14ac:dyDescent="0.25">
      <c r="B27" s="99"/>
      <c r="C27" s="427" t="s">
        <v>154</v>
      </c>
      <c r="D27" s="428"/>
      <c r="E27" s="422" t="s">
        <v>155</v>
      </c>
      <c r="F27" s="423"/>
      <c r="G27" s="102"/>
      <c r="H27" s="103"/>
    </row>
    <row r="28" spans="2:8" ht="35.25" customHeight="1" x14ac:dyDescent="0.25">
      <c r="B28" s="99"/>
      <c r="C28" s="427" t="s">
        <v>156</v>
      </c>
      <c r="D28" s="428"/>
      <c r="E28" s="422" t="s">
        <v>157</v>
      </c>
      <c r="F28" s="423"/>
      <c r="G28" s="102"/>
      <c r="H28" s="103"/>
    </row>
    <row r="29" spans="2:8" ht="33" customHeight="1" x14ac:dyDescent="0.25">
      <c r="B29" s="99"/>
      <c r="C29" s="427" t="s">
        <v>156</v>
      </c>
      <c r="D29" s="428"/>
      <c r="E29" s="422" t="s">
        <v>157</v>
      </c>
      <c r="F29" s="423"/>
      <c r="G29" s="102"/>
      <c r="H29" s="103"/>
    </row>
    <row r="30" spans="2:8" ht="30" customHeight="1" x14ac:dyDescent="0.25">
      <c r="B30" s="99"/>
      <c r="C30" s="427" t="s">
        <v>158</v>
      </c>
      <c r="D30" s="428"/>
      <c r="E30" s="422" t="s">
        <v>159</v>
      </c>
      <c r="F30" s="423"/>
      <c r="G30" s="102"/>
      <c r="H30" s="103"/>
    </row>
    <row r="31" spans="2:8" ht="35.25" customHeight="1" x14ac:dyDescent="0.25">
      <c r="B31" s="99"/>
      <c r="C31" s="427" t="s">
        <v>160</v>
      </c>
      <c r="D31" s="428"/>
      <c r="E31" s="422" t="s">
        <v>161</v>
      </c>
      <c r="F31" s="423"/>
      <c r="G31" s="102"/>
      <c r="H31" s="103"/>
    </row>
    <row r="32" spans="2:8" ht="31.5" customHeight="1" x14ac:dyDescent="0.25">
      <c r="B32" s="99"/>
      <c r="C32" s="427" t="s">
        <v>162</v>
      </c>
      <c r="D32" s="428"/>
      <c r="E32" s="422" t="s">
        <v>163</v>
      </c>
      <c r="F32" s="423"/>
      <c r="G32" s="102"/>
      <c r="H32" s="103"/>
    </row>
    <row r="33" spans="2:8" ht="35.25" customHeight="1" x14ac:dyDescent="0.25">
      <c r="B33" s="99"/>
      <c r="C33" s="427" t="s">
        <v>164</v>
      </c>
      <c r="D33" s="428"/>
      <c r="E33" s="422" t="s">
        <v>165</v>
      </c>
      <c r="F33" s="423"/>
      <c r="G33" s="102"/>
      <c r="H33" s="103"/>
    </row>
    <row r="34" spans="2:8" ht="59.25" customHeight="1" x14ac:dyDescent="0.25">
      <c r="B34" s="99"/>
      <c r="C34" s="427" t="s">
        <v>166</v>
      </c>
      <c r="D34" s="428"/>
      <c r="E34" s="422" t="s">
        <v>167</v>
      </c>
      <c r="F34" s="423"/>
      <c r="G34" s="102"/>
      <c r="H34" s="103"/>
    </row>
    <row r="35" spans="2:8" ht="29.25" customHeight="1" x14ac:dyDescent="0.25">
      <c r="B35" s="99"/>
      <c r="C35" s="427" t="s">
        <v>168</v>
      </c>
      <c r="D35" s="428"/>
      <c r="E35" s="429" t="s">
        <v>169</v>
      </c>
      <c r="F35" s="430"/>
      <c r="G35" s="102"/>
      <c r="H35" s="103"/>
    </row>
    <row r="36" spans="2:8" ht="82.5" customHeight="1" x14ac:dyDescent="0.25">
      <c r="B36" s="99"/>
      <c r="C36" s="427" t="s">
        <v>170</v>
      </c>
      <c r="D36" s="428"/>
      <c r="E36" s="422" t="s">
        <v>171</v>
      </c>
      <c r="F36" s="423"/>
      <c r="G36" s="102"/>
      <c r="H36" s="103"/>
    </row>
    <row r="37" spans="2:8" ht="46.5" customHeight="1" x14ac:dyDescent="0.25">
      <c r="B37" s="99"/>
      <c r="C37" s="427" t="s">
        <v>172</v>
      </c>
      <c r="D37" s="428"/>
      <c r="E37" s="422" t="s">
        <v>173</v>
      </c>
      <c r="F37" s="423"/>
      <c r="G37" s="102"/>
      <c r="H37" s="103"/>
    </row>
    <row r="38" spans="2:8" ht="6.75" customHeight="1" thickBot="1" x14ac:dyDescent="0.3">
      <c r="B38" s="99"/>
      <c r="C38" s="431"/>
      <c r="D38" s="432"/>
      <c r="E38" s="433"/>
      <c r="F38" s="434"/>
      <c r="G38" s="102"/>
      <c r="H38" s="103"/>
    </row>
    <row r="39" spans="2:8" ht="15.75" thickTop="1" x14ac:dyDescent="0.25">
      <c r="B39" s="99"/>
      <c r="C39" s="100"/>
      <c r="D39" s="100"/>
      <c r="E39" s="101"/>
      <c r="F39" s="101"/>
      <c r="G39" s="102"/>
      <c r="H39" s="103"/>
    </row>
    <row r="40" spans="2:8" ht="21" customHeight="1" x14ac:dyDescent="0.25">
      <c r="B40" s="424" t="s">
        <v>174</v>
      </c>
      <c r="C40" s="425"/>
      <c r="D40" s="425"/>
      <c r="E40" s="425"/>
      <c r="F40" s="425"/>
      <c r="G40" s="425"/>
      <c r="H40" s="426"/>
    </row>
    <row r="41" spans="2:8" ht="20.25" customHeight="1" x14ac:dyDescent="0.25">
      <c r="B41" s="424" t="s">
        <v>175</v>
      </c>
      <c r="C41" s="425"/>
      <c r="D41" s="425"/>
      <c r="E41" s="425"/>
      <c r="F41" s="425"/>
      <c r="G41" s="425"/>
      <c r="H41" s="426"/>
    </row>
    <row r="42" spans="2:8" ht="20.25" customHeight="1" x14ac:dyDescent="0.25">
      <c r="B42" s="424" t="s">
        <v>176</v>
      </c>
      <c r="C42" s="425"/>
      <c r="D42" s="425"/>
      <c r="E42" s="425"/>
      <c r="F42" s="425"/>
      <c r="G42" s="425"/>
      <c r="H42" s="426"/>
    </row>
    <row r="43" spans="2:8" ht="20.25" customHeight="1" x14ac:dyDescent="0.25">
      <c r="B43" s="424" t="s">
        <v>177</v>
      </c>
      <c r="C43" s="425"/>
      <c r="D43" s="425"/>
      <c r="E43" s="425"/>
      <c r="F43" s="425"/>
      <c r="G43" s="425"/>
      <c r="H43" s="426"/>
    </row>
    <row r="44" spans="2:8" x14ac:dyDescent="0.25">
      <c r="B44" s="424" t="s">
        <v>178</v>
      </c>
      <c r="C44" s="425"/>
      <c r="D44" s="425"/>
      <c r="E44" s="425"/>
      <c r="F44" s="425"/>
      <c r="G44" s="425"/>
      <c r="H44" s="426"/>
    </row>
    <row r="45" spans="2:8" ht="15.75" thickBot="1" x14ac:dyDescent="0.3">
      <c r="B45" s="104"/>
      <c r="C45" s="105"/>
      <c r="D45" s="105"/>
      <c r="E45" s="105"/>
      <c r="F45" s="105"/>
      <c r="G45" s="105"/>
      <c r="H45" s="106"/>
    </row>
  </sheetData>
  <mergeCells count="64">
    <mergeCell ref="E28:F28"/>
    <mergeCell ref="C28:D28"/>
    <mergeCell ref="C16:D16"/>
    <mergeCell ref="E16:F16"/>
    <mergeCell ref="C14:D14"/>
    <mergeCell ref="E14:F14"/>
    <mergeCell ref="C15:D15"/>
    <mergeCell ref="E15:F15"/>
    <mergeCell ref="E22:F22"/>
    <mergeCell ref="C22:D22"/>
    <mergeCell ref="C25:D25"/>
    <mergeCell ref="E25:F25"/>
    <mergeCell ref="B41:H41"/>
    <mergeCell ref="C38:D38"/>
    <mergeCell ref="E38:F38"/>
    <mergeCell ref="C37:D37"/>
    <mergeCell ref="E37:F37"/>
    <mergeCell ref="C33:D33"/>
    <mergeCell ref="B40:H40"/>
    <mergeCell ref="C29:D29"/>
    <mergeCell ref="E29:F29"/>
    <mergeCell ref="C30:D30"/>
    <mergeCell ref="E30:F30"/>
    <mergeCell ref="E33:F33"/>
    <mergeCell ref="C34:D34"/>
    <mergeCell ref="C35:D35"/>
    <mergeCell ref="E35:F35"/>
    <mergeCell ref="C36:D36"/>
    <mergeCell ref="E36:F36"/>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13:D13"/>
    <mergeCell ref="E13:F13"/>
    <mergeCell ref="C17:D17"/>
    <mergeCell ref="E17:F17"/>
    <mergeCell ref="C21:D21"/>
    <mergeCell ref="C18:D18"/>
    <mergeCell ref="C19:D19"/>
    <mergeCell ref="C20:D20"/>
    <mergeCell ref="E18:F18"/>
    <mergeCell ref="E19:F19"/>
    <mergeCell ref="E20:F20"/>
    <mergeCell ref="E21:F21"/>
    <mergeCell ref="B2:H2"/>
    <mergeCell ref="B4:H5"/>
    <mergeCell ref="B6:H6"/>
    <mergeCell ref="B9:H10"/>
    <mergeCell ref="C12:D12"/>
    <mergeCell ref="E12:F12"/>
    <mergeCell ref="B7:H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pageSetUpPr fitToPage="1"/>
  </sheetPr>
  <dimension ref="A1:Z1001"/>
  <sheetViews>
    <sheetView zoomScaleNormal="100" workbookViewId="0"/>
  </sheetViews>
  <sheetFormatPr baseColWidth="10" defaultColWidth="14.42578125" defaultRowHeight="15" customHeight="1" x14ac:dyDescent="0.2"/>
  <cols>
    <col min="1" max="1" width="4.140625" style="113" customWidth="1"/>
    <col min="2" max="13" width="15.7109375" style="113" customWidth="1"/>
    <col min="14" max="26" width="10.7109375" style="113" customWidth="1"/>
    <col min="27" max="16384" width="14.42578125" style="113"/>
  </cols>
  <sheetData>
    <row r="1" spans="1:26" ht="18" customHeight="1" x14ac:dyDescent="0.2">
      <c r="A1" s="272"/>
      <c r="B1" s="272"/>
      <c r="C1" s="272"/>
      <c r="D1" s="444" t="s">
        <v>179</v>
      </c>
      <c r="E1" s="341"/>
      <c r="F1" s="341"/>
      <c r="G1" s="341"/>
      <c r="H1" s="341"/>
      <c r="I1" s="341"/>
      <c r="J1" s="341"/>
      <c r="K1" s="341"/>
      <c r="L1" s="445" t="s">
        <v>180</v>
      </c>
      <c r="M1" s="341"/>
      <c r="N1" s="272"/>
      <c r="O1" s="272"/>
      <c r="P1" s="272"/>
      <c r="Q1" s="272"/>
      <c r="R1" s="272"/>
      <c r="S1" s="272"/>
      <c r="T1" s="272"/>
      <c r="U1" s="272"/>
      <c r="V1" s="272"/>
      <c r="W1" s="272"/>
      <c r="X1" s="272"/>
      <c r="Y1" s="272"/>
      <c r="Z1" s="272"/>
    </row>
    <row r="2" spans="1:26" ht="14.25" x14ac:dyDescent="0.2">
      <c r="A2" s="272"/>
      <c r="B2" s="272"/>
      <c r="C2" s="272"/>
      <c r="D2" s="341"/>
      <c r="E2" s="350"/>
      <c r="F2" s="350"/>
      <c r="G2" s="350"/>
      <c r="H2" s="350"/>
      <c r="I2" s="350"/>
      <c r="J2" s="350"/>
      <c r="K2" s="341"/>
      <c r="L2" s="445" t="s">
        <v>181</v>
      </c>
      <c r="M2" s="341"/>
      <c r="N2" s="272"/>
      <c r="O2" s="272"/>
      <c r="P2" s="272"/>
      <c r="Q2" s="272"/>
      <c r="R2" s="272"/>
      <c r="S2" s="272"/>
      <c r="T2" s="272"/>
      <c r="U2" s="272"/>
      <c r="V2" s="272"/>
      <c r="W2" s="272"/>
      <c r="X2" s="272"/>
      <c r="Y2" s="272"/>
      <c r="Z2" s="272"/>
    </row>
    <row r="3" spans="1:26" ht="14.25" x14ac:dyDescent="0.2">
      <c r="A3" s="272"/>
      <c r="B3" s="272"/>
      <c r="C3" s="272"/>
      <c r="D3" s="341"/>
      <c r="E3" s="350"/>
      <c r="F3" s="350"/>
      <c r="G3" s="350"/>
      <c r="H3" s="350"/>
      <c r="I3" s="350"/>
      <c r="J3" s="350"/>
      <c r="K3" s="341"/>
      <c r="L3" s="444" t="s">
        <v>182</v>
      </c>
      <c r="M3" s="341"/>
      <c r="N3" s="272"/>
      <c r="O3" s="272"/>
      <c r="P3" s="272"/>
      <c r="Q3" s="272"/>
      <c r="R3" s="272"/>
      <c r="S3" s="272"/>
      <c r="T3" s="272"/>
      <c r="U3" s="272"/>
      <c r="V3" s="272"/>
      <c r="W3" s="272"/>
      <c r="X3" s="272"/>
      <c r="Y3" s="272"/>
      <c r="Z3" s="272"/>
    </row>
    <row r="4" spans="1:26" ht="35.1" customHeight="1" x14ac:dyDescent="0.2">
      <c r="A4" s="272"/>
      <c r="B4" s="445" t="s">
        <v>183</v>
      </c>
      <c r="C4" s="341"/>
      <c r="D4" s="341"/>
      <c r="E4" s="341"/>
      <c r="F4" s="341"/>
      <c r="G4" s="341"/>
      <c r="H4" s="341"/>
      <c r="I4" s="341"/>
      <c r="J4" s="341"/>
      <c r="K4" s="341"/>
      <c r="L4" s="341"/>
      <c r="M4" s="341"/>
      <c r="N4" s="272"/>
      <c r="O4" s="272"/>
      <c r="P4" s="272"/>
      <c r="Q4" s="272"/>
      <c r="R4" s="272"/>
      <c r="S4" s="272"/>
      <c r="T4" s="272"/>
      <c r="U4" s="272"/>
      <c r="V4" s="272"/>
      <c r="W4" s="272"/>
      <c r="X4" s="272"/>
      <c r="Y4" s="272"/>
      <c r="Z4" s="272"/>
    </row>
    <row r="5" spans="1:26" ht="14.25" x14ac:dyDescent="0.2">
      <c r="A5" s="272"/>
      <c r="B5" s="272"/>
      <c r="C5" s="272"/>
      <c r="D5" s="272"/>
      <c r="E5" s="272"/>
      <c r="F5" s="272"/>
      <c r="G5" s="272"/>
      <c r="H5" s="272"/>
      <c r="I5" s="272"/>
      <c r="J5" s="272"/>
      <c r="K5" s="272"/>
      <c r="L5" s="272"/>
      <c r="M5" s="272"/>
      <c r="N5" s="272"/>
      <c r="O5" s="272"/>
      <c r="P5" s="272"/>
      <c r="Q5" s="272"/>
      <c r="R5" s="272"/>
      <c r="S5" s="272"/>
      <c r="T5" s="272"/>
      <c r="U5" s="272"/>
      <c r="V5" s="272"/>
      <c r="W5" s="272"/>
      <c r="X5" s="272"/>
      <c r="Y5" s="272"/>
      <c r="Z5" s="272"/>
    </row>
    <row r="6" spans="1:26" s="275" customFormat="1" ht="27" customHeight="1" x14ac:dyDescent="0.25">
      <c r="A6" s="437" t="s">
        <v>184</v>
      </c>
      <c r="B6" s="437"/>
      <c r="C6" s="437"/>
      <c r="D6" s="438" t="s">
        <v>185</v>
      </c>
      <c r="E6" s="439"/>
      <c r="F6" s="440"/>
      <c r="G6" s="437" t="s">
        <v>186</v>
      </c>
      <c r="H6" s="437"/>
      <c r="I6" s="441" t="s">
        <v>187</v>
      </c>
      <c r="J6" s="442"/>
      <c r="K6" s="442"/>
      <c r="L6" s="442"/>
      <c r="M6" s="443"/>
      <c r="N6" s="274"/>
      <c r="O6" s="274"/>
      <c r="P6" s="274"/>
      <c r="Q6" s="274"/>
      <c r="R6" s="274"/>
      <c r="S6" s="274"/>
      <c r="T6" s="274"/>
      <c r="U6" s="274"/>
      <c r="V6" s="274"/>
      <c r="W6" s="274"/>
      <c r="X6" s="274"/>
      <c r="Y6" s="274"/>
      <c r="Z6" s="274"/>
    </row>
    <row r="7" spans="1:26" s="275" customFormat="1" ht="26.25" customHeight="1" x14ac:dyDescent="0.25">
      <c r="A7" s="437" t="s">
        <v>188</v>
      </c>
      <c r="B7" s="437"/>
      <c r="C7" s="437"/>
      <c r="D7" s="446" t="s">
        <v>189</v>
      </c>
      <c r="E7" s="447"/>
      <c r="F7" s="448"/>
      <c r="G7" s="274"/>
      <c r="H7" s="274"/>
      <c r="I7" s="274"/>
      <c r="J7" s="274"/>
      <c r="K7" s="274"/>
      <c r="L7" s="274"/>
      <c r="M7" s="274"/>
      <c r="N7" s="274"/>
      <c r="O7" s="274"/>
      <c r="P7" s="274"/>
      <c r="Q7" s="274"/>
      <c r="R7" s="274"/>
      <c r="S7" s="274"/>
      <c r="T7" s="274"/>
      <c r="U7" s="274"/>
      <c r="V7" s="274"/>
      <c r="W7" s="274"/>
      <c r="X7" s="274"/>
      <c r="Y7" s="274"/>
      <c r="Z7" s="274"/>
    </row>
    <row r="8" spans="1:26" ht="26.25" customHeight="1" x14ac:dyDescent="0.2">
      <c r="A8" s="272"/>
      <c r="B8" s="272"/>
      <c r="C8" s="272"/>
      <c r="D8" s="272"/>
      <c r="E8" s="272"/>
      <c r="F8" s="272"/>
      <c r="G8" s="272"/>
      <c r="H8" s="272"/>
      <c r="I8" s="272"/>
      <c r="J8" s="272"/>
      <c r="K8" s="272"/>
      <c r="L8" s="272"/>
      <c r="M8" s="272"/>
      <c r="N8" s="272"/>
      <c r="O8" s="272"/>
      <c r="P8" s="272"/>
      <c r="Q8" s="272"/>
      <c r="R8" s="272"/>
      <c r="S8" s="272"/>
      <c r="T8" s="272"/>
      <c r="U8" s="272"/>
      <c r="V8" s="272"/>
      <c r="W8" s="272"/>
      <c r="X8" s="272"/>
      <c r="Y8" s="272"/>
      <c r="Z8" s="272"/>
    </row>
    <row r="9" spans="1:26" s="276" customFormat="1" ht="25.5" customHeight="1" x14ac:dyDescent="0.25">
      <c r="A9" s="449" t="s">
        <v>190</v>
      </c>
      <c r="B9" s="452" t="s">
        <v>191</v>
      </c>
      <c r="C9" s="453"/>
      <c r="D9" s="453"/>
      <c r="E9" s="453"/>
      <c r="F9" s="453"/>
      <c r="G9" s="454"/>
      <c r="H9" s="452" t="s">
        <v>192</v>
      </c>
      <c r="I9" s="453"/>
      <c r="J9" s="453"/>
      <c r="K9" s="453"/>
      <c r="L9" s="453"/>
      <c r="M9" s="454"/>
      <c r="N9" s="273"/>
      <c r="O9" s="273"/>
      <c r="P9" s="273"/>
      <c r="Q9" s="273"/>
      <c r="R9" s="273"/>
      <c r="S9" s="273"/>
      <c r="T9" s="273"/>
      <c r="U9" s="273"/>
      <c r="V9" s="273"/>
      <c r="W9" s="273"/>
      <c r="X9" s="273"/>
      <c r="Y9" s="273"/>
      <c r="Z9" s="273"/>
    </row>
    <row r="10" spans="1:26" s="276" customFormat="1" ht="25.5" customHeight="1" x14ac:dyDescent="0.25">
      <c r="A10" s="450"/>
      <c r="B10" s="455" t="s">
        <v>193</v>
      </c>
      <c r="C10" s="455"/>
      <c r="D10" s="455"/>
      <c r="E10" s="455"/>
      <c r="F10" s="455"/>
      <c r="G10" s="455"/>
      <c r="H10" s="455" t="s">
        <v>194</v>
      </c>
      <c r="I10" s="455"/>
      <c r="J10" s="455"/>
      <c r="K10" s="455"/>
      <c r="L10" s="455"/>
      <c r="M10" s="455"/>
      <c r="N10" s="273"/>
      <c r="O10" s="273"/>
      <c r="P10" s="273"/>
      <c r="Q10" s="273"/>
      <c r="R10" s="273"/>
      <c r="S10" s="273"/>
      <c r="T10" s="273"/>
      <c r="U10" s="273"/>
      <c r="V10" s="273"/>
      <c r="W10" s="273"/>
      <c r="X10" s="273"/>
      <c r="Y10" s="273"/>
      <c r="Z10" s="273"/>
    </row>
    <row r="11" spans="1:26" s="276" customFormat="1" ht="35.25" customHeight="1" x14ac:dyDescent="0.25">
      <c r="A11" s="450"/>
      <c r="B11" s="455" t="s">
        <v>195</v>
      </c>
      <c r="C11" s="455"/>
      <c r="D11" s="455"/>
      <c r="E11" s="455"/>
      <c r="F11" s="455"/>
      <c r="G11" s="455"/>
      <c r="H11" s="455" t="s">
        <v>196</v>
      </c>
      <c r="I11" s="455"/>
      <c r="J11" s="455"/>
      <c r="K11" s="455"/>
      <c r="L11" s="455"/>
      <c r="M11" s="455"/>
      <c r="N11" s="273"/>
      <c r="O11" s="273"/>
      <c r="P11" s="273"/>
      <c r="Q11" s="273"/>
      <c r="R11" s="273"/>
      <c r="S11" s="273"/>
      <c r="T11" s="273"/>
      <c r="U11" s="273"/>
      <c r="V11" s="273"/>
      <c r="W11" s="273"/>
      <c r="X11" s="273"/>
      <c r="Y11" s="273"/>
      <c r="Z11" s="273"/>
    </row>
    <row r="12" spans="1:26" s="276" customFormat="1" ht="25.5" customHeight="1" x14ac:dyDescent="0.25">
      <c r="A12" s="450"/>
      <c r="B12" s="455" t="s">
        <v>197</v>
      </c>
      <c r="C12" s="455"/>
      <c r="D12" s="455"/>
      <c r="E12" s="455"/>
      <c r="F12" s="455"/>
      <c r="G12" s="455"/>
      <c r="H12" s="455" t="s">
        <v>198</v>
      </c>
      <c r="I12" s="455"/>
      <c r="J12" s="455"/>
      <c r="K12" s="455"/>
      <c r="L12" s="455"/>
      <c r="M12" s="455"/>
      <c r="N12" s="273"/>
      <c r="O12" s="273"/>
      <c r="P12" s="273"/>
      <c r="Q12" s="273"/>
      <c r="R12" s="273"/>
      <c r="S12" s="273"/>
      <c r="T12" s="273"/>
      <c r="U12" s="273"/>
      <c r="V12" s="273"/>
      <c r="W12" s="273"/>
      <c r="X12" s="273"/>
      <c r="Y12" s="273"/>
      <c r="Z12" s="273"/>
    </row>
    <row r="13" spans="1:26" s="276" customFormat="1" ht="25.5" customHeight="1" x14ac:dyDescent="0.25">
      <c r="A13" s="450"/>
      <c r="B13" s="455" t="s">
        <v>199</v>
      </c>
      <c r="C13" s="455"/>
      <c r="D13" s="455"/>
      <c r="E13" s="455"/>
      <c r="F13" s="455"/>
      <c r="G13" s="455"/>
      <c r="H13" s="456" t="s">
        <v>200</v>
      </c>
      <c r="I13" s="457"/>
      <c r="J13" s="457"/>
      <c r="K13" s="457"/>
      <c r="L13" s="457"/>
      <c r="M13" s="458"/>
      <c r="N13" s="273"/>
      <c r="O13" s="273"/>
      <c r="P13" s="273"/>
      <c r="Q13" s="273"/>
      <c r="R13" s="273"/>
      <c r="S13" s="273"/>
      <c r="T13" s="273"/>
      <c r="U13" s="273"/>
      <c r="V13" s="273"/>
      <c r="W13" s="273"/>
      <c r="X13" s="273"/>
      <c r="Y13" s="273"/>
      <c r="Z13" s="273"/>
    </row>
    <row r="14" spans="1:26" s="276" customFormat="1" ht="25.5" customHeight="1" x14ac:dyDescent="0.25">
      <c r="A14" s="450"/>
      <c r="B14" s="456" t="s">
        <v>201</v>
      </c>
      <c r="C14" s="457"/>
      <c r="D14" s="457"/>
      <c r="E14" s="457"/>
      <c r="F14" s="457"/>
      <c r="G14" s="458"/>
      <c r="H14" s="456" t="s">
        <v>202</v>
      </c>
      <c r="I14" s="457"/>
      <c r="J14" s="457"/>
      <c r="K14" s="457"/>
      <c r="L14" s="457"/>
      <c r="M14" s="458"/>
      <c r="N14" s="273"/>
      <c r="O14" s="273"/>
      <c r="P14" s="273"/>
      <c r="Q14" s="273"/>
      <c r="R14" s="273"/>
      <c r="S14" s="273"/>
      <c r="T14" s="273"/>
      <c r="U14" s="273"/>
      <c r="V14" s="273"/>
      <c r="W14" s="273"/>
      <c r="X14" s="273"/>
      <c r="Y14" s="273"/>
      <c r="Z14" s="273"/>
    </row>
    <row r="15" spans="1:26" s="276" customFormat="1" ht="25.5" customHeight="1" x14ac:dyDescent="0.25">
      <c r="A15" s="450"/>
      <c r="B15" s="456"/>
      <c r="C15" s="457"/>
      <c r="D15" s="457"/>
      <c r="E15" s="457"/>
      <c r="F15" s="457"/>
      <c r="G15" s="458"/>
      <c r="H15" s="456" t="s">
        <v>203</v>
      </c>
      <c r="I15" s="459"/>
      <c r="J15" s="459"/>
      <c r="K15" s="459"/>
      <c r="L15" s="459"/>
      <c r="M15" s="460"/>
      <c r="N15" s="273"/>
      <c r="O15" s="273"/>
      <c r="P15" s="273"/>
      <c r="Q15" s="273"/>
      <c r="R15" s="273"/>
      <c r="S15" s="273"/>
      <c r="T15" s="273"/>
      <c r="U15" s="273"/>
      <c r="V15" s="273"/>
      <c r="W15" s="273"/>
      <c r="X15" s="273"/>
      <c r="Y15" s="273"/>
      <c r="Z15" s="273"/>
    </row>
    <row r="16" spans="1:26" s="276" customFormat="1" ht="25.5" customHeight="1" x14ac:dyDescent="0.25">
      <c r="A16" s="450"/>
      <c r="B16" s="456"/>
      <c r="C16" s="457"/>
      <c r="D16" s="457"/>
      <c r="E16" s="457"/>
      <c r="F16" s="457"/>
      <c r="G16" s="458"/>
      <c r="H16" s="456"/>
      <c r="I16" s="457"/>
      <c r="J16" s="457"/>
      <c r="K16" s="457"/>
      <c r="L16" s="457"/>
      <c r="M16" s="458"/>
      <c r="N16" s="273"/>
      <c r="O16" s="273"/>
      <c r="P16" s="273"/>
      <c r="Q16" s="273"/>
      <c r="R16" s="273"/>
      <c r="S16" s="273"/>
      <c r="T16" s="273"/>
      <c r="U16" s="273"/>
      <c r="V16" s="273"/>
      <c r="W16" s="273"/>
      <c r="X16" s="273"/>
      <c r="Y16" s="273"/>
      <c r="Z16" s="273"/>
    </row>
    <row r="17" spans="1:26" s="276" customFormat="1" ht="25.5" customHeight="1" x14ac:dyDescent="0.25">
      <c r="A17" s="450"/>
      <c r="B17" s="456"/>
      <c r="C17" s="457"/>
      <c r="D17" s="457"/>
      <c r="E17" s="457"/>
      <c r="F17" s="457"/>
      <c r="G17" s="458"/>
      <c r="H17" s="456"/>
      <c r="I17" s="457"/>
      <c r="J17" s="457"/>
      <c r="K17" s="457"/>
      <c r="L17" s="457"/>
      <c r="M17" s="458"/>
      <c r="N17" s="273"/>
      <c r="O17" s="273"/>
      <c r="P17" s="273"/>
      <c r="Q17" s="273"/>
      <c r="R17" s="273"/>
      <c r="S17" s="273"/>
      <c r="T17" s="273"/>
      <c r="U17" s="273"/>
      <c r="V17" s="273"/>
      <c r="W17" s="273"/>
      <c r="X17" s="273"/>
      <c r="Y17" s="273"/>
      <c r="Z17" s="273"/>
    </row>
    <row r="18" spans="1:26" s="276" customFormat="1" ht="25.5" customHeight="1" x14ac:dyDescent="0.25">
      <c r="A18" s="451"/>
      <c r="B18" s="456"/>
      <c r="C18" s="457"/>
      <c r="D18" s="457"/>
      <c r="E18" s="457"/>
      <c r="F18" s="457"/>
      <c r="G18" s="458"/>
      <c r="H18" s="456"/>
      <c r="I18" s="457"/>
      <c r="J18" s="457"/>
      <c r="K18" s="457"/>
      <c r="L18" s="457"/>
      <c r="M18" s="458"/>
      <c r="N18" s="273"/>
      <c r="O18" s="273"/>
      <c r="P18" s="273"/>
      <c r="Q18" s="273"/>
      <c r="R18" s="273"/>
      <c r="S18" s="273"/>
      <c r="T18" s="273"/>
      <c r="U18" s="273"/>
      <c r="V18" s="273"/>
      <c r="W18" s="273"/>
      <c r="X18" s="273"/>
      <c r="Y18" s="273"/>
      <c r="Z18" s="273"/>
    </row>
    <row r="19" spans="1:26" s="276" customFormat="1" ht="25.5" customHeight="1" x14ac:dyDescent="0.25">
      <c r="A19" s="461">
        <v>8</v>
      </c>
      <c r="B19" s="464" t="s">
        <v>204</v>
      </c>
      <c r="C19" s="465"/>
      <c r="D19" s="465"/>
      <c r="E19" s="465"/>
      <c r="F19" s="465"/>
      <c r="G19" s="466"/>
      <c r="H19" s="467" t="s">
        <v>205</v>
      </c>
      <c r="I19" s="465"/>
      <c r="J19" s="465"/>
      <c r="K19" s="465"/>
      <c r="L19" s="465"/>
      <c r="M19" s="466"/>
      <c r="N19" s="273"/>
      <c r="O19" s="273"/>
      <c r="P19" s="273"/>
      <c r="Q19" s="273"/>
      <c r="R19" s="273"/>
      <c r="S19" s="273"/>
      <c r="T19" s="273"/>
      <c r="U19" s="273"/>
      <c r="V19" s="273"/>
      <c r="W19" s="273"/>
      <c r="X19" s="273"/>
      <c r="Y19" s="273"/>
      <c r="Z19" s="273"/>
    </row>
    <row r="20" spans="1:26" s="276" customFormat="1" ht="34.5" customHeight="1" x14ac:dyDescent="0.25">
      <c r="A20" s="462"/>
      <c r="B20" s="455" t="s">
        <v>206</v>
      </c>
      <c r="C20" s="455"/>
      <c r="D20" s="455"/>
      <c r="E20" s="455"/>
      <c r="F20" s="455"/>
      <c r="G20" s="455"/>
      <c r="H20" s="455" t="s">
        <v>207</v>
      </c>
      <c r="I20" s="455"/>
      <c r="J20" s="455"/>
      <c r="K20" s="455"/>
      <c r="L20" s="455"/>
      <c r="M20" s="455"/>
      <c r="N20" s="273"/>
      <c r="O20" s="273"/>
      <c r="P20" s="273"/>
      <c r="Q20" s="273"/>
      <c r="R20" s="273"/>
      <c r="S20" s="273"/>
      <c r="T20" s="273"/>
      <c r="U20" s="273"/>
      <c r="V20" s="273"/>
      <c r="W20" s="273"/>
      <c r="X20" s="273"/>
      <c r="Y20" s="273"/>
      <c r="Z20" s="273"/>
    </row>
    <row r="21" spans="1:26" s="276" customFormat="1" ht="25.5" customHeight="1" x14ac:dyDescent="0.25">
      <c r="A21" s="462"/>
      <c r="B21" s="455" t="s">
        <v>208</v>
      </c>
      <c r="C21" s="455"/>
      <c r="D21" s="455"/>
      <c r="E21" s="455"/>
      <c r="F21" s="455"/>
      <c r="G21" s="455"/>
      <c r="H21" s="455" t="s">
        <v>209</v>
      </c>
      <c r="I21" s="455"/>
      <c r="J21" s="455"/>
      <c r="K21" s="455"/>
      <c r="L21" s="455"/>
      <c r="M21" s="455"/>
      <c r="N21" s="273"/>
      <c r="O21" s="273"/>
      <c r="P21" s="273"/>
      <c r="Q21" s="273"/>
      <c r="R21" s="273"/>
      <c r="S21" s="273"/>
      <c r="T21" s="273"/>
      <c r="U21" s="273"/>
      <c r="V21" s="273"/>
      <c r="W21" s="273"/>
      <c r="X21" s="273"/>
      <c r="Y21" s="273"/>
      <c r="Z21" s="273"/>
    </row>
    <row r="22" spans="1:26" s="276" customFormat="1" ht="32.25" customHeight="1" x14ac:dyDescent="0.25">
      <c r="A22" s="462"/>
      <c r="B22" s="455" t="s">
        <v>210</v>
      </c>
      <c r="C22" s="455"/>
      <c r="D22" s="455"/>
      <c r="E22" s="455"/>
      <c r="F22" s="455"/>
      <c r="G22" s="455"/>
      <c r="H22" s="455" t="s">
        <v>211</v>
      </c>
      <c r="I22" s="455"/>
      <c r="J22" s="455"/>
      <c r="K22" s="455"/>
      <c r="L22" s="455"/>
      <c r="M22" s="455"/>
      <c r="N22" s="273"/>
      <c r="O22" s="273"/>
      <c r="P22" s="273"/>
      <c r="Q22" s="273"/>
      <c r="R22" s="273"/>
      <c r="S22" s="273"/>
      <c r="T22" s="273"/>
      <c r="U22" s="273"/>
      <c r="V22" s="273"/>
      <c r="W22" s="273"/>
      <c r="X22" s="273"/>
      <c r="Y22" s="273"/>
      <c r="Z22" s="273"/>
    </row>
    <row r="23" spans="1:26" s="276" customFormat="1" ht="25.5" customHeight="1" x14ac:dyDescent="0.25">
      <c r="A23" s="462"/>
      <c r="B23" s="456"/>
      <c r="C23" s="457"/>
      <c r="D23" s="457"/>
      <c r="E23" s="457"/>
      <c r="F23" s="457"/>
      <c r="G23" s="458"/>
      <c r="H23" s="456" t="s">
        <v>212</v>
      </c>
      <c r="I23" s="457"/>
      <c r="J23" s="457"/>
      <c r="K23" s="457"/>
      <c r="L23" s="457"/>
      <c r="M23" s="458"/>
      <c r="N23" s="273"/>
      <c r="O23" s="273"/>
      <c r="P23" s="273"/>
      <c r="Q23" s="273"/>
      <c r="R23" s="273"/>
      <c r="S23" s="273"/>
      <c r="T23" s="273"/>
      <c r="U23" s="273"/>
      <c r="V23" s="273"/>
      <c r="W23" s="273"/>
      <c r="X23" s="273"/>
      <c r="Y23" s="273"/>
      <c r="Z23" s="273"/>
    </row>
    <row r="24" spans="1:26" s="276" customFormat="1" ht="25.5" customHeight="1" x14ac:dyDescent="0.25">
      <c r="A24" s="462"/>
      <c r="B24" s="456"/>
      <c r="C24" s="457"/>
      <c r="D24" s="457"/>
      <c r="E24" s="457"/>
      <c r="F24" s="457"/>
      <c r="G24" s="458"/>
      <c r="H24" s="456" t="s">
        <v>213</v>
      </c>
      <c r="I24" s="457"/>
      <c r="J24" s="457"/>
      <c r="K24" s="457"/>
      <c r="L24" s="457"/>
      <c r="M24" s="458"/>
      <c r="N24" s="273"/>
      <c r="O24" s="273"/>
      <c r="P24" s="273"/>
      <c r="Q24" s="273"/>
      <c r="R24" s="273"/>
      <c r="S24" s="273"/>
      <c r="T24" s="273"/>
      <c r="U24" s="273"/>
      <c r="V24" s="273"/>
      <c r="W24" s="273"/>
      <c r="X24" s="273"/>
      <c r="Y24" s="273"/>
      <c r="Z24" s="273"/>
    </row>
    <row r="25" spans="1:26" s="276" customFormat="1" ht="32.25" customHeight="1" x14ac:dyDescent="0.25">
      <c r="A25" s="462"/>
      <c r="B25" s="456"/>
      <c r="C25" s="457"/>
      <c r="D25" s="457"/>
      <c r="E25" s="457"/>
      <c r="F25" s="457"/>
      <c r="G25" s="458"/>
      <c r="H25" s="456" t="s">
        <v>214</v>
      </c>
      <c r="I25" s="457"/>
      <c r="J25" s="457"/>
      <c r="K25" s="457"/>
      <c r="L25" s="457"/>
      <c r="M25" s="458"/>
      <c r="N25" s="273"/>
      <c r="O25" s="273"/>
      <c r="P25" s="273"/>
      <c r="Q25" s="273"/>
      <c r="R25" s="273"/>
      <c r="S25" s="273"/>
      <c r="T25" s="273"/>
      <c r="U25" s="273"/>
      <c r="V25" s="273"/>
      <c r="W25" s="273"/>
      <c r="X25" s="273"/>
      <c r="Y25" s="273"/>
      <c r="Z25" s="273"/>
    </row>
    <row r="26" spans="1:26" s="276" customFormat="1" ht="32.25" customHeight="1" x14ac:dyDescent="0.25">
      <c r="A26" s="462"/>
      <c r="B26" s="456"/>
      <c r="C26" s="459"/>
      <c r="D26" s="459"/>
      <c r="E26" s="459"/>
      <c r="F26" s="459"/>
      <c r="G26" s="460"/>
      <c r="H26" s="456" t="s">
        <v>215</v>
      </c>
      <c r="I26" s="457"/>
      <c r="J26" s="457"/>
      <c r="K26" s="457"/>
      <c r="L26" s="457"/>
      <c r="M26" s="458"/>
      <c r="N26" s="273"/>
      <c r="O26" s="273"/>
      <c r="P26" s="273"/>
      <c r="Q26" s="273"/>
      <c r="R26" s="273"/>
      <c r="S26" s="273"/>
      <c r="T26" s="273"/>
      <c r="U26" s="273"/>
      <c r="V26" s="273"/>
      <c r="W26" s="273"/>
      <c r="X26" s="273"/>
      <c r="Y26" s="273"/>
      <c r="Z26" s="273"/>
    </row>
    <row r="27" spans="1:26" s="276" customFormat="1" ht="25.5" customHeight="1" x14ac:dyDescent="0.25">
      <c r="A27" s="462"/>
      <c r="B27" s="456"/>
      <c r="C27" s="457"/>
      <c r="D27" s="457"/>
      <c r="E27" s="457"/>
      <c r="F27" s="457"/>
      <c r="G27" s="458"/>
      <c r="H27" s="456" t="s">
        <v>216</v>
      </c>
      <c r="I27" s="457"/>
      <c r="J27" s="457"/>
      <c r="K27" s="457"/>
      <c r="L27" s="457"/>
      <c r="M27" s="458"/>
      <c r="N27" s="273"/>
      <c r="O27" s="273"/>
      <c r="P27" s="273"/>
      <c r="Q27" s="273"/>
      <c r="R27" s="273"/>
      <c r="S27" s="273"/>
      <c r="T27" s="273"/>
      <c r="U27" s="273"/>
      <c r="V27" s="273"/>
      <c r="W27" s="273"/>
      <c r="X27" s="273"/>
      <c r="Y27" s="273"/>
      <c r="Z27" s="273"/>
    </row>
    <row r="28" spans="1:26" s="276" customFormat="1" ht="25.5" customHeight="1" x14ac:dyDescent="0.25">
      <c r="A28" s="463"/>
      <c r="B28" s="456"/>
      <c r="C28" s="457"/>
      <c r="D28" s="457"/>
      <c r="E28" s="457"/>
      <c r="F28" s="457"/>
      <c r="G28" s="458"/>
      <c r="H28" s="456"/>
      <c r="I28" s="457"/>
      <c r="J28" s="457"/>
      <c r="K28" s="457"/>
      <c r="L28" s="457"/>
      <c r="M28" s="458"/>
      <c r="N28" s="273"/>
      <c r="O28" s="273"/>
      <c r="P28" s="273"/>
      <c r="Q28" s="273"/>
      <c r="R28" s="273"/>
      <c r="S28" s="273"/>
      <c r="T28" s="273"/>
      <c r="U28" s="273"/>
      <c r="V28" s="273"/>
      <c r="W28" s="273"/>
      <c r="X28" s="273"/>
      <c r="Y28" s="273"/>
      <c r="Z28" s="273"/>
    </row>
    <row r="29" spans="1:26" ht="18" customHeight="1" x14ac:dyDescent="0.2">
      <c r="A29" s="273"/>
      <c r="B29" s="273"/>
      <c r="C29" s="273"/>
      <c r="D29" s="273"/>
      <c r="E29" s="273"/>
      <c r="F29" s="273"/>
      <c r="G29" s="273"/>
      <c r="H29" s="273"/>
      <c r="I29" s="273"/>
      <c r="J29" s="273"/>
      <c r="K29" s="273"/>
      <c r="L29" s="273"/>
      <c r="M29" s="273"/>
      <c r="N29" s="273"/>
      <c r="O29" s="273"/>
      <c r="P29" s="273"/>
      <c r="Q29" s="273"/>
      <c r="R29" s="273"/>
      <c r="S29" s="273"/>
      <c r="T29" s="273"/>
      <c r="U29" s="273"/>
      <c r="V29" s="273"/>
      <c r="W29" s="273"/>
      <c r="X29" s="273"/>
      <c r="Y29" s="273"/>
      <c r="Z29" s="273"/>
    </row>
    <row r="30" spans="1:26" s="278" customFormat="1" ht="16.5" customHeight="1" x14ac:dyDescent="0.2">
      <c r="A30" s="471" t="s">
        <v>217</v>
      </c>
      <c r="B30" s="471"/>
      <c r="C30" s="472" t="s">
        <v>185</v>
      </c>
      <c r="D30" s="473"/>
      <c r="E30" s="471" t="s">
        <v>218</v>
      </c>
      <c r="F30" s="472" t="s">
        <v>219</v>
      </c>
      <c r="G30" s="476"/>
      <c r="H30" s="476"/>
      <c r="I30" s="478" t="s">
        <v>220</v>
      </c>
      <c r="J30" s="479"/>
      <c r="K30" s="468" t="s">
        <v>221</v>
      </c>
      <c r="L30" s="469"/>
      <c r="M30" s="470"/>
      <c r="N30" s="277"/>
      <c r="O30" s="277"/>
      <c r="P30" s="277"/>
      <c r="Q30" s="277"/>
      <c r="R30" s="277"/>
      <c r="S30" s="277"/>
      <c r="T30" s="277"/>
      <c r="U30" s="277"/>
      <c r="V30" s="277"/>
      <c r="W30" s="277"/>
      <c r="X30" s="277"/>
      <c r="Y30" s="277"/>
      <c r="Z30" s="277"/>
    </row>
    <row r="31" spans="1:26" s="278" customFormat="1" ht="15.75" customHeight="1" x14ac:dyDescent="0.2">
      <c r="A31" s="471"/>
      <c r="B31" s="471"/>
      <c r="C31" s="474"/>
      <c r="D31" s="475"/>
      <c r="E31" s="471"/>
      <c r="F31" s="474"/>
      <c r="G31" s="477"/>
      <c r="H31" s="477"/>
      <c r="I31" s="478" t="s">
        <v>222</v>
      </c>
      <c r="J31" s="479"/>
      <c r="K31" s="468" t="s">
        <v>223</v>
      </c>
      <c r="L31" s="469"/>
      <c r="M31" s="470"/>
      <c r="N31" s="279"/>
      <c r="O31" s="279"/>
      <c r="P31" s="279"/>
      <c r="Q31" s="279"/>
      <c r="R31" s="279"/>
      <c r="S31" s="279"/>
      <c r="T31" s="279"/>
      <c r="U31" s="279"/>
      <c r="V31" s="279"/>
      <c r="W31" s="279"/>
      <c r="X31" s="279"/>
      <c r="Y31" s="279"/>
      <c r="Z31" s="279"/>
    </row>
    <row r="32" spans="1:26" ht="18" customHeight="1" x14ac:dyDescent="0.2">
      <c r="A32" s="272"/>
      <c r="B32" s="272"/>
      <c r="C32" s="272"/>
      <c r="D32" s="272"/>
      <c r="E32" s="272"/>
      <c r="F32" s="272"/>
      <c r="G32" s="272"/>
      <c r="H32" s="272"/>
      <c r="I32" s="272"/>
      <c r="J32" s="272"/>
      <c r="K32" s="272"/>
      <c r="L32" s="272"/>
      <c r="M32" s="272"/>
      <c r="N32" s="272"/>
      <c r="O32" s="272"/>
      <c r="P32" s="272"/>
      <c r="Q32" s="272"/>
      <c r="R32" s="272"/>
      <c r="S32" s="272"/>
      <c r="T32" s="272"/>
      <c r="U32" s="272"/>
      <c r="V32" s="272"/>
      <c r="W32" s="272"/>
      <c r="X32" s="272"/>
      <c r="Y32" s="272"/>
      <c r="Z32" s="272"/>
    </row>
    <row r="33" spans="1:26" ht="18" customHeight="1" x14ac:dyDescent="0.2">
      <c r="A33" s="272"/>
      <c r="B33" s="272"/>
      <c r="C33" s="272"/>
      <c r="D33" s="272"/>
      <c r="E33" s="272"/>
      <c r="F33" s="272"/>
      <c r="G33" s="272"/>
      <c r="H33" s="272"/>
      <c r="I33" s="272"/>
      <c r="J33" s="272"/>
      <c r="K33" s="272"/>
      <c r="L33" s="272"/>
      <c r="M33" s="272"/>
      <c r="N33" s="272"/>
      <c r="O33" s="272"/>
      <c r="P33" s="272"/>
      <c r="Q33" s="272"/>
      <c r="R33" s="272"/>
      <c r="S33" s="272"/>
      <c r="T33" s="272"/>
      <c r="U33" s="272"/>
      <c r="V33" s="272"/>
      <c r="W33" s="272"/>
      <c r="X33" s="272"/>
      <c r="Y33" s="272"/>
      <c r="Z33" s="272"/>
    </row>
    <row r="34" spans="1:26" ht="18" customHeight="1" x14ac:dyDescent="0.2">
      <c r="A34" s="272"/>
      <c r="B34" s="272"/>
      <c r="C34" s="272"/>
      <c r="D34" s="272"/>
      <c r="E34" s="272"/>
      <c r="F34" s="272"/>
      <c r="G34" s="272"/>
      <c r="H34" s="272"/>
      <c r="I34" s="272"/>
      <c r="J34" s="272"/>
      <c r="K34" s="272"/>
      <c r="L34" s="272"/>
      <c r="M34" s="272"/>
      <c r="N34" s="272"/>
      <c r="O34" s="272"/>
      <c r="P34" s="272"/>
      <c r="Q34" s="272"/>
      <c r="R34" s="272"/>
      <c r="S34" s="272"/>
      <c r="T34" s="272"/>
      <c r="U34" s="272"/>
      <c r="V34" s="272"/>
      <c r="W34" s="272"/>
      <c r="X34" s="272"/>
      <c r="Y34" s="272"/>
      <c r="Z34" s="272"/>
    </row>
    <row r="35" spans="1:26" ht="18" customHeight="1" x14ac:dyDescent="0.2">
      <c r="A35" s="272"/>
      <c r="B35" s="272"/>
      <c r="C35" s="272"/>
      <c r="D35" s="272"/>
      <c r="E35" s="272"/>
      <c r="F35" s="272"/>
      <c r="G35" s="272"/>
      <c r="H35" s="272"/>
      <c r="I35" s="272"/>
      <c r="J35" s="272"/>
      <c r="K35" s="272"/>
      <c r="L35" s="272"/>
      <c r="M35" s="272"/>
      <c r="N35" s="272"/>
      <c r="O35" s="272"/>
      <c r="P35" s="272"/>
      <c r="Q35" s="272"/>
      <c r="R35" s="272"/>
      <c r="S35" s="272"/>
      <c r="T35" s="272"/>
      <c r="U35" s="272"/>
      <c r="V35" s="272"/>
      <c r="W35" s="272"/>
      <c r="X35" s="272"/>
      <c r="Y35" s="272"/>
      <c r="Z35" s="272"/>
    </row>
    <row r="36" spans="1:26" ht="18" customHeight="1" x14ac:dyDescent="0.2">
      <c r="A36" s="272"/>
      <c r="B36" s="272"/>
      <c r="C36" s="272"/>
      <c r="D36" s="272"/>
      <c r="E36" s="272"/>
      <c r="F36" s="272"/>
      <c r="G36" s="272"/>
      <c r="H36" s="272"/>
      <c r="I36" s="272"/>
      <c r="J36" s="272"/>
      <c r="K36" s="272"/>
      <c r="L36" s="272"/>
      <c r="M36" s="272"/>
      <c r="N36" s="272"/>
      <c r="O36" s="272"/>
      <c r="P36" s="272"/>
      <c r="Q36" s="272"/>
      <c r="R36" s="272"/>
      <c r="S36" s="272"/>
      <c r="T36" s="272"/>
      <c r="U36" s="272"/>
      <c r="V36" s="272"/>
      <c r="W36" s="272"/>
      <c r="X36" s="272"/>
      <c r="Y36" s="272"/>
      <c r="Z36" s="272"/>
    </row>
    <row r="37" spans="1:26" ht="18" customHeight="1" x14ac:dyDescent="0.2">
      <c r="A37" s="272"/>
      <c r="B37" s="272"/>
      <c r="C37" s="272"/>
      <c r="D37" s="272"/>
      <c r="E37" s="272"/>
      <c r="F37" s="272"/>
      <c r="G37" s="272"/>
      <c r="H37" s="272"/>
      <c r="I37" s="272"/>
      <c r="J37" s="272"/>
      <c r="K37" s="272"/>
      <c r="L37" s="272"/>
      <c r="M37" s="272"/>
      <c r="N37" s="272"/>
      <c r="O37" s="272"/>
      <c r="P37" s="272"/>
      <c r="Q37" s="272"/>
      <c r="R37" s="272"/>
      <c r="S37" s="272"/>
      <c r="T37" s="272"/>
      <c r="U37" s="272"/>
      <c r="V37" s="272"/>
      <c r="W37" s="272"/>
      <c r="X37" s="272"/>
      <c r="Y37" s="272"/>
      <c r="Z37" s="272"/>
    </row>
    <row r="38" spans="1:26" ht="18" customHeight="1" x14ac:dyDescent="0.2">
      <c r="A38" s="272"/>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c r="Z38" s="272"/>
    </row>
    <row r="39" spans="1:26" ht="18" customHeight="1" x14ac:dyDescent="0.2">
      <c r="A39" s="272"/>
      <c r="B39" s="272"/>
      <c r="C39" s="272"/>
      <c r="D39" s="272"/>
      <c r="E39" s="272"/>
      <c r="F39" s="272"/>
      <c r="G39" s="272"/>
      <c r="H39" s="272"/>
      <c r="I39" s="272"/>
      <c r="J39" s="272"/>
      <c r="K39" s="272"/>
      <c r="L39" s="272"/>
      <c r="M39" s="272"/>
      <c r="N39" s="272"/>
      <c r="O39" s="272"/>
      <c r="P39" s="272"/>
      <c r="Q39" s="272"/>
      <c r="R39" s="272"/>
      <c r="S39" s="272"/>
      <c r="T39" s="272"/>
      <c r="U39" s="272"/>
      <c r="V39" s="272"/>
      <c r="W39" s="272"/>
      <c r="X39" s="272"/>
      <c r="Y39" s="272"/>
      <c r="Z39" s="272"/>
    </row>
    <row r="40" spans="1:26" ht="18" customHeight="1" x14ac:dyDescent="0.2">
      <c r="A40" s="272"/>
      <c r="B40" s="272"/>
      <c r="C40" s="272"/>
      <c r="D40" s="272"/>
      <c r="E40" s="272"/>
      <c r="F40" s="272"/>
      <c r="G40" s="272"/>
      <c r="H40" s="272"/>
      <c r="I40" s="272"/>
      <c r="J40" s="272"/>
      <c r="K40" s="272"/>
      <c r="L40" s="272"/>
      <c r="M40" s="272"/>
      <c r="N40" s="272"/>
      <c r="O40" s="272"/>
      <c r="P40" s="272"/>
      <c r="Q40" s="272"/>
      <c r="R40" s="272"/>
      <c r="S40" s="272"/>
      <c r="T40" s="272"/>
      <c r="U40" s="272"/>
      <c r="V40" s="272"/>
      <c r="W40" s="272"/>
      <c r="X40" s="272"/>
      <c r="Y40" s="272"/>
      <c r="Z40" s="272"/>
    </row>
    <row r="41" spans="1:26" ht="18" customHeight="1" x14ac:dyDescent="0.2">
      <c r="A41" s="272"/>
      <c r="B41" s="272"/>
      <c r="C41" s="272"/>
      <c r="D41" s="272"/>
      <c r="E41" s="272"/>
      <c r="F41" s="272"/>
      <c r="G41" s="272"/>
      <c r="H41" s="272"/>
      <c r="I41" s="272"/>
      <c r="J41" s="272"/>
      <c r="K41" s="272"/>
      <c r="L41" s="272"/>
      <c r="M41" s="272"/>
      <c r="N41" s="272"/>
      <c r="O41" s="272"/>
      <c r="P41" s="272"/>
      <c r="Q41" s="272"/>
      <c r="R41" s="272"/>
      <c r="S41" s="272"/>
      <c r="T41" s="272"/>
      <c r="U41" s="272"/>
      <c r="V41" s="272"/>
      <c r="W41" s="272"/>
      <c r="X41" s="272"/>
      <c r="Y41" s="272"/>
      <c r="Z41" s="272"/>
    </row>
    <row r="42" spans="1:26" ht="18" customHeight="1" x14ac:dyDescent="0.2">
      <c r="A42" s="272"/>
      <c r="B42" s="272"/>
      <c r="C42" s="272"/>
      <c r="D42" s="272"/>
      <c r="E42" s="272"/>
      <c r="F42" s="272"/>
      <c r="G42" s="272"/>
      <c r="H42" s="272"/>
      <c r="I42" s="272"/>
      <c r="J42" s="272"/>
      <c r="K42" s="272"/>
      <c r="L42" s="272"/>
      <c r="M42" s="272"/>
      <c r="N42" s="272"/>
      <c r="O42" s="272"/>
      <c r="P42" s="272"/>
      <c r="Q42" s="272"/>
      <c r="R42" s="272"/>
      <c r="S42" s="272"/>
      <c r="T42" s="272"/>
      <c r="U42" s="272"/>
      <c r="V42" s="272"/>
      <c r="W42" s="272"/>
      <c r="X42" s="272"/>
      <c r="Y42" s="272"/>
      <c r="Z42" s="272"/>
    </row>
    <row r="43" spans="1:26" ht="15.75" customHeight="1" x14ac:dyDescent="0.2">
      <c r="A43" s="272"/>
      <c r="B43" s="272"/>
      <c r="C43" s="272"/>
      <c r="D43" s="272"/>
      <c r="E43" s="272"/>
      <c r="F43" s="272"/>
      <c r="G43" s="272"/>
      <c r="H43" s="272"/>
      <c r="I43" s="272"/>
      <c r="J43" s="272"/>
      <c r="K43" s="272"/>
      <c r="L43" s="272"/>
      <c r="M43" s="272"/>
      <c r="N43" s="272"/>
      <c r="O43" s="272"/>
      <c r="P43" s="272"/>
      <c r="Q43" s="272"/>
      <c r="R43" s="272"/>
      <c r="S43" s="272"/>
      <c r="T43" s="272"/>
      <c r="U43" s="272"/>
      <c r="V43" s="272"/>
      <c r="W43" s="272"/>
      <c r="X43" s="272"/>
      <c r="Y43" s="272"/>
      <c r="Z43" s="272"/>
    </row>
    <row r="44" spans="1:26" ht="15.75" customHeight="1" x14ac:dyDescent="0.2">
      <c r="A44" s="272"/>
      <c r="B44" s="272"/>
      <c r="C44" s="272"/>
      <c r="D44" s="272"/>
      <c r="E44" s="272"/>
      <c r="F44" s="272"/>
      <c r="G44" s="272"/>
      <c r="H44" s="272"/>
      <c r="I44" s="272"/>
      <c r="J44" s="272"/>
      <c r="K44" s="272"/>
      <c r="L44" s="272"/>
      <c r="M44" s="272"/>
      <c r="N44" s="272"/>
      <c r="O44" s="272"/>
      <c r="P44" s="272"/>
      <c r="Q44" s="272"/>
      <c r="R44" s="272"/>
      <c r="S44" s="272"/>
      <c r="T44" s="272"/>
      <c r="U44" s="272"/>
      <c r="V44" s="272"/>
      <c r="W44" s="272"/>
      <c r="X44" s="272"/>
      <c r="Y44" s="272"/>
      <c r="Z44" s="272"/>
    </row>
    <row r="45" spans="1:26" ht="15.75" customHeight="1" x14ac:dyDescent="0.2">
      <c r="A45" s="272"/>
      <c r="B45" s="272"/>
      <c r="C45" s="272"/>
      <c r="D45" s="272"/>
      <c r="E45" s="272"/>
      <c r="F45" s="272"/>
      <c r="G45" s="272"/>
      <c r="H45" s="272"/>
      <c r="I45" s="272"/>
      <c r="J45" s="272"/>
      <c r="K45" s="272"/>
      <c r="L45" s="272"/>
      <c r="M45" s="272"/>
      <c r="N45" s="272"/>
      <c r="O45" s="272"/>
      <c r="P45" s="272"/>
      <c r="Q45" s="272"/>
      <c r="R45" s="272"/>
      <c r="S45" s="272"/>
      <c r="T45" s="272"/>
      <c r="U45" s="272"/>
      <c r="V45" s="272"/>
      <c r="W45" s="272"/>
      <c r="X45" s="272"/>
      <c r="Y45" s="272"/>
      <c r="Z45" s="272"/>
    </row>
    <row r="46" spans="1:26" ht="15.75" customHeight="1" x14ac:dyDescent="0.2">
      <c r="A46" s="272"/>
      <c r="B46" s="272"/>
      <c r="C46" s="272"/>
      <c r="D46" s="272"/>
      <c r="E46" s="272"/>
      <c r="F46" s="272"/>
      <c r="G46" s="272"/>
      <c r="H46" s="272"/>
      <c r="I46" s="272"/>
      <c r="J46" s="272"/>
      <c r="K46" s="272"/>
      <c r="L46" s="272"/>
      <c r="M46" s="272"/>
      <c r="N46" s="272"/>
      <c r="O46" s="272"/>
      <c r="P46" s="272"/>
      <c r="Q46" s="272"/>
      <c r="R46" s="272"/>
      <c r="S46" s="272"/>
      <c r="T46" s="272"/>
      <c r="U46" s="272"/>
      <c r="V46" s="272"/>
      <c r="W46" s="272"/>
      <c r="X46" s="272"/>
      <c r="Y46" s="272"/>
      <c r="Z46" s="272"/>
    </row>
    <row r="47" spans="1:26" ht="15.75" customHeight="1" x14ac:dyDescent="0.2">
      <c r="A47" s="272"/>
      <c r="B47" s="272"/>
      <c r="C47" s="272"/>
      <c r="D47" s="272"/>
      <c r="E47" s="272"/>
      <c r="F47" s="272"/>
      <c r="G47" s="272"/>
      <c r="H47" s="272"/>
      <c r="I47" s="272"/>
      <c r="J47" s="272"/>
      <c r="K47" s="272"/>
      <c r="L47" s="272"/>
      <c r="M47" s="272"/>
      <c r="N47" s="272"/>
      <c r="O47" s="272"/>
      <c r="P47" s="272"/>
      <c r="Q47" s="272"/>
      <c r="R47" s="272"/>
      <c r="S47" s="272"/>
      <c r="T47" s="272"/>
      <c r="U47" s="272"/>
      <c r="V47" s="272"/>
      <c r="W47" s="272"/>
      <c r="X47" s="272"/>
      <c r="Y47" s="272"/>
      <c r="Z47" s="272"/>
    </row>
    <row r="48" spans="1:26" ht="15.75" customHeight="1" x14ac:dyDescent="0.2">
      <c r="A48" s="272"/>
      <c r="B48" s="272"/>
      <c r="C48" s="272"/>
      <c r="D48" s="272"/>
      <c r="E48" s="272"/>
      <c r="F48" s="272"/>
      <c r="G48" s="272"/>
      <c r="H48" s="272"/>
      <c r="I48" s="272"/>
      <c r="J48" s="272"/>
      <c r="K48" s="272"/>
      <c r="L48" s="272"/>
      <c r="M48" s="272"/>
      <c r="N48" s="272"/>
      <c r="O48" s="272"/>
      <c r="P48" s="272"/>
      <c r="Q48" s="272"/>
      <c r="R48" s="272"/>
      <c r="S48" s="272"/>
      <c r="T48" s="272"/>
      <c r="U48" s="272"/>
      <c r="V48" s="272"/>
      <c r="W48" s="272"/>
      <c r="X48" s="272"/>
      <c r="Y48" s="272"/>
      <c r="Z48" s="272"/>
    </row>
    <row r="49" spans="1:26" ht="15.75" customHeight="1" x14ac:dyDescent="0.2">
      <c r="A49" s="272"/>
      <c r="B49" s="272"/>
      <c r="C49" s="272"/>
      <c r="D49" s="272"/>
      <c r="E49" s="272"/>
      <c r="F49" s="272"/>
      <c r="G49" s="272"/>
      <c r="H49" s="272"/>
      <c r="I49" s="272"/>
      <c r="J49" s="272"/>
      <c r="K49" s="272"/>
      <c r="L49" s="272"/>
      <c r="M49" s="272"/>
      <c r="N49" s="272"/>
      <c r="O49" s="272"/>
      <c r="P49" s="272"/>
      <c r="Q49" s="272"/>
      <c r="R49" s="272"/>
      <c r="S49" s="272"/>
      <c r="T49" s="272"/>
      <c r="U49" s="272"/>
      <c r="V49" s="272"/>
      <c r="W49" s="272"/>
      <c r="X49" s="272"/>
      <c r="Y49" s="272"/>
      <c r="Z49" s="272"/>
    </row>
    <row r="50" spans="1:26" ht="15.75" customHeight="1" x14ac:dyDescent="0.2">
      <c r="A50" s="272"/>
      <c r="B50" s="272"/>
      <c r="C50" s="272"/>
      <c r="D50" s="272"/>
      <c r="E50" s="272"/>
      <c r="F50" s="272"/>
      <c r="G50" s="272"/>
      <c r="H50" s="272"/>
      <c r="I50" s="272"/>
      <c r="J50" s="272"/>
      <c r="K50" s="272"/>
      <c r="L50" s="272"/>
      <c r="M50" s="272"/>
      <c r="N50" s="272"/>
      <c r="O50" s="272"/>
      <c r="P50" s="272"/>
      <c r="Q50" s="272"/>
      <c r="R50" s="272"/>
      <c r="S50" s="272"/>
      <c r="T50" s="272"/>
      <c r="U50" s="272"/>
      <c r="V50" s="272"/>
      <c r="W50" s="272"/>
      <c r="X50" s="272"/>
      <c r="Y50" s="272"/>
      <c r="Z50" s="272"/>
    </row>
    <row r="51" spans="1:26" ht="15.75" customHeight="1" x14ac:dyDescent="0.2">
      <c r="A51" s="272"/>
      <c r="B51" s="272"/>
      <c r="C51" s="272"/>
      <c r="D51" s="272"/>
      <c r="E51" s="272"/>
      <c r="F51" s="272"/>
      <c r="G51" s="272"/>
      <c r="H51" s="272"/>
      <c r="I51" s="272"/>
      <c r="J51" s="272"/>
      <c r="K51" s="272"/>
      <c r="L51" s="272"/>
      <c r="M51" s="272"/>
      <c r="N51" s="272"/>
      <c r="O51" s="272"/>
      <c r="P51" s="272"/>
      <c r="Q51" s="272"/>
      <c r="R51" s="272"/>
      <c r="S51" s="272"/>
      <c r="T51" s="272"/>
      <c r="U51" s="272"/>
      <c r="V51" s="272"/>
      <c r="W51" s="272"/>
      <c r="X51" s="272"/>
      <c r="Y51" s="272"/>
      <c r="Z51" s="272"/>
    </row>
    <row r="52" spans="1:26" ht="15.75" customHeight="1" x14ac:dyDescent="0.2">
      <c r="A52" s="272"/>
      <c r="B52" s="272"/>
      <c r="C52" s="272"/>
      <c r="D52" s="272"/>
      <c r="E52" s="272"/>
      <c r="F52" s="272"/>
      <c r="G52" s="272"/>
      <c r="H52" s="272"/>
      <c r="I52" s="272"/>
      <c r="J52" s="272"/>
      <c r="K52" s="272"/>
      <c r="L52" s="272"/>
      <c r="M52" s="272"/>
      <c r="N52" s="272"/>
      <c r="O52" s="272"/>
      <c r="P52" s="272"/>
      <c r="Q52" s="272"/>
      <c r="R52" s="272"/>
      <c r="S52" s="272"/>
      <c r="T52" s="272"/>
      <c r="U52" s="272"/>
      <c r="V52" s="272"/>
      <c r="W52" s="272"/>
      <c r="X52" s="272"/>
      <c r="Y52" s="272"/>
      <c r="Z52" s="272"/>
    </row>
    <row r="53" spans="1:26" ht="15.75" customHeight="1" x14ac:dyDescent="0.2">
      <c r="A53" s="272"/>
      <c r="B53" s="272"/>
      <c r="C53" s="272"/>
      <c r="D53" s="272"/>
      <c r="E53" s="272"/>
      <c r="F53" s="272"/>
      <c r="G53" s="272"/>
      <c r="H53" s="272"/>
      <c r="I53" s="272"/>
      <c r="J53" s="272"/>
      <c r="K53" s="272"/>
      <c r="L53" s="272"/>
      <c r="M53" s="272"/>
      <c r="N53" s="272"/>
      <c r="O53" s="272"/>
      <c r="P53" s="272"/>
      <c r="Q53" s="272"/>
      <c r="R53" s="272"/>
      <c r="S53" s="272"/>
      <c r="T53" s="272"/>
      <c r="U53" s="272"/>
      <c r="V53" s="272"/>
      <c r="W53" s="272"/>
      <c r="X53" s="272"/>
      <c r="Y53" s="272"/>
      <c r="Z53" s="272"/>
    </row>
    <row r="54" spans="1:26" ht="15.75" customHeight="1" x14ac:dyDescent="0.2">
      <c r="A54" s="272"/>
      <c r="B54" s="272"/>
      <c r="C54" s="272"/>
      <c r="D54" s="272"/>
      <c r="E54" s="272"/>
      <c r="F54" s="272"/>
      <c r="G54" s="272"/>
      <c r="H54" s="272"/>
      <c r="I54" s="272"/>
      <c r="J54" s="272"/>
      <c r="K54" s="272"/>
      <c r="L54" s="272"/>
      <c r="M54" s="272"/>
      <c r="N54" s="272"/>
      <c r="O54" s="272"/>
      <c r="P54" s="272"/>
      <c r="Q54" s="272"/>
      <c r="R54" s="272"/>
      <c r="S54" s="272"/>
      <c r="T54" s="272"/>
      <c r="U54" s="272"/>
      <c r="V54" s="272"/>
      <c r="W54" s="272"/>
      <c r="X54" s="272"/>
      <c r="Y54" s="272"/>
      <c r="Z54" s="272"/>
    </row>
    <row r="55" spans="1:26" ht="15.75" customHeight="1" x14ac:dyDescent="0.2">
      <c r="A55" s="272"/>
      <c r="B55" s="272"/>
      <c r="C55" s="272"/>
      <c r="D55" s="272"/>
      <c r="E55" s="272"/>
      <c r="F55" s="272"/>
      <c r="G55" s="272"/>
      <c r="H55" s="272"/>
      <c r="I55" s="272"/>
      <c r="J55" s="272"/>
      <c r="K55" s="272"/>
      <c r="L55" s="272"/>
      <c r="M55" s="272"/>
      <c r="N55" s="272"/>
      <c r="O55" s="272"/>
      <c r="P55" s="272"/>
      <c r="Q55" s="272"/>
      <c r="R55" s="272"/>
      <c r="S55" s="272"/>
      <c r="T55" s="272"/>
      <c r="U55" s="272"/>
      <c r="V55" s="272"/>
      <c r="W55" s="272"/>
      <c r="X55" s="272"/>
      <c r="Y55" s="272"/>
      <c r="Z55" s="272"/>
    </row>
    <row r="56" spans="1:26" ht="15.75" customHeight="1" x14ac:dyDescent="0.2">
      <c r="A56" s="272"/>
      <c r="B56" s="272"/>
      <c r="C56" s="272"/>
      <c r="D56" s="272"/>
      <c r="E56" s="272"/>
      <c r="F56" s="272"/>
      <c r="G56" s="272"/>
      <c r="H56" s="272"/>
      <c r="I56" s="272"/>
      <c r="J56" s="272"/>
      <c r="K56" s="272"/>
      <c r="L56" s="272"/>
      <c r="M56" s="272"/>
      <c r="N56" s="272"/>
      <c r="O56" s="272"/>
      <c r="P56" s="272"/>
      <c r="Q56" s="272"/>
      <c r="R56" s="272"/>
      <c r="S56" s="272"/>
      <c r="T56" s="272"/>
      <c r="U56" s="272"/>
      <c r="V56" s="272"/>
      <c r="W56" s="272"/>
      <c r="X56" s="272"/>
      <c r="Y56" s="272"/>
      <c r="Z56" s="272"/>
    </row>
    <row r="57" spans="1:26" ht="15.75" customHeight="1" x14ac:dyDescent="0.2">
      <c r="A57" s="272"/>
      <c r="B57" s="272"/>
      <c r="C57" s="272"/>
      <c r="D57" s="272"/>
      <c r="E57" s="272"/>
      <c r="F57" s="272"/>
      <c r="G57" s="272"/>
      <c r="H57" s="272"/>
      <c r="I57" s="272"/>
      <c r="J57" s="272"/>
      <c r="K57" s="272"/>
      <c r="L57" s="272"/>
      <c r="M57" s="272"/>
      <c r="N57" s="272"/>
      <c r="O57" s="272"/>
      <c r="P57" s="272"/>
      <c r="Q57" s="272"/>
      <c r="R57" s="272"/>
      <c r="S57" s="272"/>
      <c r="T57" s="272"/>
      <c r="U57" s="272"/>
      <c r="V57" s="272"/>
      <c r="W57" s="272"/>
      <c r="X57" s="272"/>
      <c r="Y57" s="272"/>
      <c r="Z57" s="272"/>
    </row>
    <row r="58" spans="1:26" ht="15.75" customHeight="1" x14ac:dyDescent="0.2">
      <c r="A58" s="272"/>
      <c r="B58" s="272"/>
      <c r="C58" s="272"/>
      <c r="D58" s="272"/>
      <c r="E58" s="272"/>
      <c r="F58" s="272"/>
      <c r="G58" s="272"/>
      <c r="H58" s="272"/>
      <c r="I58" s="272"/>
      <c r="J58" s="272"/>
      <c r="K58" s="272"/>
      <c r="L58" s="272"/>
      <c r="M58" s="272"/>
      <c r="N58" s="272"/>
      <c r="O58" s="272"/>
      <c r="P58" s="272"/>
      <c r="Q58" s="272"/>
      <c r="R58" s="272"/>
      <c r="S58" s="272"/>
      <c r="T58" s="272"/>
      <c r="U58" s="272"/>
      <c r="V58" s="272"/>
      <c r="W58" s="272"/>
      <c r="X58" s="272"/>
      <c r="Y58" s="272"/>
      <c r="Z58" s="272"/>
    </row>
    <row r="59" spans="1:26" ht="15.75" customHeight="1" x14ac:dyDescent="0.2">
      <c r="A59" s="272"/>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c r="Z59" s="272"/>
    </row>
    <row r="60" spans="1:26" ht="15.75" customHeight="1" x14ac:dyDescent="0.2">
      <c r="A60" s="272"/>
      <c r="B60" s="272"/>
      <c r="C60" s="272"/>
      <c r="D60" s="272"/>
      <c r="E60" s="272"/>
      <c r="F60" s="272"/>
      <c r="G60" s="272"/>
      <c r="H60" s="272"/>
      <c r="I60" s="272"/>
      <c r="J60" s="272"/>
      <c r="K60" s="272"/>
      <c r="L60" s="272"/>
      <c r="M60" s="272"/>
      <c r="N60" s="272"/>
      <c r="O60" s="272"/>
      <c r="P60" s="272"/>
      <c r="Q60" s="272"/>
      <c r="R60" s="272"/>
      <c r="S60" s="272"/>
      <c r="T60" s="272"/>
      <c r="U60" s="272"/>
      <c r="V60" s="272"/>
      <c r="W60" s="272"/>
      <c r="X60" s="272"/>
      <c r="Y60" s="272"/>
      <c r="Z60" s="272"/>
    </row>
    <row r="61" spans="1:26" ht="15.75" customHeight="1" x14ac:dyDescent="0.2">
      <c r="A61" s="272"/>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c r="Z61" s="272"/>
    </row>
    <row r="62" spans="1:26" ht="15.75" customHeight="1" x14ac:dyDescent="0.2">
      <c r="A62" s="272"/>
      <c r="B62" s="272"/>
      <c r="C62" s="272"/>
      <c r="D62" s="272"/>
      <c r="E62" s="272"/>
      <c r="F62" s="272"/>
      <c r="G62" s="272"/>
      <c r="H62" s="272"/>
      <c r="I62" s="272"/>
      <c r="J62" s="272"/>
      <c r="K62" s="272"/>
      <c r="L62" s="272"/>
      <c r="M62" s="272"/>
      <c r="N62" s="272"/>
      <c r="O62" s="272"/>
      <c r="P62" s="272"/>
      <c r="Q62" s="272"/>
      <c r="R62" s="272"/>
      <c r="S62" s="272"/>
      <c r="T62" s="272"/>
      <c r="U62" s="272"/>
      <c r="V62" s="272"/>
      <c r="W62" s="272"/>
      <c r="X62" s="272"/>
      <c r="Y62" s="272"/>
      <c r="Z62" s="272"/>
    </row>
    <row r="63" spans="1:26" ht="15.75" customHeight="1" x14ac:dyDescent="0.2">
      <c r="A63" s="272"/>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c r="Z63" s="272"/>
    </row>
    <row r="64" spans="1:26" ht="15.75" customHeight="1" x14ac:dyDescent="0.2">
      <c r="A64" s="272"/>
      <c r="B64" s="272"/>
      <c r="C64" s="272"/>
      <c r="D64" s="272"/>
      <c r="E64" s="272"/>
      <c r="F64" s="272"/>
      <c r="G64" s="272"/>
      <c r="H64" s="272"/>
      <c r="I64" s="272"/>
      <c r="J64" s="272"/>
      <c r="K64" s="272"/>
      <c r="L64" s="272"/>
      <c r="M64" s="272"/>
      <c r="N64" s="272"/>
      <c r="O64" s="272"/>
      <c r="P64" s="272"/>
      <c r="Q64" s="272"/>
      <c r="R64" s="272"/>
      <c r="S64" s="272"/>
      <c r="T64" s="272"/>
      <c r="U64" s="272"/>
      <c r="V64" s="272"/>
      <c r="W64" s="272"/>
      <c r="X64" s="272"/>
      <c r="Y64" s="272"/>
      <c r="Z64" s="272"/>
    </row>
    <row r="65" spans="1:26" ht="15.75" customHeight="1" x14ac:dyDescent="0.2">
      <c r="A65" s="272"/>
      <c r="B65" s="272"/>
      <c r="C65" s="272"/>
      <c r="D65" s="272"/>
      <c r="E65" s="272"/>
      <c r="F65" s="272"/>
      <c r="G65" s="272"/>
      <c r="H65" s="272"/>
      <c r="I65" s="272"/>
      <c r="J65" s="272"/>
      <c r="K65" s="272"/>
      <c r="L65" s="272"/>
      <c r="M65" s="272"/>
      <c r="N65" s="272"/>
      <c r="O65" s="272"/>
      <c r="P65" s="272"/>
      <c r="Q65" s="272"/>
      <c r="R65" s="272"/>
      <c r="S65" s="272"/>
      <c r="T65" s="272"/>
      <c r="U65" s="272"/>
      <c r="V65" s="272"/>
      <c r="W65" s="272"/>
      <c r="X65" s="272"/>
      <c r="Y65" s="272"/>
      <c r="Z65" s="272"/>
    </row>
    <row r="66" spans="1:26" ht="15.75" customHeight="1" x14ac:dyDescent="0.2">
      <c r="A66" s="272"/>
      <c r="B66" s="272"/>
      <c r="C66" s="272"/>
      <c r="D66" s="272"/>
      <c r="E66" s="272"/>
      <c r="F66" s="272"/>
      <c r="G66" s="272"/>
      <c r="H66" s="272"/>
      <c r="I66" s="272"/>
      <c r="J66" s="272"/>
      <c r="K66" s="272"/>
      <c r="L66" s="272"/>
      <c r="M66" s="272"/>
      <c r="N66" s="272"/>
      <c r="O66" s="272"/>
      <c r="P66" s="272"/>
      <c r="Q66" s="272"/>
      <c r="R66" s="272"/>
      <c r="S66" s="272"/>
      <c r="T66" s="272"/>
      <c r="U66" s="272"/>
      <c r="V66" s="272"/>
      <c r="W66" s="272"/>
      <c r="X66" s="272"/>
      <c r="Y66" s="272"/>
      <c r="Z66" s="272"/>
    </row>
    <row r="67" spans="1:26" ht="15.75" customHeight="1" x14ac:dyDescent="0.2">
      <c r="A67" s="272"/>
      <c r="B67" s="272"/>
      <c r="C67" s="272"/>
      <c r="D67" s="272"/>
      <c r="E67" s="272"/>
      <c r="F67" s="272"/>
      <c r="G67" s="272"/>
      <c r="H67" s="272"/>
      <c r="I67" s="272"/>
      <c r="J67" s="272"/>
      <c r="K67" s="272"/>
      <c r="L67" s="272"/>
      <c r="M67" s="272"/>
      <c r="N67" s="272"/>
      <c r="O67" s="272"/>
      <c r="P67" s="272"/>
      <c r="Q67" s="272"/>
      <c r="R67" s="272"/>
      <c r="S67" s="272"/>
      <c r="T67" s="272"/>
      <c r="U67" s="272"/>
      <c r="V67" s="272"/>
      <c r="W67" s="272"/>
      <c r="X67" s="272"/>
      <c r="Y67" s="272"/>
      <c r="Z67" s="272"/>
    </row>
    <row r="68" spans="1:26" ht="15.75" customHeight="1" x14ac:dyDescent="0.2">
      <c r="A68" s="272"/>
      <c r="B68" s="272"/>
      <c r="C68" s="272"/>
      <c r="D68" s="272"/>
      <c r="E68" s="272"/>
      <c r="F68" s="272"/>
      <c r="G68" s="272"/>
      <c r="H68" s="272"/>
      <c r="I68" s="272"/>
      <c r="J68" s="272"/>
      <c r="K68" s="272"/>
      <c r="L68" s="272"/>
      <c r="M68" s="272"/>
      <c r="N68" s="272"/>
      <c r="O68" s="272"/>
      <c r="P68" s="272"/>
      <c r="Q68" s="272"/>
      <c r="R68" s="272"/>
      <c r="S68" s="272"/>
      <c r="T68" s="272"/>
      <c r="U68" s="272"/>
      <c r="V68" s="272"/>
      <c r="W68" s="272"/>
      <c r="X68" s="272"/>
      <c r="Y68" s="272"/>
      <c r="Z68" s="272"/>
    </row>
    <row r="69" spans="1:26" ht="15.75" customHeight="1" x14ac:dyDescent="0.2">
      <c r="A69" s="272"/>
      <c r="B69" s="272"/>
      <c r="C69" s="272"/>
      <c r="D69" s="272"/>
      <c r="E69" s="272"/>
      <c r="F69" s="272"/>
      <c r="G69" s="272"/>
      <c r="H69" s="272"/>
      <c r="I69" s="272"/>
      <c r="J69" s="272"/>
      <c r="K69" s="272"/>
      <c r="L69" s="272"/>
      <c r="M69" s="272"/>
      <c r="N69" s="272"/>
      <c r="O69" s="272"/>
      <c r="P69" s="272"/>
      <c r="Q69" s="272"/>
      <c r="R69" s="272"/>
      <c r="S69" s="272"/>
      <c r="T69" s="272"/>
      <c r="U69" s="272"/>
      <c r="V69" s="272"/>
      <c r="W69" s="272"/>
      <c r="X69" s="272"/>
      <c r="Y69" s="272"/>
      <c r="Z69" s="272"/>
    </row>
    <row r="70" spans="1:26" ht="15.75" customHeight="1" x14ac:dyDescent="0.2">
      <c r="A70" s="272"/>
      <c r="B70" s="272"/>
      <c r="C70" s="272"/>
      <c r="D70" s="272"/>
      <c r="E70" s="272"/>
      <c r="F70" s="272"/>
      <c r="G70" s="272"/>
      <c r="H70" s="272"/>
      <c r="I70" s="272"/>
      <c r="J70" s="272"/>
      <c r="K70" s="272"/>
      <c r="L70" s="272"/>
      <c r="M70" s="272"/>
      <c r="N70" s="272"/>
      <c r="O70" s="272"/>
      <c r="P70" s="272"/>
      <c r="Q70" s="272"/>
      <c r="R70" s="272"/>
      <c r="S70" s="272"/>
      <c r="T70" s="272"/>
      <c r="U70" s="272"/>
      <c r="V70" s="272"/>
      <c r="W70" s="272"/>
      <c r="X70" s="272"/>
      <c r="Y70" s="272"/>
      <c r="Z70" s="272"/>
    </row>
    <row r="71" spans="1:26" ht="15.75" customHeight="1" x14ac:dyDescent="0.2">
      <c r="A71" s="272"/>
      <c r="B71" s="272"/>
      <c r="C71" s="272"/>
      <c r="D71" s="272"/>
      <c r="E71" s="272"/>
      <c r="F71" s="272"/>
      <c r="G71" s="272"/>
      <c r="H71" s="272"/>
      <c r="I71" s="272"/>
      <c r="J71" s="272"/>
      <c r="K71" s="272"/>
      <c r="L71" s="272"/>
      <c r="M71" s="272"/>
      <c r="N71" s="272"/>
      <c r="O71" s="272"/>
      <c r="P71" s="272"/>
      <c r="Q71" s="272"/>
      <c r="R71" s="272"/>
      <c r="S71" s="272"/>
      <c r="T71" s="272"/>
      <c r="U71" s="272"/>
      <c r="V71" s="272"/>
      <c r="W71" s="272"/>
      <c r="X71" s="272"/>
      <c r="Y71" s="272"/>
      <c r="Z71" s="272"/>
    </row>
    <row r="72" spans="1:26" ht="15.75" customHeight="1" x14ac:dyDescent="0.2">
      <c r="A72" s="272"/>
      <c r="B72" s="272"/>
      <c r="C72" s="272"/>
      <c r="D72" s="272"/>
      <c r="E72" s="272"/>
      <c r="F72" s="272"/>
      <c r="G72" s="272"/>
      <c r="H72" s="272"/>
      <c r="I72" s="272"/>
      <c r="J72" s="272"/>
      <c r="K72" s="272"/>
      <c r="L72" s="272"/>
      <c r="M72" s="272"/>
      <c r="N72" s="272"/>
      <c r="O72" s="272"/>
      <c r="P72" s="272"/>
      <c r="Q72" s="272"/>
      <c r="R72" s="272"/>
      <c r="S72" s="272"/>
      <c r="T72" s="272"/>
      <c r="U72" s="272"/>
      <c r="V72" s="272"/>
      <c r="W72" s="272"/>
      <c r="X72" s="272"/>
      <c r="Y72" s="272"/>
      <c r="Z72" s="272"/>
    </row>
    <row r="73" spans="1:26" ht="15.75" customHeight="1" x14ac:dyDescent="0.2">
      <c r="A73" s="272"/>
      <c r="B73" s="272"/>
      <c r="C73" s="272"/>
      <c r="D73" s="272"/>
      <c r="E73" s="272"/>
      <c r="F73" s="272"/>
      <c r="G73" s="272"/>
      <c r="H73" s="272"/>
      <c r="I73" s="272"/>
      <c r="J73" s="272"/>
      <c r="K73" s="272"/>
      <c r="L73" s="272"/>
      <c r="M73" s="272"/>
      <c r="N73" s="272"/>
      <c r="O73" s="272"/>
      <c r="P73" s="272"/>
      <c r="Q73" s="272"/>
      <c r="R73" s="272"/>
      <c r="S73" s="272"/>
      <c r="T73" s="272"/>
      <c r="U73" s="272"/>
      <c r="V73" s="272"/>
      <c r="W73" s="272"/>
      <c r="X73" s="272"/>
      <c r="Y73" s="272"/>
      <c r="Z73" s="272"/>
    </row>
    <row r="74" spans="1:26" ht="15.75" customHeight="1" x14ac:dyDescent="0.2">
      <c r="A74" s="272"/>
      <c r="B74" s="272"/>
      <c r="C74" s="272"/>
      <c r="D74" s="272"/>
      <c r="E74" s="272"/>
      <c r="F74" s="272"/>
      <c r="G74" s="272"/>
      <c r="H74" s="272"/>
      <c r="I74" s="272"/>
      <c r="J74" s="272"/>
      <c r="K74" s="272"/>
      <c r="L74" s="272"/>
      <c r="M74" s="272"/>
      <c r="N74" s="272"/>
      <c r="O74" s="272"/>
      <c r="P74" s="272"/>
      <c r="Q74" s="272"/>
      <c r="R74" s="272"/>
      <c r="S74" s="272"/>
      <c r="T74" s="272"/>
      <c r="U74" s="272"/>
      <c r="V74" s="272"/>
      <c r="W74" s="272"/>
      <c r="X74" s="272"/>
      <c r="Y74" s="272"/>
      <c r="Z74" s="272"/>
    </row>
    <row r="75" spans="1:26" ht="15.75" customHeight="1" x14ac:dyDescent="0.2">
      <c r="A75" s="272"/>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c r="Z75" s="272"/>
    </row>
    <row r="76" spans="1:26" ht="15.75" customHeight="1" x14ac:dyDescent="0.2">
      <c r="A76" s="272"/>
      <c r="B76" s="272"/>
      <c r="C76" s="272"/>
      <c r="D76" s="272"/>
      <c r="E76" s="272"/>
      <c r="F76" s="272"/>
      <c r="G76" s="272"/>
      <c r="H76" s="272"/>
      <c r="I76" s="272"/>
      <c r="J76" s="272"/>
      <c r="K76" s="272"/>
      <c r="L76" s="272"/>
      <c r="M76" s="272"/>
      <c r="N76" s="272"/>
      <c r="O76" s="272"/>
      <c r="P76" s="272"/>
      <c r="Q76" s="272"/>
      <c r="R76" s="272"/>
      <c r="S76" s="272"/>
      <c r="T76" s="272"/>
      <c r="U76" s="272"/>
      <c r="V76" s="272"/>
      <c r="W76" s="272"/>
      <c r="X76" s="272"/>
      <c r="Y76" s="272"/>
      <c r="Z76" s="272"/>
    </row>
    <row r="77" spans="1:26" ht="15.75" customHeight="1" x14ac:dyDescent="0.2">
      <c r="A77" s="272"/>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c r="Z77" s="272"/>
    </row>
    <row r="78" spans="1:26" ht="15.75" customHeight="1" x14ac:dyDescent="0.2">
      <c r="A78" s="272"/>
      <c r="B78" s="272"/>
      <c r="C78" s="272"/>
      <c r="D78" s="272"/>
      <c r="E78" s="272"/>
      <c r="F78" s="272"/>
      <c r="G78" s="272"/>
      <c r="H78" s="272"/>
      <c r="I78" s="272"/>
      <c r="J78" s="272"/>
      <c r="K78" s="272"/>
      <c r="L78" s="272"/>
      <c r="M78" s="272"/>
      <c r="N78" s="272"/>
      <c r="O78" s="272"/>
      <c r="P78" s="272"/>
      <c r="Q78" s="272"/>
      <c r="R78" s="272"/>
      <c r="S78" s="272"/>
      <c r="T78" s="272"/>
      <c r="U78" s="272"/>
      <c r="V78" s="272"/>
      <c r="W78" s="272"/>
      <c r="X78" s="272"/>
      <c r="Y78" s="272"/>
      <c r="Z78" s="272"/>
    </row>
    <row r="79" spans="1:26" ht="15.75" customHeight="1" x14ac:dyDescent="0.2">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c r="Z79" s="272"/>
    </row>
    <row r="80" spans="1:26" ht="15.75" customHeight="1" x14ac:dyDescent="0.2">
      <c r="A80" s="272"/>
      <c r="B80" s="272"/>
      <c r="C80" s="272"/>
      <c r="D80" s="272"/>
      <c r="E80" s="272"/>
      <c r="F80" s="272"/>
      <c r="G80" s="272"/>
      <c r="H80" s="272"/>
      <c r="I80" s="272"/>
      <c r="J80" s="272"/>
      <c r="K80" s="272"/>
      <c r="L80" s="272"/>
      <c r="M80" s="272"/>
      <c r="N80" s="272"/>
      <c r="O80" s="272"/>
      <c r="P80" s="272"/>
      <c r="Q80" s="272"/>
      <c r="R80" s="272"/>
      <c r="S80" s="272"/>
      <c r="T80" s="272"/>
      <c r="U80" s="272"/>
      <c r="V80" s="272"/>
      <c r="W80" s="272"/>
      <c r="X80" s="272"/>
      <c r="Y80" s="272"/>
      <c r="Z80" s="272"/>
    </row>
    <row r="81" spans="1:26" ht="15.75" customHeight="1" x14ac:dyDescent="0.2">
      <c r="A81" s="272"/>
      <c r="B81" s="272"/>
      <c r="C81" s="272"/>
      <c r="D81" s="272"/>
      <c r="E81" s="272"/>
      <c r="F81" s="272"/>
      <c r="G81" s="272"/>
      <c r="H81" s="272"/>
      <c r="I81" s="272"/>
      <c r="J81" s="272"/>
      <c r="K81" s="272"/>
      <c r="L81" s="272"/>
      <c r="M81" s="272"/>
      <c r="N81" s="272"/>
      <c r="O81" s="272"/>
      <c r="P81" s="272"/>
      <c r="Q81" s="272"/>
      <c r="R81" s="272"/>
      <c r="S81" s="272"/>
      <c r="T81" s="272"/>
      <c r="U81" s="272"/>
      <c r="V81" s="272"/>
      <c r="W81" s="272"/>
      <c r="X81" s="272"/>
      <c r="Y81" s="272"/>
      <c r="Z81" s="272"/>
    </row>
    <row r="82" spans="1:26" ht="15.75" customHeight="1" x14ac:dyDescent="0.2">
      <c r="A82" s="272"/>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c r="Z82" s="272"/>
    </row>
    <row r="83" spans="1:26" ht="15.75" customHeight="1" x14ac:dyDescent="0.2">
      <c r="A83" s="272"/>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c r="Z83" s="272"/>
    </row>
    <row r="84" spans="1:26" ht="15.75" customHeight="1" x14ac:dyDescent="0.2">
      <c r="A84" s="272"/>
      <c r="B84" s="272"/>
      <c r="C84" s="272"/>
      <c r="D84" s="272"/>
      <c r="E84" s="272"/>
      <c r="F84" s="272"/>
      <c r="G84" s="272"/>
      <c r="H84" s="272"/>
      <c r="I84" s="272"/>
      <c r="J84" s="272"/>
      <c r="K84" s="272"/>
      <c r="L84" s="272"/>
      <c r="M84" s="272"/>
      <c r="N84" s="272"/>
      <c r="O84" s="272"/>
      <c r="P84" s="272"/>
      <c r="Q84" s="272"/>
      <c r="R84" s="272"/>
      <c r="S84" s="272"/>
      <c r="T84" s="272"/>
      <c r="U84" s="272"/>
      <c r="V84" s="272"/>
      <c r="W84" s="272"/>
      <c r="X84" s="272"/>
      <c r="Y84" s="272"/>
      <c r="Z84" s="272"/>
    </row>
    <row r="85" spans="1:26" ht="15.75" customHeight="1" x14ac:dyDescent="0.2">
      <c r="A85" s="272"/>
      <c r="B85" s="272"/>
      <c r="C85" s="272"/>
      <c r="D85" s="272"/>
      <c r="E85" s="272"/>
      <c r="F85" s="272"/>
      <c r="G85" s="272"/>
      <c r="H85" s="272"/>
      <c r="I85" s="272"/>
      <c r="J85" s="272"/>
      <c r="K85" s="272"/>
      <c r="L85" s="272"/>
      <c r="M85" s="272"/>
      <c r="N85" s="272"/>
      <c r="O85" s="272"/>
      <c r="P85" s="272"/>
      <c r="Q85" s="272"/>
      <c r="R85" s="272"/>
      <c r="S85" s="272"/>
      <c r="T85" s="272"/>
      <c r="U85" s="272"/>
      <c r="V85" s="272"/>
      <c r="W85" s="272"/>
      <c r="X85" s="272"/>
      <c r="Y85" s="272"/>
      <c r="Z85" s="272"/>
    </row>
    <row r="86" spans="1:26" ht="15.75" customHeight="1" x14ac:dyDescent="0.2">
      <c r="A86" s="272"/>
      <c r="B86" s="272"/>
      <c r="C86" s="272"/>
      <c r="D86" s="272"/>
      <c r="E86" s="272"/>
      <c r="F86" s="272"/>
      <c r="G86" s="272"/>
      <c r="H86" s="272"/>
      <c r="I86" s="272"/>
      <c r="J86" s="272"/>
      <c r="K86" s="272"/>
      <c r="L86" s="272"/>
      <c r="M86" s="272"/>
      <c r="N86" s="272"/>
      <c r="O86" s="272"/>
      <c r="P86" s="272"/>
      <c r="Q86" s="272"/>
      <c r="R86" s="272"/>
      <c r="S86" s="272"/>
      <c r="T86" s="272"/>
      <c r="U86" s="272"/>
      <c r="V86" s="272"/>
      <c r="W86" s="272"/>
      <c r="X86" s="272"/>
      <c r="Y86" s="272"/>
      <c r="Z86" s="272"/>
    </row>
    <row r="87" spans="1:26" ht="15.75" customHeight="1" x14ac:dyDescent="0.2">
      <c r="A87" s="272"/>
      <c r="B87" s="272"/>
      <c r="C87" s="272"/>
      <c r="D87" s="272"/>
      <c r="E87" s="272"/>
      <c r="F87" s="272"/>
      <c r="G87" s="272"/>
      <c r="H87" s="272"/>
      <c r="I87" s="272"/>
      <c r="J87" s="272"/>
      <c r="K87" s="272"/>
      <c r="L87" s="272"/>
      <c r="M87" s="272"/>
      <c r="N87" s="272"/>
      <c r="O87" s="272"/>
      <c r="P87" s="272"/>
      <c r="Q87" s="272"/>
      <c r="R87" s="272"/>
      <c r="S87" s="272"/>
      <c r="T87" s="272"/>
      <c r="U87" s="272"/>
      <c r="V87" s="272"/>
      <c r="W87" s="272"/>
      <c r="X87" s="272"/>
      <c r="Y87" s="272"/>
      <c r="Z87" s="272"/>
    </row>
    <row r="88" spans="1:26" ht="15.75" customHeight="1" x14ac:dyDescent="0.2">
      <c r="A88" s="272"/>
      <c r="B88" s="272"/>
      <c r="C88" s="272"/>
      <c r="D88" s="272"/>
      <c r="E88" s="272"/>
      <c r="F88" s="272"/>
      <c r="G88" s="272"/>
      <c r="H88" s="272"/>
      <c r="I88" s="272"/>
      <c r="J88" s="272"/>
      <c r="K88" s="272"/>
      <c r="L88" s="272"/>
      <c r="M88" s="272"/>
      <c r="N88" s="272"/>
      <c r="O88" s="272"/>
      <c r="P88" s="272"/>
      <c r="Q88" s="272"/>
      <c r="R88" s="272"/>
      <c r="S88" s="272"/>
      <c r="T88" s="272"/>
      <c r="U88" s="272"/>
      <c r="V88" s="272"/>
      <c r="W88" s="272"/>
      <c r="X88" s="272"/>
      <c r="Y88" s="272"/>
      <c r="Z88" s="272"/>
    </row>
    <row r="89" spans="1:26" ht="15.75" customHeight="1" x14ac:dyDescent="0.2">
      <c r="A89" s="272"/>
      <c r="B89" s="272"/>
      <c r="C89" s="272"/>
      <c r="D89" s="272"/>
      <c r="E89" s="272"/>
      <c r="F89" s="272"/>
      <c r="G89" s="272"/>
      <c r="H89" s="272"/>
      <c r="I89" s="272"/>
      <c r="J89" s="272"/>
      <c r="K89" s="272"/>
      <c r="L89" s="272"/>
      <c r="M89" s="272"/>
      <c r="N89" s="272"/>
      <c r="O89" s="272"/>
      <c r="P89" s="272"/>
      <c r="Q89" s="272"/>
      <c r="R89" s="272"/>
      <c r="S89" s="272"/>
      <c r="T89" s="272"/>
      <c r="U89" s="272"/>
      <c r="V89" s="272"/>
      <c r="W89" s="272"/>
      <c r="X89" s="272"/>
      <c r="Y89" s="272"/>
      <c r="Z89" s="272"/>
    </row>
    <row r="90" spans="1:26" ht="15.75" customHeight="1" x14ac:dyDescent="0.2">
      <c r="A90" s="272"/>
      <c r="B90" s="272"/>
      <c r="C90" s="272"/>
      <c r="D90" s="272"/>
      <c r="E90" s="272"/>
      <c r="F90" s="272"/>
      <c r="G90" s="272"/>
      <c r="H90" s="272"/>
      <c r="I90" s="272"/>
      <c r="J90" s="272"/>
      <c r="K90" s="272"/>
      <c r="L90" s="272"/>
      <c r="M90" s="272"/>
      <c r="N90" s="272"/>
      <c r="O90" s="272"/>
      <c r="P90" s="272"/>
      <c r="Q90" s="272"/>
      <c r="R90" s="272"/>
      <c r="S90" s="272"/>
      <c r="T90" s="272"/>
      <c r="U90" s="272"/>
      <c r="V90" s="272"/>
      <c r="W90" s="272"/>
      <c r="X90" s="272"/>
      <c r="Y90" s="272"/>
      <c r="Z90" s="272"/>
    </row>
    <row r="91" spans="1:26" ht="15.75" customHeight="1" x14ac:dyDescent="0.2">
      <c r="A91" s="272"/>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c r="Z91" s="272"/>
    </row>
    <row r="92" spans="1:26" ht="15.75" customHeight="1" x14ac:dyDescent="0.2">
      <c r="A92" s="272"/>
      <c r="B92" s="272"/>
      <c r="C92" s="272"/>
      <c r="D92" s="272"/>
      <c r="E92" s="272"/>
      <c r="F92" s="272"/>
      <c r="G92" s="272"/>
      <c r="H92" s="272"/>
      <c r="I92" s="272"/>
      <c r="J92" s="272"/>
      <c r="K92" s="272"/>
      <c r="L92" s="272"/>
      <c r="M92" s="272"/>
      <c r="N92" s="272"/>
      <c r="O92" s="272"/>
      <c r="P92" s="272"/>
      <c r="Q92" s="272"/>
      <c r="R92" s="272"/>
      <c r="S92" s="272"/>
      <c r="T92" s="272"/>
      <c r="U92" s="272"/>
      <c r="V92" s="272"/>
      <c r="W92" s="272"/>
      <c r="X92" s="272"/>
      <c r="Y92" s="272"/>
      <c r="Z92" s="272"/>
    </row>
    <row r="93" spans="1:26" ht="15.75" customHeight="1" x14ac:dyDescent="0.2">
      <c r="A93" s="272"/>
      <c r="B93" s="272"/>
      <c r="C93" s="272"/>
      <c r="D93" s="272"/>
      <c r="E93" s="272"/>
      <c r="F93" s="272"/>
      <c r="G93" s="272"/>
      <c r="H93" s="272"/>
      <c r="I93" s="272"/>
      <c r="J93" s="272"/>
      <c r="K93" s="272"/>
      <c r="L93" s="272"/>
      <c r="M93" s="272"/>
      <c r="N93" s="272"/>
      <c r="O93" s="272"/>
      <c r="P93" s="272"/>
      <c r="Q93" s="272"/>
      <c r="R93" s="272"/>
      <c r="S93" s="272"/>
      <c r="T93" s="272"/>
      <c r="U93" s="272"/>
      <c r="V93" s="272"/>
      <c r="W93" s="272"/>
      <c r="X93" s="272"/>
      <c r="Y93" s="272"/>
      <c r="Z93" s="272"/>
    </row>
    <row r="94" spans="1:26" ht="15.75" customHeight="1" x14ac:dyDescent="0.2">
      <c r="A94" s="272"/>
      <c r="B94" s="272"/>
      <c r="C94" s="272"/>
      <c r="D94" s="272"/>
      <c r="E94" s="272"/>
      <c r="F94" s="272"/>
      <c r="G94" s="272"/>
      <c r="H94" s="272"/>
      <c r="I94" s="272"/>
      <c r="J94" s="272"/>
      <c r="K94" s="272"/>
      <c r="L94" s="272"/>
      <c r="M94" s="272"/>
      <c r="N94" s="272"/>
      <c r="O94" s="272"/>
      <c r="P94" s="272"/>
      <c r="Q94" s="272"/>
      <c r="R94" s="272"/>
      <c r="S94" s="272"/>
      <c r="T94" s="272"/>
      <c r="U94" s="272"/>
      <c r="V94" s="272"/>
      <c r="W94" s="272"/>
      <c r="X94" s="272"/>
      <c r="Y94" s="272"/>
      <c r="Z94" s="272"/>
    </row>
    <row r="95" spans="1:26" ht="15.75" customHeight="1" x14ac:dyDescent="0.2">
      <c r="A95" s="272"/>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c r="Z95" s="272"/>
    </row>
    <row r="96" spans="1:26" ht="15.75" customHeight="1" x14ac:dyDescent="0.2">
      <c r="A96" s="272"/>
      <c r="B96" s="272"/>
      <c r="C96" s="272"/>
      <c r="D96" s="272"/>
      <c r="E96" s="272"/>
      <c r="F96" s="272"/>
      <c r="G96" s="272"/>
      <c r="H96" s="272"/>
      <c r="I96" s="272"/>
      <c r="J96" s="272"/>
      <c r="K96" s="272"/>
      <c r="L96" s="272"/>
      <c r="M96" s="272"/>
      <c r="N96" s="272"/>
      <c r="O96" s="272"/>
      <c r="P96" s="272"/>
      <c r="Q96" s="272"/>
      <c r="R96" s="272"/>
      <c r="S96" s="272"/>
      <c r="T96" s="272"/>
      <c r="U96" s="272"/>
      <c r="V96" s="272"/>
      <c r="W96" s="272"/>
      <c r="X96" s="272"/>
      <c r="Y96" s="272"/>
      <c r="Z96" s="272"/>
    </row>
    <row r="97" spans="1:26" ht="15.75" customHeight="1" x14ac:dyDescent="0.2">
      <c r="A97" s="272"/>
      <c r="B97" s="272"/>
      <c r="C97" s="272"/>
      <c r="D97" s="272"/>
      <c r="E97" s="272"/>
      <c r="F97" s="272"/>
      <c r="G97" s="272"/>
      <c r="H97" s="272"/>
      <c r="I97" s="272"/>
      <c r="J97" s="272"/>
      <c r="K97" s="272"/>
      <c r="L97" s="272"/>
      <c r="M97" s="272"/>
      <c r="N97" s="272"/>
      <c r="O97" s="272"/>
      <c r="P97" s="272"/>
      <c r="Q97" s="272"/>
      <c r="R97" s="272"/>
      <c r="S97" s="272"/>
      <c r="T97" s="272"/>
      <c r="U97" s="272"/>
      <c r="V97" s="272"/>
      <c r="W97" s="272"/>
      <c r="X97" s="272"/>
      <c r="Y97" s="272"/>
      <c r="Z97" s="272"/>
    </row>
    <row r="98" spans="1:26" ht="15.75" customHeight="1" x14ac:dyDescent="0.2">
      <c r="A98" s="272"/>
      <c r="B98" s="272"/>
      <c r="C98" s="272"/>
      <c r="D98" s="272"/>
      <c r="E98" s="272"/>
      <c r="F98" s="272"/>
      <c r="G98" s="272"/>
      <c r="H98" s="272"/>
      <c r="I98" s="272"/>
      <c r="J98" s="272"/>
      <c r="K98" s="272"/>
      <c r="L98" s="272"/>
      <c r="M98" s="272"/>
      <c r="N98" s="272"/>
      <c r="O98" s="272"/>
      <c r="P98" s="272"/>
      <c r="Q98" s="272"/>
      <c r="R98" s="272"/>
      <c r="S98" s="272"/>
      <c r="T98" s="272"/>
      <c r="U98" s="272"/>
      <c r="V98" s="272"/>
      <c r="W98" s="272"/>
      <c r="X98" s="272"/>
      <c r="Y98" s="272"/>
      <c r="Z98" s="272"/>
    </row>
    <row r="99" spans="1:26" ht="15.75" customHeight="1" x14ac:dyDescent="0.2">
      <c r="A99" s="272"/>
      <c r="B99" s="272"/>
      <c r="C99" s="272"/>
      <c r="D99" s="272"/>
      <c r="E99" s="272"/>
      <c r="F99" s="272"/>
      <c r="G99" s="272"/>
      <c r="H99" s="272"/>
      <c r="I99" s="272"/>
      <c r="J99" s="272"/>
      <c r="K99" s="272"/>
      <c r="L99" s="272"/>
      <c r="M99" s="272"/>
      <c r="N99" s="272"/>
      <c r="O99" s="272"/>
      <c r="P99" s="272"/>
      <c r="Q99" s="272"/>
      <c r="R99" s="272"/>
      <c r="S99" s="272"/>
      <c r="T99" s="272"/>
      <c r="U99" s="272"/>
      <c r="V99" s="272"/>
      <c r="W99" s="272"/>
      <c r="X99" s="272"/>
      <c r="Y99" s="272"/>
      <c r="Z99" s="272"/>
    </row>
    <row r="100" spans="1:26" ht="15.75" customHeight="1" x14ac:dyDescent="0.2">
      <c r="A100" s="272"/>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c r="Z100" s="272"/>
    </row>
    <row r="101" spans="1:26" ht="15.75" customHeight="1" x14ac:dyDescent="0.2">
      <c r="A101" s="272"/>
      <c r="B101" s="272"/>
      <c r="C101" s="272"/>
      <c r="D101" s="272"/>
      <c r="E101" s="272"/>
      <c r="F101" s="272"/>
      <c r="G101" s="272"/>
      <c r="H101" s="272"/>
      <c r="I101" s="272"/>
      <c r="J101" s="272"/>
      <c r="K101" s="272"/>
      <c r="L101" s="272"/>
      <c r="M101" s="272"/>
      <c r="N101" s="272"/>
      <c r="O101" s="272"/>
      <c r="P101" s="272"/>
      <c r="Q101" s="272"/>
      <c r="R101" s="272"/>
      <c r="S101" s="272"/>
      <c r="T101" s="272"/>
      <c r="U101" s="272"/>
      <c r="V101" s="272"/>
      <c r="W101" s="272"/>
      <c r="X101" s="272"/>
      <c r="Y101" s="272"/>
      <c r="Z101" s="272"/>
    </row>
    <row r="102" spans="1:26" ht="15.75" customHeight="1" x14ac:dyDescent="0.2">
      <c r="A102" s="272"/>
      <c r="B102" s="272"/>
      <c r="C102" s="272"/>
      <c r="D102" s="272"/>
      <c r="E102" s="272"/>
      <c r="F102" s="272"/>
      <c r="G102" s="272"/>
      <c r="H102" s="272"/>
      <c r="I102" s="272"/>
      <c r="J102" s="272"/>
      <c r="K102" s="272"/>
      <c r="L102" s="272"/>
      <c r="M102" s="272"/>
      <c r="N102" s="272"/>
      <c r="O102" s="272"/>
      <c r="P102" s="272"/>
      <c r="Q102" s="272"/>
      <c r="R102" s="272"/>
      <c r="S102" s="272"/>
      <c r="T102" s="272"/>
      <c r="U102" s="272"/>
      <c r="V102" s="272"/>
      <c r="W102" s="272"/>
      <c r="X102" s="272"/>
      <c r="Y102" s="272"/>
      <c r="Z102" s="272"/>
    </row>
    <row r="103" spans="1:26" ht="15.75" customHeight="1" x14ac:dyDescent="0.2">
      <c r="A103" s="272"/>
      <c r="B103" s="272"/>
      <c r="C103" s="272"/>
      <c r="D103" s="272"/>
      <c r="E103" s="272"/>
      <c r="F103" s="272"/>
      <c r="G103" s="272"/>
      <c r="H103" s="272"/>
      <c r="I103" s="272"/>
      <c r="J103" s="272"/>
      <c r="K103" s="272"/>
      <c r="L103" s="272"/>
      <c r="M103" s="272"/>
      <c r="N103" s="272"/>
      <c r="O103" s="272"/>
      <c r="P103" s="272"/>
      <c r="Q103" s="272"/>
      <c r="R103" s="272"/>
      <c r="S103" s="272"/>
      <c r="T103" s="272"/>
      <c r="U103" s="272"/>
      <c r="V103" s="272"/>
      <c r="W103" s="272"/>
      <c r="X103" s="272"/>
      <c r="Y103" s="272"/>
      <c r="Z103" s="272"/>
    </row>
    <row r="104" spans="1:26" ht="15.75" customHeight="1" x14ac:dyDescent="0.2">
      <c r="A104" s="272"/>
      <c r="B104" s="272"/>
      <c r="C104" s="272"/>
      <c r="D104" s="272"/>
      <c r="E104" s="272"/>
      <c r="F104" s="272"/>
      <c r="G104" s="272"/>
      <c r="H104" s="272"/>
      <c r="I104" s="272"/>
      <c r="J104" s="272"/>
      <c r="K104" s="272"/>
      <c r="L104" s="272"/>
      <c r="M104" s="272"/>
      <c r="N104" s="272"/>
      <c r="O104" s="272"/>
      <c r="P104" s="272"/>
      <c r="Q104" s="272"/>
      <c r="R104" s="272"/>
      <c r="S104" s="272"/>
      <c r="T104" s="272"/>
      <c r="U104" s="272"/>
      <c r="V104" s="272"/>
      <c r="W104" s="272"/>
      <c r="X104" s="272"/>
      <c r="Y104" s="272"/>
      <c r="Z104" s="272"/>
    </row>
    <row r="105" spans="1:26" ht="15.75" customHeight="1" x14ac:dyDescent="0.2">
      <c r="A105" s="272"/>
      <c r="B105" s="272"/>
      <c r="C105" s="272"/>
      <c r="D105" s="272"/>
      <c r="E105" s="272"/>
      <c r="F105" s="272"/>
      <c r="G105" s="272"/>
      <c r="H105" s="272"/>
      <c r="I105" s="272"/>
      <c r="J105" s="272"/>
      <c r="K105" s="272"/>
      <c r="L105" s="272"/>
      <c r="M105" s="272"/>
      <c r="N105" s="272"/>
      <c r="O105" s="272"/>
      <c r="P105" s="272"/>
      <c r="Q105" s="272"/>
      <c r="R105" s="272"/>
      <c r="S105" s="272"/>
      <c r="T105" s="272"/>
      <c r="U105" s="272"/>
      <c r="V105" s="272"/>
      <c r="W105" s="272"/>
      <c r="X105" s="272"/>
      <c r="Y105" s="272"/>
      <c r="Z105" s="272"/>
    </row>
    <row r="106" spans="1:26" ht="15.75" customHeight="1" x14ac:dyDescent="0.2">
      <c r="A106" s="272"/>
      <c r="B106" s="272"/>
      <c r="C106" s="272"/>
      <c r="D106" s="272"/>
      <c r="E106" s="272"/>
      <c r="F106" s="272"/>
      <c r="G106" s="272"/>
      <c r="H106" s="272"/>
      <c r="I106" s="272"/>
      <c r="J106" s="272"/>
      <c r="K106" s="272"/>
      <c r="L106" s="272"/>
      <c r="M106" s="272"/>
      <c r="N106" s="272"/>
      <c r="O106" s="272"/>
      <c r="P106" s="272"/>
      <c r="Q106" s="272"/>
      <c r="R106" s="272"/>
      <c r="S106" s="272"/>
      <c r="T106" s="272"/>
      <c r="U106" s="272"/>
      <c r="V106" s="272"/>
      <c r="W106" s="272"/>
      <c r="X106" s="272"/>
      <c r="Y106" s="272"/>
      <c r="Z106" s="272"/>
    </row>
    <row r="107" spans="1:26" ht="15.75" customHeight="1" x14ac:dyDescent="0.2">
      <c r="A107" s="272"/>
      <c r="B107" s="272"/>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c r="Z107" s="272"/>
    </row>
    <row r="108" spans="1:26" ht="15.75" customHeight="1" x14ac:dyDescent="0.2">
      <c r="A108" s="272"/>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c r="Z108" s="272"/>
    </row>
    <row r="109" spans="1:26" ht="15.75" customHeight="1" x14ac:dyDescent="0.2">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c r="Z109" s="272"/>
    </row>
    <row r="110" spans="1:26" ht="15.75" customHeight="1" x14ac:dyDescent="0.2">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c r="Z110" s="272"/>
    </row>
    <row r="111" spans="1:26" ht="15.75" customHeight="1" x14ac:dyDescent="0.2">
      <c r="A111" s="272"/>
      <c r="B111" s="272"/>
      <c r="C111" s="272"/>
      <c r="D111" s="272"/>
      <c r="E111" s="272"/>
      <c r="F111" s="272"/>
      <c r="G111" s="272"/>
      <c r="H111" s="272"/>
      <c r="I111" s="272"/>
      <c r="J111" s="272"/>
      <c r="K111" s="272"/>
      <c r="L111" s="272"/>
      <c r="M111" s="272"/>
      <c r="N111" s="272"/>
      <c r="O111" s="272"/>
      <c r="P111" s="272"/>
      <c r="Q111" s="272"/>
      <c r="R111" s="272"/>
      <c r="S111" s="272"/>
      <c r="T111" s="272"/>
      <c r="U111" s="272"/>
      <c r="V111" s="272"/>
      <c r="W111" s="272"/>
      <c r="X111" s="272"/>
      <c r="Y111" s="272"/>
      <c r="Z111" s="272"/>
    </row>
    <row r="112" spans="1:26" ht="15.75" customHeight="1" x14ac:dyDescent="0.2">
      <c r="A112" s="272"/>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c r="Z112" s="272"/>
    </row>
    <row r="113" spans="1:26" ht="15.75" customHeight="1" x14ac:dyDescent="0.2">
      <c r="A113" s="272"/>
      <c r="B113" s="272"/>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c r="Z113" s="272"/>
    </row>
    <row r="114" spans="1:26" ht="15.75" customHeight="1" x14ac:dyDescent="0.2">
      <c r="A114" s="272"/>
      <c r="B114" s="272"/>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c r="Z114" s="272"/>
    </row>
    <row r="115" spans="1:26" ht="15.75" customHeight="1" x14ac:dyDescent="0.2">
      <c r="A115" s="272"/>
      <c r="B115" s="272"/>
      <c r="C115" s="272"/>
      <c r="D115" s="272"/>
      <c r="E115" s="272"/>
      <c r="F115" s="272"/>
      <c r="G115" s="272"/>
      <c r="H115" s="272"/>
      <c r="I115" s="272"/>
      <c r="J115" s="272"/>
      <c r="K115" s="272"/>
      <c r="L115" s="272"/>
      <c r="M115" s="272"/>
      <c r="N115" s="272"/>
      <c r="O115" s="272"/>
      <c r="P115" s="272"/>
      <c r="Q115" s="272"/>
      <c r="R115" s="272"/>
      <c r="S115" s="272"/>
      <c r="T115" s="272"/>
      <c r="U115" s="272"/>
      <c r="V115" s="272"/>
      <c r="W115" s="272"/>
      <c r="X115" s="272"/>
      <c r="Y115" s="272"/>
      <c r="Z115" s="272"/>
    </row>
    <row r="116" spans="1:26" ht="15.75" customHeight="1" x14ac:dyDescent="0.2">
      <c r="A116" s="272"/>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c r="Z116" s="272"/>
    </row>
    <row r="117" spans="1:26" ht="15.75" customHeight="1" x14ac:dyDescent="0.2">
      <c r="A117" s="272"/>
      <c r="B117" s="272"/>
      <c r="C117" s="272"/>
      <c r="D117" s="272"/>
      <c r="E117" s="272"/>
      <c r="F117" s="272"/>
      <c r="G117" s="272"/>
      <c r="H117" s="272"/>
      <c r="I117" s="272"/>
      <c r="J117" s="272"/>
      <c r="K117" s="272"/>
      <c r="L117" s="272"/>
      <c r="M117" s="272"/>
      <c r="N117" s="272"/>
      <c r="O117" s="272"/>
      <c r="P117" s="272"/>
      <c r="Q117" s="272"/>
      <c r="R117" s="272"/>
      <c r="S117" s="272"/>
      <c r="T117" s="272"/>
      <c r="U117" s="272"/>
      <c r="V117" s="272"/>
      <c r="W117" s="272"/>
      <c r="X117" s="272"/>
      <c r="Y117" s="272"/>
      <c r="Z117" s="272"/>
    </row>
    <row r="118" spans="1:26" ht="15.75" customHeight="1" x14ac:dyDescent="0.2">
      <c r="A118" s="272"/>
      <c r="B118" s="272"/>
      <c r="C118" s="272"/>
      <c r="D118" s="272"/>
      <c r="E118" s="272"/>
      <c r="F118" s="272"/>
      <c r="G118" s="272"/>
      <c r="H118" s="272"/>
      <c r="I118" s="272"/>
      <c r="J118" s="272"/>
      <c r="K118" s="272"/>
      <c r="L118" s="272"/>
      <c r="M118" s="272"/>
      <c r="N118" s="272"/>
      <c r="O118" s="272"/>
      <c r="P118" s="272"/>
      <c r="Q118" s="272"/>
      <c r="R118" s="272"/>
      <c r="S118" s="272"/>
      <c r="T118" s="272"/>
      <c r="U118" s="272"/>
      <c r="V118" s="272"/>
      <c r="W118" s="272"/>
      <c r="X118" s="272"/>
      <c r="Y118" s="272"/>
      <c r="Z118" s="272"/>
    </row>
    <row r="119" spans="1:26" ht="15.75" customHeight="1" x14ac:dyDescent="0.2">
      <c r="A119" s="272"/>
      <c r="B119" s="272"/>
      <c r="C119" s="272"/>
      <c r="D119" s="272"/>
      <c r="E119" s="272"/>
      <c r="F119" s="272"/>
      <c r="G119" s="272"/>
      <c r="H119" s="272"/>
      <c r="I119" s="272"/>
      <c r="J119" s="272"/>
      <c r="K119" s="272"/>
      <c r="L119" s="272"/>
      <c r="M119" s="272"/>
      <c r="N119" s="272"/>
      <c r="O119" s="272"/>
      <c r="P119" s="272"/>
      <c r="Q119" s="272"/>
      <c r="R119" s="272"/>
      <c r="S119" s="272"/>
      <c r="T119" s="272"/>
      <c r="U119" s="272"/>
      <c r="V119" s="272"/>
      <c r="W119" s="272"/>
      <c r="X119" s="272"/>
      <c r="Y119" s="272"/>
      <c r="Z119" s="272"/>
    </row>
    <row r="120" spans="1:26" ht="15.75" customHeight="1" x14ac:dyDescent="0.2">
      <c r="A120" s="272"/>
      <c r="B120" s="272"/>
      <c r="C120" s="272"/>
      <c r="D120" s="272"/>
      <c r="E120" s="272"/>
      <c r="F120" s="272"/>
      <c r="G120" s="272"/>
      <c r="H120" s="272"/>
      <c r="I120" s="272"/>
      <c r="J120" s="272"/>
      <c r="K120" s="272"/>
      <c r="L120" s="272"/>
      <c r="M120" s="272"/>
      <c r="N120" s="272"/>
      <c r="O120" s="272"/>
      <c r="P120" s="272"/>
      <c r="Q120" s="272"/>
      <c r="R120" s="272"/>
      <c r="S120" s="272"/>
      <c r="T120" s="272"/>
      <c r="U120" s="272"/>
      <c r="V120" s="272"/>
      <c r="W120" s="272"/>
      <c r="X120" s="272"/>
      <c r="Y120" s="272"/>
      <c r="Z120" s="272"/>
    </row>
    <row r="121" spans="1:26" ht="15.75" customHeight="1" x14ac:dyDescent="0.2">
      <c r="A121" s="272"/>
      <c r="B121" s="272"/>
      <c r="C121" s="272"/>
      <c r="D121" s="272"/>
      <c r="E121" s="272"/>
      <c r="F121" s="272"/>
      <c r="G121" s="272"/>
      <c r="H121" s="272"/>
      <c r="I121" s="272"/>
      <c r="J121" s="272"/>
      <c r="K121" s="272"/>
      <c r="L121" s="272"/>
      <c r="M121" s="272"/>
      <c r="N121" s="272"/>
      <c r="O121" s="272"/>
      <c r="P121" s="272"/>
      <c r="Q121" s="272"/>
      <c r="R121" s="272"/>
      <c r="S121" s="272"/>
      <c r="T121" s="272"/>
      <c r="U121" s="272"/>
      <c r="V121" s="272"/>
      <c r="W121" s="272"/>
      <c r="X121" s="272"/>
      <c r="Y121" s="272"/>
      <c r="Z121" s="272"/>
    </row>
    <row r="122" spans="1:26" ht="15.75" customHeight="1" x14ac:dyDescent="0.2">
      <c r="A122" s="272"/>
      <c r="B122" s="272"/>
      <c r="C122" s="272"/>
      <c r="D122" s="272"/>
      <c r="E122" s="272"/>
      <c r="F122" s="272"/>
      <c r="G122" s="272"/>
      <c r="H122" s="272"/>
      <c r="I122" s="272"/>
      <c r="J122" s="272"/>
      <c r="K122" s="272"/>
      <c r="L122" s="272"/>
      <c r="M122" s="272"/>
      <c r="N122" s="272"/>
      <c r="O122" s="272"/>
      <c r="P122" s="272"/>
      <c r="Q122" s="272"/>
      <c r="R122" s="272"/>
      <c r="S122" s="272"/>
      <c r="T122" s="272"/>
      <c r="U122" s="272"/>
      <c r="V122" s="272"/>
      <c r="W122" s="272"/>
      <c r="X122" s="272"/>
      <c r="Y122" s="272"/>
      <c r="Z122" s="272"/>
    </row>
    <row r="123" spans="1:26" ht="15.75" customHeight="1" x14ac:dyDescent="0.2">
      <c r="A123" s="272"/>
      <c r="B123" s="272"/>
      <c r="C123" s="272"/>
      <c r="D123" s="272"/>
      <c r="E123" s="272"/>
      <c r="F123" s="272"/>
      <c r="G123" s="272"/>
      <c r="H123" s="272"/>
      <c r="I123" s="272"/>
      <c r="J123" s="272"/>
      <c r="K123" s="272"/>
      <c r="L123" s="272"/>
      <c r="M123" s="272"/>
      <c r="N123" s="272"/>
      <c r="O123" s="272"/>
      <c r="P123" s="272"/>
      <c r="Q123" s="272"/>
      <c r="R123" s="272"/>
      <c r="S123" s="272"/>
      <c r="T123" s="272"/>
      <c r="U123" s="272"/>
      <c r="V123" s="272"/>
      <c r="W123" s="272"/>
      <c r="X123" s="272"/>
      <c r="Y123" s="272"/>
      <c r="Z123" s="272"/>
    </row>
    <row r="124" spans="1:26" ht="15.75" customHeight="1" x14ac:dyDescent="0.2">
      <c r="A124" s="272"/>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c r="Z124" s="272"/>
    </row>
    <row r="125" spans="1:26" ht="15.75" customHeight="1" x14ac:dyDescent="0.2">
      <c r="A125" s="272"/>
      <c r="B125" s="272"/>
      <c r="C125" s="272"/>
      <c r="D125" s="272"/>
      <c r="E125" s="272"/>
      <c r="F125" s="272"/>
      <c r="G125" s="272"/>
      <c r="H125" s="272"/>
      <c r="I125" s="272"/>
      <c r="J125" s="272"/>
      <c r="K125" s="272"/>
      <c r="L125" s="272"/>
      <c r="M125" s="272"/>
      <c r="N125" s="272"/>
      <c r="O125" s="272"/>
      <c r="P125" s="272"/>
      <c r="Q125" s="272"/>
      <c r="R125" s="272"/>
      <c r="S125" s="272"/>
      <c r="T125" s="272"/>
      <c r="U125" s="272"/>
      <c r="V125" s="272"/>
      <c r="W125" s="272"/>
      <c r="X125" s="272"/>
      <c r="Y125" s="272"/>
      <c r="Z125" s="272"/>
    </row>
    <row r="126" spans="1:26" ht="15.75" customHeight="1" x14ac:dyDescent="0.2">
      <c r="A126" s="272"/>
      <c r="B126" s="272"/>
      <c r="C126" s="272"/>
      <c r="D126" s="272"/>
      <c r="E126" s="272"/>
      <c r="F126" s="272"/>
      <c r="G126" s="272"/>
      <c r="H126" s="272"/>
      <c r="I126" s="272"/>
      <c r="J126" s="272"/>
      <c r="K126" s="272"/>
      <c r="L126" s="272"/>
      <c r="M126" s="272"/>
      <c r="N126" s="272"/>
      <c r="O126" s="272"/>
      <c r="P126" s="272"/>
      <c r="Q126" s="272"/>
      <c r="R126" s="272"/>
      <c r="S126" s="272"/>
      <c r="T126" s="272"/>
      <c r="U126" s="272"/>
      <c r="V126" s="272"/>
      <c r="W126" s="272"/>
      <c r="X126" s="272"/>
      <c r="Y126" s="272"/>
      <c r="Z126" s="272"/>
    </row>
    <row r="127" spans="1:26" ht="15.75" customHeight="1" x14ac:dyDescent="0.2">
      <c r="A127" s="272"/>
      <c r="B127" s="272"/>
      <c r="C127" s="272"/>
      <c r="D127" s="272"/>
      <c r="E127" s="272"/>
      <c r="F127" s="272"/>
      <c r="G127" s="272"/>
      <c r="H127" s="272"/>
      <c r="I127" s="272"/>
      <c r="J127" s="272"/>
      <c r="K127" s="272"/>
      <c r="L127" s="272"/>
      <c r="M127" s="272"/>
      <c r="N127" s="272"/>
      <c r="O127" s="272"/>
      <c r="P127" s="272"/>
      <c r="Q127" s="272"/>
      <c r="R127" s="272"/>
      <c r="S127" s="272"/>
      <c r="T127" s="272"/>
      <c r="U127" s="272"/>
      <c r="V127" s="272"/>
      <c r="W127" s="272"/>
      <c r="X127" s="272"/>
      <c r="Y127" s="272"/>
      <c r="Z127" s="272"/>
    </row>
    <row r="128" spans="1:26" ht="15.75" customHeight="1" x14ac:dyDescent="0.2">
      <c r="A128" s="272"/>
      <c r="B128" s="272"/>
      <c r="C128" s="272"/>
      <c r="D128" s="272"/>
      <c r="E128" s="272"/>
      <c r="F128" s="272"/>
      <c r="G128" s="272"/>
      <c r="H128" s="272"/>
      <c r="I128" s="272"/>
      <c r="J128" s="272"/>
      <c r="K128" s="272"/>
      <c r="L128" s="272"/>
      <c r="M128" s="272"/>
      <c r="N128" s="272"/>
      <c r="O128" s="272"/>
      <c r="P128" s="272"/>
      <c r="Q128" s="272"/>
      <c r="R128" s="272"/>
      <c r="S128" s="272"/>
      <c r="T128" s="272"/>
      <c r="U128" s="272"/>
      <c r="V128" s="272"/>
      <c r="W128" s="272"/>
      <c r="X128" s="272"/>
      <c r="Y128" s="272"/>
      <c r="Z128" s="272"/>
    </row>
    <row r="129" spans="1:26" ht="15.75" customHeight="1" x14ac:dyDescent="0.2">
      <c r="A129" s="272"/>
      <c r="B129" s="272"/>
      <c r="C129" s="272"/>
      <c r="D129" s="272"/>
      <c r="E129" s="272"/>
      <c r="F129" s="272"/>
      <c r="G129" s="272"/>
      <c r="H129" s="272"/>
      <c r="I129" s="272"/>
      <c r="J129" s="272"/>
      <c r="K129" s="272"/>
      <c r="L129" s="272"/>
      <c r="M129" s="272"/>
      <c r="N129" s="272"/>
      <c r="O129" s="272"/>
      <c r="P129" s="272"/>
      <c r="Q129" s="272"/>
      <c r="R129" s="272"/>
      <c r="S129" s="272"/>
      <c r="T129" s="272"/>
      <c r="U129" s="272"/>
      <c r="V129" s="272"/>
      <c r="W129" s="272"/>
      <c r="X129" s="272"/>
      <c r="Y129" s="272"/>
      <c r="Z129" s="272"/>
    </row>
    <row r="130" spans="1:26" ht="15.75" customHeight="1" x14ac:dyDescent="0.2">
      <c r="A130" s="272"/>
      <c r="B130" s="272"/>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c r="Z130" s="272"/>
    </row>
    <row r="131" spans="1:26" ht="15.75" customHeight="1" x14ac:dyDescent="0.2">
      <c r="A131" s="272"/>
      <c r="B131" s="272"/>
      <c r="C131" s="272"/>
      <c r="D131" s="272"/>
      <c r="E131" s="272"/>
      <c r="F131" s="272"/>
      <c r="G131" s="272"/>
      <c r="H131" s="272"/>
      <c r="I131" s="272"/>
      <c r="J131" s="272"/>
      <c r="K131" s="272"/>
      <c r="L131" s="272"/>
      <c r="M131" s="272"/>
      <c r="N131" s="272"/>
      <c r="O131" s="272"/>
      <c r="P131" s="272"/>
      <c r="Q131" s="272"/>
      <c r="R131" s="272"/>
      <c r="S131" s="272"/>
      <c r="T131" s="272"/>
      <c r="U131" s="272"/>
      <c r="V131" s="272"/>
      <c r="W131" s="272"/>
      <c r="X131" s="272"/>
      <c r="Y131" s="272"/>
      <c r="Z131" s="272"/>
    </row>
    <row r="132" spans="1:26" ht="15.75" customHeight="1" x14ac:dyDescent="0.2">
      <c r="A132" s="272"/>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c r="Z132" s="272"/>
    </row>
    <row r="133" spans="1:26" ht="15.75" customHeight="1" x14ac:dyDescent="0.2">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2"/>
      <c r="W133" s="272"/>
      <c r="X133" s="272"/>
      <c r="Y133" s="272"/>
      <c r="Z133" s="272"/>
    </row>
    <row r="134" spans="1:26" ht="15.75" customHeight="1" x14ac:dyDescent="0.2">
      <c r="A134" s="272"/>
      <c r="B134" s="272"/>
      <c r="C134" s="272"/>
      <c r="D134" s="272"/>
      <c r="E134" s="272"/>
      <c r="F134" s="272"/>
      <c r="G134" s="272"/>
      <c r="H134" s="272"/>
      <c r="I134" s="272"/>
      <c r="J134" s="272"/>
      <c r="K134" s="272"/>
      <c r="L134" s="272"/>
      <c r="M134" s="272"/>
      <c r="N134" s="272"/>
      <c r="O134" s="272"/>
      <c r="P134" s="272"/>
      <c r="Q134" s="272"/>
      <c r="R134" s="272"/>
      <c r="S134" s="272"/>
      <c r="T134" s="272"/>
      <c r="U134" s="272"/>
      <c r="V134" s="272"/>
      <c r="W134" s="272"/>
      <c r="X134" s="272"/>
      <c r="Y134" s="272"/>
      <c r="Z134" s="272"/>
    </row>
    <row r="135" spans="1:26" ht="15.75" customHeight="1" x14ac:dyDescent="0.2">
      <c r="A135" s="272"/>
      <c r="B135" s="272"/>
      <c r="C135" s="272"/>
      <c r="D135" s="272"/>
      <c r="E135" s="272"/>
      <c r="F135" s="272"/>
      <c r="G135" s="272"/>
      <c r="H135" s="272"/>
      <c r="I135" s="272"/>
      <c r="J135" s="272"/>
      <c r="K135" s="272"/>
      <c r="L135" s="272"/>
      <c r="M135" s="272"/>
      <c r="N135" s="272"/>
      <c r="O135" s="272"/>
      <c r="P135" s="272"/>
      <c r="Q135" s="272"/>
      <c r="R135" s="272"/>
      <c r="S135" s="272"/>
      <c r="T135" s="272"/>
      <c r="U135" s="272"/>
      <c r="V135" s="272"/>
      <c r="W135" s="272"/>
      <c r="X135" s="272"/>
      <c r="Y135" s="272"/>
      <c r="Z135" s="272"/>
    </row>
    <row r="136" spans="1:26" ht="15.75" customHeight="1" x14ac:dyDescent="0.2">
      <c r="A136" s="272"/>
      <c r="B136" s="272"/>
      <c r="C136" s="272"/>
      <c r="D136" s="272"/>
      <c r="E136" s="272"/>
      <c r="F136" s="272"/>
      <c r="G136" s="272"/>
      <c r="H136" s="272"/>
      <c r="I136" s="272"/>
      <c r="J136" s="272"/>
      <c r="K136" s="272"/>
      <c r="L136" s="272"/>
      <c r="M136" s="272"/>
      <c r="N136" s="272"/>
      <c r="O136" s="272"/>
      <c r="P136" s="272"/>
      <c r="Q136" s="272"/>
      <c r="R136" s="272"/>
      <c r="S136" s="272"/>
      <c r="T136" s="272"/>
      <c r="U136" s="272"/>
      <c r="V136" s="272"/>
      <c r="W136" s="272"/>
      <c r="X136" s="272"/>
      <c r="Y136" s="272"/>
      <c r="Z136" s="272"/>
    </row>
    <row r="137" spans="1:26" ht="15.75" customHeight="1" x14ac:dyDescent="0.2">
      <c r="A137" s="272"/>
      <c r="B137" s="272"/>
      <c r="C137" s="272"/>
      <c r="D137" s="272"/>
      <c r="E137" s="272"/>
      <c r="F137" s="272"/>
      <c r="G137" s="272"/>
      <c r="H137" s="272"/>
      <c r="I137" s="272"/>
      <c r="J137" s="272"/>
      <c r="K137" s="272"/>
      <c r="L137" s="272"/>
      <c r="M137" s="272"/>
      <c r="N137" s="272"/>
      <c r="O137" s="272"/>
      <c r="P137" s="272"/>
      <c r="Q137" s="272"/>
      <c r="R137" s="272"/>
      <c r="S137" s="272"/>
      <c r="T137" s="272"/>
      <c r="U137" s="272"/>
      <c r="V137" s="272"/>
      <c r="W137" s="272"/>
      <c r="X137" s="272"/>
      <c r="Y137" s="272"/>
      <c r="Z137" s="272"/>
    </row>
    <row r="138" spans="1:26" ht="15.75" customHeight="1" x14ac:dyDescent="0.2">
      <c r="A138" s="272"/>
      <c r="B138" s="272"/>
      <c r="C138" s="272"/>
      <c r="D138" s="272"/>
      <c r="E138" s="272"/>
      <c r="F138" s="272"/>
      <c r="G138" s="272"/>
      <c r="H138" s="272"/>
      <c r="I138" s="272"/>
      <c r="J138" s="272"/>
      <c r="K138" s="272"/>
      <c r="L138" s="272"/>
      <c r="M138" s="272"/>
      <c r="N138" s="272"/>
      <c r="O138" s="272"/>
      <c r="P138" s="272"/>
      <c r="Q138" s="272"/>
      <c r="R138" s="272"/>
      <c r="S138" s="272"/>
      <c r="T138" s="272"/>
      <c r="U138" s="272"/>
      <c r="V138" s="272"/>
      <c r="W138" s="272"/>
      <c r="X138" s="272"/>
      <c r="Y138" s="272"/>
      <c r="Z138" s="272"/>
    </row>
    <row r="139" spans="1:26" ht="15.75" customHeight="1" x14ac:dyDescent="0.2">
      <c r="A139" s="272"/>
      <c r="B139" s="272"/>
      <c r="C139" s="272"/>
      <c r="D139" s="272"/>
      <c r="E139" s="272"/>
      <c r="F139" s="272"/>
      <c r="G139" s="272"/>
      <c r="H139" s="272"/>
      <c r="I139" s="272"/>
      <c r="J139" s="272"/>
      <c r="K139" s="272"/>
      <c r="L139" s="272"/>
      <c r="M139" s="272"/>
      <c r="N139" s="272"/>
      <c r="O139" s="272"/>
      <c r="P139" s="272"/>
      <c r="Q139" s="272"/>
      <c r="R139" s="272"/>
      <c r="S139" s="272"/>
      <c r="T139" s="272"/>
      <c r="U139" s="272"/>
      <c r="V139" s="272"/>
      <c r="W139" s="272"/>
      <c r="X139" s="272"/>
      <c r="Y139" s="272"/>
      <c r="Z139" s="272"/>
    </row>
    <row r="140" spans="1:26" ht="15.75" customHeight="1" x14ac:dyDescent="0.2">
      <c r="A140" s="272"/>
      <c r="B140" s="272"/>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c r="Z140" s="272"/>
    </row>
    <row r="141" spans="1:26" ht="15.75" customHeight="1" x14ac:dyDescent="0.2">
      <c r="A141" s="272"/>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c r="Z141" s="272"/>
    </row>
    <row r="142" spans="1:26" ht="15.75" customHeight="1" x14ac:dyDescent="0.2">
      <c r="A142" s="272"/>
      <c r="B142" s="272"/>
      <c r="C142" s="272"/>
      <c r="D142" s="272"/>
      <c r="E142" s="272"/>
      <c r="F142" s="272"/>
      <c r="G142" s="272"/>
      <c r="H142" s="272"/>
      <c r="I142" s="272"/>
      <c r="J142" s="272"/>
      <c r="K142" s="272"/>
      <c r="L142" s="272"/>
      <c r="M142" s="272"/>
      <c r="N142" s="272"/>
      <c r="O142" s="272"/>
      <c r="P142" s="272"/>
      <c r="Q142" s="272"/>
      <c r="R142" s="272"/>
      <c r="S142" s="272"/>
      <c r="T142" s="272"/>
      <c r="U142" s="272"/>
      <c r="V142" s="272"/>
      <c r="W142" s="272"/>
      <c r="X142" s="272"/>
      <c r="Y142" s="272"/>
      <c r="Z142" s="272"/>
    </row>
    <row r="143" spans="1:26" ht="15.75" customHeight="1" x14ac:dyDescent="0.2">
      <c r="A143" s="272"/>
      <c r="B143" s="272"/>
      <c r="C143" s="272"/>
      <c r="D143" s="272"/>
      <c r="E143" s="272"/>
      <c r="F143" s="272"/>
      <c r="G143" s="272"/>
      <c r="H143" s="272"/>
      <c r="I143" s="272"/>
      <c r="J143" s="272"/>
      <c r="K143" s="272"/>
      <c r="L143" s="272"/>
      <c r="M143" s="272"/>
      <c r="N143" s="272"/>
      <c r="O143" s="272"/>
      <c r="P143" s="272"/>
      <c r="Q143" s="272"/>
      <c r="R143" s="272"/>
      <c r="S143" s="272"/>
      <c r="T143" s="272"/>
      <c r="U143" s="272"/>
      <c r="V143" s="272"/>
      <c r="W143" s="272"/>
      <c r="X143" s="272"/>
      <c r="Y143" s="272"/>
      <c r="Z143" s="272"/>
    </row>
    <row r="144" spans="1:26" ht="15.75" customHeight="1" x14ac:dyDescent="0.2">
      <c r="A144" s="272"/>
      <c r="B144" s="272"/>
      <c r="C144" s="272"/>
      <c r="D144" s="272"/>
      <c r="E144" s="272"/>
      <c r="F144" s="272"/>
      <c r="G144" s="272"/>
      <c r="H144" s="272"/>
      <c r="I144" s="272"/>
      <c r="J144" s="272"/>
      <c r="K144" s="272"/>
      <c r="L144" s="272"/>
      <c r="M144" s="272"/>
      <c r="N144" s="272"/>
      <c r="O144" s="272"/>
      <c r="P144" s="272"/>
      <c r="Q144" s="272"/>
      <c r="R144" s="272"/>
      <c r="S144" s="272"/>
      <c r="T144" s="272"/>
      <c r="U144" s="272"/>
      <c r="V144" s="272"/>
      <c r="W144" s="272"/>
      <c r="X144" s="272"/>
      <c r="Y144" s="272"/>
      <c r="Z144" s="272"/>
    </row>
    <row r="145" spans="1:26" ht="15.75" customHeight="1" x14ac:dyDescent="0.2">
      <c r="A145" s="272"/>
      <c r="B145" s="272"/>
      <c r="C145" s="272"/>
      <c r="D145" s="272"/>
      <c r="E145" s="272"/>
      <c r="F145" s="272"/>
      <c r="G145" s="272"/>
      <c r="H145" s="272"/>
      <c r="I145" s="272"/>
      <c r="J145" s="272"/>
      <c r="K145" s="272"/>
      <c r="L145" s="272"/>
      <c r="M145" s="272"/>
      <c r="N145" s="272"/>
      <c r="O145" s="272"/>
      <c r="P145" s="272"/>
      <c r="Q145" s="272"/>
      <c r="R145" s="272"/>
      <c r="S145" s="272"/>
      <c r="T145" s="272"/>
      <c r="U145" s="272"/>
      <c r="V145" s="272"/>
      <c r="W145" s="272"/>
      <c r="X145" s="272"/>
      <c r="Y145" s="272"/>
      <c r="Z145" s="272"/>
    </row>
    <row r="146" spans="1:26" ht="15.75" customHeight="1" x14ac:dyDescent="0.2">
      <c r="A146" s="272"/>
      <c r="B146" s="272"/>
      <c r="C146" s="272"/>
      <c r="D146" s="272"/>
      <c r="E146" s="272"/>
      <c r="F146" s="272"/>
      <c r="G146" s="272"/>
      <c r="H146" s="272"/>
      <c r="I146" s="272"/>
      <c r="J146" s="272"/>
      <c r="K146" s="272"/>
      <c r="L146" s="272"/>
      <c r="M146" s="272"/>
      <c r="N146" s="272"/>
      <c r="O146" s="272"/>
      <c r="P146" s="272"/>
      <c r="Q146" s="272"/>
      <c r="R146" s="272"/>
      <c r="S146" s="272"/>
      <c r="T146" s="272"/>
      <c r="U146" s="272"/>
      <c r="V146" s="272"/>
      <c r="W146" s="272"/>
      <c r="X146" s="272"/>
      <c r="Y146" s="272"/>
      <c r="Z146" s="272"/>
    </row>
    <row r="147" spans="1:26" ht="15.75" customHeight="1" x14ac:dyDescent="0.2">
      <c r="A147" s="272"/>
      <c r="B147" s="272"/>
      <c r="C147" s="272"/>
      <c r="D147" s="272"/>
      <c r="E147" s="272"/>
      <c r="F147" s="272"/>
      <c r="G147" s="272"/>
      <c r="H147" s="272"/>
      <c r="I147" s="272"/>
      <c r="J147" s="272"/>
      <c r="K147" s="272"/>
      <c r="L147" s="272"/>
      <c r="M147" s="272"/>
      <c r="N147" s="272"/>
      <c r="O147" s="272"/>
      <c r="P147" s="272"/>
      <c r="Q147" s="272"/>
      <c r="R147" s="272"/>
      <c r="S147" s="272"/>
      <c r="T147" s="272"/>
      <c r="U147" s="272"/>
      <c r="V147" s="272"/>
      <c r="W147" s="272"/>
      <c r="X147" s="272"/>
      <c r="Y147" s="272"/>
      <c r="Z147" s="272"/>
    </row>
    <row r="148" spans="1:26" ht="15.75" customHeight="1" x14ac:dyDescent="0.2">
      <c r="A148" s="272"/>
      <c r="B148" s="272"/>
      <c r="C148" s="272"/>
      <c r="D148" s="272"/>
      <c r="E148" s="272"/>
      <c r="F148" s="272"/>
      <c r="G148" s="272"/>
      <c r="H148" s="272"/>
      <c r="I148" s="272"/>
      <c r="J148" s="272"/>
      <c r="K148" s="272"/>
      <c r="L148" s="272"/>
      <c r="M148" s="272"/>
      <c r="N148" s="272"/>
      <c r="O148" s="272"/>
      <c r="P148" s="272"/>
      <c r="Q148" s="272"/>
      <c r="R148" s="272"/>
      <c r="S148" s="272"/>
      <c r="T148" s="272"/>
      <c r="U148" s="272"/>
      <c r="V148" s="272"/>
      <c r="W148" s="272"/>
      <c r="X148" s="272"/>
      <c r="Y148" s="272"/>
      <c r="Z148" s="272"/>
    </row>
    <row r="149" spans="1:26" ht="15.75" customHeight="1" x14ac:dyDescent="0.2">
      <c r="A149" s="272"/>
      <c r="B149" s="272"/>
      <c r="C149" s="272"/>
      <c r="D149" s="272"/>
      <c r="E149" s="272"/>
      <c r="F149" s="272"/>
      <c r="G149" s="272"/>
      <c r="H149" s="272"/>
      <c r="I149" s="272"/>
      <c r="J149" s="272"/>
      <c r="K149" s="272"/>
      <c r="L149" s="272"/>
      <c r="M149" s="272"/>
      <c r="N149" s="272"/>
      <c r="O149" s="272"/>
      <c r="P149" s="272"/>
      <c r="Q149" s="272"/>
      <c r="R149" s="272"/>
      <c r="S149" s="272"/>
      <c r="T149" s="272"/>
      <c r="U149" s="272"/>
      <c r="V149" s="272"/>
      <c r="W149" s="272"/>
      <c r="X149" s="272"/>
      <c r="Y149" s="272"/>
      <c r="Z149" s="272"/>
    </row>
    <row r="150" spans="1:26" ht="15.75" customHeight="1" x14ac:dyDescent="0.2">
      <c r="A150" s="272"/>
      <c r="B150" s="272"/>
      <c r="C150" s="272"/>
      <c r="D150" s="272"/>
      <c r="E150" s="272"/>
      <c r="F150" s="272"/>
      <c r="G150" s="272"/>
      <c r="H150" s="272"/>
      <c r="I150" s="272"/>
      <c r="J150" s="272"/>
      <c r="K150" s="272"/>
      <c r="L150" s="272"/>
      <c r="M150" s="272"/>
      <c r="N150" s="272"/>
      <c r="O150" s="272"/>
      <c r="P150" s="272"/>
      <c r="Q150" s="272"/>
      <c r="R150" s="272"/>
      <c r="S150" s="272"/>
      <c r="T150" s="272"/>
      <c r="U150" s="272"/>
      <c r="V150" s="272"/>
      <c r="W150" s="272"/>
      <c r="X150" s="272"/>
      <c r="Y150" s="272"/>
      <c r="Z150" s="272"/>
    </row>
    <row r="151" spans="1:26" ht="15.75" customHeight="1" x14ac:dyDescent="0.2">
      <c r="A151" s="272"/>
      <c r="B151" s="272"/>
      <c r="C151" s="272"/>
      <c r="D151" s="272"/>
      <c r="E151" s="272"/>
      <c r="F151" s="272"/>
      <c r="G151" s="272"/>
      <c r="H151" s="272"/>
      <c r="I151" s="272"/>
      <c r="J151" s="272"/>
      <c r="K151" s="272"/>
      <c r="L151" s="272"/>
      <c r="M151" s="272"/>
      <c r="N151" s="272"/>
      <c r="O151" s="272"/>
      <c r="P151" s="272"/>
      <c r="Q151" s="272"/>
      <c r="R151" s="272"/>
      <c r="S151" s="272"/>
      <c r="T151" s="272"/>
      <c r="U151" s="272"/>
      <c r="V151" s="272"/>
      <c r="W151" s="272"/>
      <c r="X151" s="272"/>
      <c r="Y151" s="272"/>
      <c r="Z151" s="272"/>
    </row>
    <row r="152" spans="1:26" ht="15.75" customHeight="1" x14ac:dyDescent="0.2">
      <c r="A152" s="272"/>
      <c r="B152" s="272"/>
      <c r="C152" s="272"/>
      <c r="D152" s="272"/>
      <c r="E152" s="272"/>
      <c r="F152" s="272"/>
      <c r="G152" s="272"/>
      <c r="H152" s="272"/>
      <c r="I152" s="272"/>
      <c r="J152" s="272"/>
      <c r="K152" s="272"/>
      <c r="L152" s="272"/>
      <c r="M152" s="272"/>
      <c r="N152" s="272"/>
      <c r="O152" s="272"/>
      <c r="P152" s="272"/>
      <c r="Q152" s="272"/>
      <c r="R152" s="272"/>
      <c r="S152" s="272"/>
      <c r="T152" s="272"/>
      <c r="U152" s="272"/>
      <c r="V152" s="272"/>
      <c r="W152" s="272"/>
      <c r="X152" s="272"/>
      <c r="Y152" s="272"/>
      <c r="Z152" s="272"/>
    </row>
    <row r="153" spans="1:26" ht="15.75" customHeight="1" x14ac:dyDescent="0.2">
      <c r="A153" s="272"/>
      <c r="B153" s="272"/>
      <c r="C153" s="272"/>
      <c r="D153" s="272"/>
      <c r="E153" s="272"/>
      <c r="F153" s="272"/>
      <c r="G153" s="272"/>
      <c r="H153" s="272"/>
      <c r="I153" s="272"/>
      <c r="J153" s="272"/>
      <c r="K153" s="272"/>
      <c r="L153" s="272"/>
      <c r="M153" s="272"/>
      <c r="N153" s="272"/>
      <c r="O153" s="272"/>
      <c r="P153" s="272"/>
      <c r="Q153" s="272"/>
      <c r="R153" s="272"/>
      <c r="S153" s="272"/>
      <c r="T153" s="272"/>
      <c r="U153" s="272"/>
      <c r="V153" s="272"/>
      <c r="W153" s="272"/>
      <c r="X153" s="272"/>
      <c r="Y153" s="272"/>
      <c r="Z153" s="272"/>
    </row>
    <row r="154" spans="1:26" ht="15.75" customHeight="1" x14ac:dyDescent="0.2">
      <c r="A154" s="272"/>
      <c r="B154" s="272"/>
      <c r="C154" s="272"/>
      <c r="D154" s="272"/>
      <c r="E154" s="272"/>
      <c r="F154" s="272"/>
      <c r="G154" s="272"/>
      <c r="H154" s="272"/>
      <c r="I154" s="272"/>
      <c r="J154" s="272"/>
      <c r="K154" s="272"/>
      <c r="L154" s="272"/>
      <c r="M154" s="272"/>
      <c r="N154" s="272"/>
      <c r="O154" s="272"/>
      <c r="P154" s="272"/>
      <c r="Q154" s="272"/>
      <c r="R154" s="272"/>
      <c r="S154" s="272"/>
      <c r="T154" s="272"/>
      <c r="U154" s="272"/>
      <c r="V154" s="272"/>
      <c r="W154" s="272"/>
      <c r="X154" s="272"/>
      <c r="Y154" s="272"/>
      <c r="Z154" s="272"/>
    </row>
    <row r="155" spans="1:26" ht="15.75" customHeight="1" x14ac:dyDescent="0.2">
      <c r="A155" s="272"/>
      <c r="B155" s="272"/>
      <c r="C155" s="272"/>
      <c r="D155" s="272"/>
      <c r="E155" s="272"/>
      <c r="F155" s="272"/>
      <c r="G155" s="272"/>
      <c r="H155" s="272"/>
      <c r="I155" s="272"/>
      <c r="J155" s="272"/>
      <c r="K155" s="272"/>
      <c r="L155" s="272"/>
      <c r="M155" s="272"/>
      <c r="N155" s="272"/>
      <c r="O155" s="272"/>
      <c r="P155" s="272"/>
      <c r="Q155" s="272"/>
      <c r="R155" s="272"/>
      <c r="S155" s="272"/>
      <c r="T155" s="272"/>
      <c r="U155" s="272"/>
      <c r="V155" s="272"/>
      <c r="W155" s="272"/>
      <c r="X155" s="272"/>
      <c r="Y155" s="272"/>
      <c r="Z155" s="272"/>
    </row>
    <row r="156" spans="1:26" ht="15.75" customHeight="1" x14ac:dyDescent="0.2">
      <c r="A156" s="272"/>
      <c r="B156" s="272"/>
      <c r="C156" s="272"/>
      <c r="D156" s="272"/>
      <c r="E156" s="272"/>
      <c r="F156" s="272"/>
      <c r="G156" s="272"/>
      <c r="H156" s="272"/>
      <c r="I156" s="272"/>
      <c r="J156" s="272"/>
      <c r="K156" s="272"/>
      <c r="L156" s="272"/>
      <c r="M156" s="272"/>
      <c r="N156" s="272"/>
      <c r="O156" s="272"/>
      <c r="P156" s="272"/>
      <c r="Q156" s="272"/>
      <c r="R156" s="272"/>
      <c r="S156" s="272"/>
      <c r="T156" s="272"/>
      <c r="U156" s="272"/>
      <c r="V156" s="272"/>
      <c r="W156" s="272"/>
      <c r="X156" s="272"/>
      <c r="Y156" s="272"/>
      <c r="Z156" s="272"/>
    </row>
    <row r="157" spans="1:26" ht="15.75" customHeight="1" x14ac:dyDescent="0.2">
      <c r="A157" s="272"/>
      <c r="B157" s="272"/>
      <c r="C157" s="272"/>
      <c r="D157" s="272"/>
      <c r="E157" s="272"/>
      <c r="F157" s="272"/>
      <c r="G157" s="272"/>
      <c r="H157" s="272"/>
      <c r="I157" s="272"/>
      <c r="J157" s="272"/>
      <c r="K157" s="272"/>
      <c r="L157" s="272"/>
      <c r="M157" s="272"/>
      <c r="N157" s="272"/>
      <c r="O157" s="272"/>
      <c r="P157" s="272"/>
      <c r="Q157" s="272"/>
      <c r="R157" s="272"/>
      <c r="S157" s="272"/>
      <c r="T157" s="272"/>
      <c r="U157" s="272"/>
      <c r="V157" s="272"/>
      <c r="W157" s="272"/>
      <c r="X157" s="272"/>
      <c r="Y157" s="272"/>
      <c r="Z157" s="272"/>
    </row>
    <row r="158" spans="1:26" ht="15.75" customHeight="1" x14ac:dyDescent="0.2">
      <c r="A158" s="272"/>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c r="Z158" s="272"/>
    </row>
    <row r="159" spans="1:26" ht="15.75" customHeight="1" x14ac:dyDescent="0.2">
      <c r="A159" s="272"/>
      <c r="B159" s="272"/>
      <c r="C159" s="272"/>
      <c r="D159" s="272"/>
      <c r="E159" s="272"/>
      <c r="F159" s="272"/>
      <c r="G159" s="272"/>
      <c r="H159" s="272"/>
      <c r="I159" s="272"/>
      <c r="J159" s="272"/>
      <c r="K159" s="272"/>
      <c r="L159" s="272"/>
      <c r="M159" s="272"/>
      <c r="N159" s="272"/>
      <c r="O159" s="272"/>
      <c r="P159" s="272"/>
      <c r="Q159" s="272"/>
      <c r="R159" s="272"/>
      <c r="S159" s="272"/>
      <c r="T159" s="272"/>
      <c r="U159" s="272"/>
      <c r="V159" s="272"/>
      <c r="W159" s="272"/>
      <c r="X159" s="272"/>
      <c r="Y159" s="272"/>
      <c r="Z159" s="272"/>
    </row>
    <row r="160" spans="1:26" ht="15.75" customHeight="1" x14ac:dyDescent="0.2">
      <c r="A160" s="272"/>
      <c r="B160" s="272"/>
      <c r="C160" s="272"/>
      <c r="D160" s="272"/>
      <c r="E160" s="272"/>
      <c r="F160" s="272"/>
      <c r="G160" s="272"/>
      <c r="H160" s="272"/>
      <c r="I160" s="272"/>
      <c r="J160" s="272"/>
      <c r="K160" s="272"/>
      <c r="L160" s="272"/>
      <c r="M160" s="272"/>
      <c r="N160" s="272"/>
      <c r="O160" s="272"/>
      <c r="P160" s="272"/>
      <c r="Q160" s="272"/>
      <c r="R160" s="272"/>
      <c r="S160" s="272"/>
      <c r="T160" s="272"/>
      <c r="U160" s="272"/>
      <c r="V160" s="272"/>
      <c r="W160" s="272"/>
      <c r="X160" s="272"/>
      <c r="Y160" s="272"/>
      <c r="Z160" s="272"/>
    </row>
    <row r="161" spans="1:26" ht="15.75" customHeight="1" x14ac:dyDescent="0.2">
      <c r="A161" s="272"/>
      <c r="B161" s="272"/>
      <c r="C161" s="272"/>
      <c r="D161" s="272"/>
      <c r="E161" s="272"/>
      <c r="F161" s="272"/>
      <c r="G161" s="272"/>
      <c r="H161" s="272"/>
      <c r="I161" s="272"/>
      <c r="J161" s="272"/>
      <c r="K161" s="272"/>
      <c r="L161" s="272"/>
      <c r="M161" s="272"/>
      <c r="N161" s="272"/>
      <c r="O161" s="272"/>
      <c r="P161" s="272"/>
      <c r="Q161" s="272"/>
      <c r="R161" s="272"/>
      <c r="S161" s="272"/>
      <c r="T161" s="272"/>
      <c r="U161" s="272"/>
      <c r="V161" s="272"/>
      <c r="W161" s="272"/>
      <c r="X161" s="272"/>
      <c r="Y161" s="272"/>
      <c r="Z161" s="272"/>
    </row>
    <row r="162" spans="1:26" ht="15.75" customHeight="1" x14ac:dyDescent="0.2">
      <c r="A162" s="272"/>
      <c r="B162" s="272"/>
      <c r="C162" s="272"/>
      <c r="D162" s="272"/>
      <c r="E162" s="272"/>
      <c r="F162" s="272"/>
      <c r="G162" s="272"/>
      <c r="H162" s="272"/>
      <c r="I162" s="272"/>
      <c r="J162" s="272"/>
      <c r="K162" s="272"/>
      <c r="L162" s="272"/>
      <c r="M162" s="272"/>
      <c r="N162" s="272"/>
      <c r="O162" s="272"/>
      <c r="P162" s="272"/>
      <c r="Q162" s="272"/>
      <c r="R162" s="272"/>
      <c r="S162" s="272"/>
      <c r="T162" s="272"/>
      <c r="U162" s="272"/>
      <c r="V162" s="272"/>
      <c r="W162" s="272"/>
      <c r="X162" s="272"/>
      <c r="Y162" s="272"/>
      <c r="Z162" s="272"/>
    </row>
    <row r="163" spans="1:26" ht="15.75" customHeight="1" x14ac:dyDescent="0.2">
      <c r="A163" s="272"/>
      <c r="B163" s="272"/>
      <c r="C163" s="272"/>
      <c r="D163" s="272"/>
      <c r="E163" s="272"/>
      <c r="F163" s="272"/>
      <c r="G163" s="272"/>
      <c r="H163" s="272"/>
      <c r="I163" s="272"/>
      <c r="J163" s="272"/>
      <c r="K163" s="272"/>
      <c r="L163" s="272"/>
      <c r="M163" s="272"/>
      <c r="N163" s="272"/>
      <c r="O163" s="272"/>
      <c r="P163" s="272"/>
      <c r="Q163" s="272"/>
      <c r="R163" s="272"/>
      <c r="S163" s="272"/>
      <c r="T163" s="272"/>
      <c r="U163" s="272"/>
      <c r="V163" s="272"/>
      <c r="W163" s="272"/>
      <c r="X163" s="272"/>
      <c r="Y163" s="272"/>
      <c r="Z163" s="272"/>
    </row>
    <row r="164" spans="1:26" ht="15.75" customHeight="1" x14ac:dyDescent="0.2">
      <c r="A164" s="272"/>
      <c r="B164" s="272"/>
      <c r="C164" s="272"/>
      <c r="D164" s="272"/>
      <c r="E164" s="272"/>
      <c r="F164" s="272"/>
      <c r="G164" s="272"/>
      <c r="H164" s="272"/>
      <c r="I164" s="272"/>
      <c r="J164" s="272"/>
      <c r="K164" s="272"/>
      <c r="L164" s="272"/>
      <c r="M164" s="272"/>
      <c r="N164" s="272"/>
      <c r="O164" s="272"/>
      <c r="P164" s="272"/>
      <c r="Q164" s="272"/>
      <c r="R164" s="272"/>
      <c r="S164" s="272"/>
      <c r="T164" s="272"/>
      <c r="U164" s="272"/>
      <c r="V164" s="272"/>
      <c r="W164" s="272"/>
      <c r="X164" s="272"/>
      <c r="Y164" s="272"/>
      <c r="Z164" s="272"/>
    </row>
    <row r="165" spans="1:26" ht="15.75" customHeight="1" x14ac:dyDescent="0.2">
      <c r="A165" s="272"/>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c r="Z165" s="272"/>
    </row>
    <row r="166" spans="1:26" ht="15.75" customHeight="1" x14ac:dyDescent="0.2">
      <c r="A166" s="272"/>
      <c r="B166" s="272"/>
      <c r="C166" s="272"/>
      <c r="D166" s="272"/>
      <c r="E166" s="272"/>
      <c r="F166" s="272"/>
      <c r="G166" s="272"/>
      <c r="H166" s="272"/>
      <c r="I166" s="272"/>
      <c r="J166" s="272"/>
      <c r="K166" s="272"/>
      <c r="L166" s="272"/>
      <c r="M166" s="272"/>
      <c r="N166" s="272"/>
      <c r="O166" s="272"/>
      <c r="P166" s="272"/>
      <c r="Q166" s="272"/>
      <c r="R166" s="272"/>
      <c r="S166" s="272"/>
      <c r="T166" s="272"/>
      <c r="U166" s="272"/>
      <c r="V166" s="272"/>
      <c r="W166" s="272"/>
      <c r="X166" s="272"/>
      <c r="Y166" s="272"/>
      <c r="Z166" s="272"/>
    </row>
    <row r="167" spans="1:26" ht="15.75" customHeight="1" x14ac:dyDescent="0.2">
      <c r="A167" s="272"/>
      <c r="B167" s="272"/>
      <c r="C167" s="272"/>
      <c r="D167" s="272"/>
      <c r="E167" s="272"/>
      <c r="F167" s="272"/>
      <c r="G167" s="272"/>
      <c r="H167" s="272"/>
      <c r="I167" s="272"/>
      <c r="J167" s="272"/>
      <c r="K167" s="272"/>
      <c r="L167" s="272"/>
      <c r="M167" s="272"/>
      <c r="N167" s="272"/>
      <c r="O167" s="272"/>
      <c r="P167" s="272"/>
      <c r="Q167" s="272"/>
      <c r="R167" s="272"/>
      <c r="S167" s="272"/>
      <c r="T167" s="272"/>
      <c r="U167" s="272"/>
      <c r="V167" s="272"/>
      <c r="W167" s="272"/>
      <c r="X167" s="272"/>
      <c r="Y167" s="272"/>
      <c r="Z167" s="272"/>
    </row>
    <row r="168" spans="1:26" ht="15.75" customHeight="1" x14ac:dyDescent="0.2">
      <c r="A168" s="272"/>
      <c r="B168" s="272"/>
      <c r="C168" s="272"/>
      <c r="D168" s="272"/>
      <c r="E168" s="272"/>
      <c r="F168" s="272"/>
      <c r="G168" s="272"/>
      <c r="H168" s="272"/>
      <c r="I168" s="272"/>
      <c r="J168" s="272"/>
      <c r="K168" s="272"/>
      <c r="L168" s="272"/>
      <c r="M168" s="272"/>
      <c r="N168" s="272"/>
      <c r="O168" s="272"/>
      <c r="P168" s="272"/>
      <c r="Q168" s="272"/>
      <c r="R168" s="272"/>
      <c r="S168" s="272"/>
      <c r="T168" s="272"/>
      <c r="U168" s="272"/>
      <c r="V168" s="272"/>
      <c r="W168" s="272"/>
      <c r="X168" s="272"/>
      <c r="Y168" s="272"/>
      <c r="Z168" s="272"/>
    </row>
    <row r="169" spans="1:26" ht="15.75" customHeight="1" x14ac:dyDescent="0.2">
      <c r="A169" s="272"/>
      <c r="B169" s="272"/>
      <c r="C169" s="272"/>
      <c r="D169" s="272"/>
      <c r="E169" s="272"/>
      <c r="F169" s="272"/>
      <c r="G169" s="272"/>
      <c r="H169" s="272"/>
      <c r="I169" s="272"/>
      <c r="J169" s="272"/>
      <c r="K169" s="272"/>
      <c r="L169" s="272"/>
      <c r="M169" s="272"/>
      <c r="N169" s="272"/>
      <c r="O169" s="272"/>
      <c r="P169" s="272"/>
      <c r="Q169" s="272"/>
      <c r="R169" s="272"/>
      <c r="S169" s="272"/>
      <c r="T169" s="272"/>
      <c r="U169" s="272"/>
      <c r="V169" s="272"/>
      <c r="W169" s="272"/>
      <c r="X169" s="272"/>
      <c r="Y169" s="272"/>
      <c r="Z169" s="272"/>
    </row>
    <row r="170" spans="1:26" ht="15.75" customHeight="1" x14ac:dyDescent="0.2">
      <c r="A170" s="272"/>
      <c r="B170" s="272"/>
      <c r="C170" s="272"/>
      <c r="D170" s="272"/>
      <c r="E170" s="272"/>
      <c r="F170" s="272"/>
      <c r="G170" s="272"/>
      <c r="H170" s="272"/>
      <c r="I170" s="272"/>
      <c r="J170" s="272"/>
      <c r="K170" s="272"/>
      <c r="L170" s="272"/>
      <c r="M170" s="272"/>
      <c r="N170" s="272"/>
      <c r="O170" s="272"/>
      <c r="P170" s="272"/>
      <c r="Q170" s="272"/>
      <c r="R170" s="272"/>
      <c r="S170" s="272"/>
      <c r="T170" s="272"/>
      <c r="U170" s="272"/>
      <c r="V170" s="272"/>
      <c r="W170" s="272"/>
      <c r="X170" s="272"/>
      <c r="Y170" s="272"/>
      <c r="Z170" s="272"/>
    </row>
    <row r="171" spans="1:26" ht="15.75" customHeight="1" x14ac:dyDescent="0.2">
      <c r="A171" s="272"/>
      <c r="B171" s="272"/>
      <c r="C171" s="272"/>
      <c r="D171" s="272"/>
      <c r="E171" s="272"/>
      <c r="F171" s="272"/>
      <c r="G171" s="272"/>
      <c r="H171" s="272"/>
      <c r="I171" s="272"/>
      <c r="J171" s="272"/>
      <c r="K171" s="272"/>
      <c r="L171" s="272"/>
      <c r="M171" s="272"/>
      <c r="N171" s="272"/>
      <c r="O171" s="272"/>
      <c r="P171" s="272"/>
      <c r="Q171" s="272"/>
      <c r="R171" s="272"/>
      <c r="S171" s="272"/>
      <c r="T171" s="272"/>
      <c r="U171" s="272"/>
      <c r="V171" s="272"/>
      <c r="W171" s="272"/>
      <c r="X171" s="272"/>
      <c r="Y171" s="272"/>
      <c r="Z171" s="272"/>
    </row>
    <row r="172" spans="1:26" ht="15.75" customHeight="1" x14ac:dyDescent="0.2">
      <c r="A172" s="272"/>
      <c r="B172" s="272"/>
      <c r="C172" s="272"/>
      <c r="D172" s="272"/>
      <c r="E172" s="272"/>
      <c r="F172" s="272"/>
      <c r="G172" s="272"/>
      <c r="H172" s="272"/>
      <c r="I172" s="272"/>
      <c r="J172" s="272"/>
      <c r="K172" s="272"/>
      <c r="L172" s="272"/>
      <c r="M172" s="272"/>
      <c r="N172" s="272"/>
      <c r="O172" s="272"/>
      <c r="P172" s="272"/>
      <c r="Q172" s="272"/>
      <c r="R172" s="272"/>
      <c r="S172" s="272"/>
      <c r="T172" s="272"/>
      <c r="U172" s="272"/>
      <c r="V172" s="272"/>
      <c r="W172" s="272"/>
      <c r="X172" s="272"/>
      <c r="Y172" s="272"/>
      <c r="Z172" s="272"/>
    </row>
    <row r="173" spans="1:26" ht="15.75" customHeight="1" x14ac:dyDescent="0.2">
      <c r="A173" s="272"/>
      <c r="B173" s="272"/>
      <c r="C173" s="272"/>
      <c r="D173" s="272"/>
      <c r="E173" s="272"/>
      <c r="F173" s="272"/>
      <c r="G173" s="272"/>
      <c r="H173" s="272"/>
      <c r="I173" s="272"/>
      <c r="J173" s="272"/>
      <c r="K173" s="272"/>
      <c r="L173" s="272"/>
      <c r="M173" s="272"/>
      <c r="N173" s="272"/>
      <c r="O173" s="272"/>
      <c r="P173" s="272"/>
      <c r="Q173" s="272"/>
      <c r="R173" s="272"/>
      <c r="S173" s="272"/>
      <c r="T173" s="272"/>
      <c r="U173" s="272"/>
      <c r="V173" s="272"/>
      <c r="W173" s="272"/>
      <c r="X173" s="272"/>
      <c r="Y173" s="272"/>
      <c r="Z173" s="272"/>
    </row>
    <row r="174" spans="1:26" ht="15.75" customHeight="1" x14ac:dyDescent="0.2">
      <c r="A174" s="272"/>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c r="Z174" s="272"/>
    </row>
    <row r="175" spans="1:26" ht="15.75" customHeight="1" x14ac:dyDescent="0.2">
      <c r="A175" s="272"/>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c r="Z175" s="272"/>
    </row>
    <row r="176" spans="1:26" ht="15.75" customHeight="1" x14ac:dyDescent="0.2">
      <c r="A176" s="272"/>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c r="Z176" s="272"/>
    </row>
    <row r="177" spans="1:26" ht="15.75" customHeight="1" x14ac:dyDescent="0.2">
      <c r="A177" s="272"/>
      <c r="B177" s="272"/>
      <c r="C177" s="272"/>
      <c r="D177" s="272"/>
      <c r="E177" s="272"/>
      <c r="F177" s="272"/>
      <c r="G177" s="272"/>
      <c r="H177" s="272"/>
      <c r="I177" s="272"/>
      <c r="J177" s="272"/>
      <c r="K177" s="272"/>
      <c r="L177" s="272"/>
      <c r="M177" s="272"/>
      <c r="N177" s="272"/>
      <c r="O177" s="272"/>
      <c r="P177" s="272"/>
      <c r="Q177" s="272"/>
      <c r="R177" s="272"/>
      <c r="S177" s="272"/>
      <c r="T177" s="272"/>
      <c r="U177" s="272"/>
      <c r="V177" s="272"/>
      <c r="W177" s="272"/>
      <c r="X177" s="272"/>
      <c r="Y177" s="272"/>
      <c r="Z177" s="272"/>
    </row>
    <row r="178" spans="1:26" ht="15.75" customHeight="1" x14ac:dyDescent="0.2">
      <c r="A178" s="272"/>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c r="Z178" s="272"/>
    </row>
    <row r="179" spans="1:26" ht="15.75" customHeight="1" x14ac:dyDescent="0.2">
      <c r="A179" s="272"/>
      <c r="B179" s="272"/>
      <c r="C179" s="272"/>
      <c r="D179" s="272"/>
      <c r="E179" s="272"/>
      <c r="F179" s="272"/>
      <c r="G179" s="272"/>
      <c r="H179" s="272"/>
      <c r="I179" s="272"/>
      <c r="J179" s="272"/>
      <c r="K179" s="272"/>
      <c r="L179" s="272"/>
      <c r="M179" s="272"/>
      <c r="N179" s="272"/>
      <c r="O179" s="272"/>
      <c r="P179" s="272"/>
      <c r="Q179" s="272"/>
      <c r="R179" s="272"/>
      <c r="S179" s="272"/>
      <c r="T179" s="272"/>
      <c r="U179" s="272"/>
      <c r="V179" s="272"/>
      <c r="W179" s="272"/>
      <c r="X179" s="272"/>
      <c r="Y179" s="272"/>
      <c r="Z179" s="272"/>
    </row>
    <row r="180" spans="1:26" ht="15.75" customHeight="1" x14ac:dyDescent="0.2">
      <c r="A180" s="272"/>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c r="Z180" s="272"/>
    </row>
    <row r="181" spans="1:26" ht="15.75" customHeight="1" x14ac:dyDescent="0.2">
      <c r="A181" s="272"/>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c r="Z181" s="272"/>
    </row>
    <row r="182" spans="1:26" ht="15.75" customHeight="1" x14ac:dyDescent="0.2">
      <c r="A182" s="272"/>
      <c r="B182" s="272"/>
      <c r="C182" s="272"/>
      <c r="D182" s="272"/>
      <c r="E182" s="272"/>
      <c r="F182" s="272"/>
      <c r="G182" s="272"/>
      <c r="H182" s="272"/>
      <c r="I182" s="272"/>
      <c r="J182" s="272"/>
      <c r="K182" s="272"/>
      <c r="L182" s="272"/>
      <c r="M182" s="272"/>
      <c r="N182" s="272"/>
      <c r="O182" s="272"/>
      <c r="P182" s="272"/>
      <c r="Q182" s="272"/>
      <c r="R182" s="272"/>
      <c r="S182" s="272"/>
      <c r="T182" s="272"/>
      <c r="U182" s="272"/>
      <c r="V182" s="272"/>
      <c r="W182" s="272"/>
      <c r="X182" s="272"/>
      <c r="Y182" s="272"/>
      <c r="Z182" s="272"/>
    </row>
    <row r="183" spans="1:26" ht="15.75" customHeight="1" x14ac:dyDescent="0.2">
      <c r="A183" s="272"/>
      <c r="B183" s="272"/>
      <c r="C183" s="272"/>
      <c r="D183" s="272"/>
      <c r="E183" s="272"/>
      <c r="F183" s="272"/>
      <c r="G183" s="272"/>
      <c r="H183" s="272"/>
      <c r="I183" s="272"/>
      <c r="J183" s="272"/>
      <c r="K183" s="272"/>
      <c r="L183" s="272"/>
      <c r="M183" s="272"/>
      <c r="N183" s="272"/>
      <c r="O183" s="272"/>
      <c r="P183" s="272"/>
      <c r="Q183" s="272"/>
      <c r="R183" s="272"/>
      <c r="S183" s="272"/>
      <c r="T183" s="272"/>
      <c r="U183" s="272"/>
      <c r="V183" s="272"/>
      <c r="W183" s="272"/>
      <c r="X183" s="272"/>
      <c r="Y183" s="272"/>
      <c r="Z183" s="272"/>
    </row>
    <row r="184" spans="1:26" ht="15.75" customHeight="1" x14ac:dyDescent="0.2">
      <c r="A184" s="272"/>
      <c r="B184" s="27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c r="Z184" s="272"/>
    </row>
    <row r="185" spans="1:26" ht="15.75" customHeight="1" x14ac:dyDescent="0.2">
      <c r="A185" s="272"/>
      <c r="B185" s="272"/>
      <c r="C185" s="272"/>
      <c r="D185" s="272"/>
      <c r="E185" s="272"/>
      <c r="F185" s="272"/>
      <c r="G185" s="272"/>
      <c r="H185" s="272"/>
      <c r="I185" s="272"/>
      <c r="J185" s="272"/>
      <c r="K185" s="272"/>
      <c r="L185" s="272"/>
      <c r="M185" s="272"/>
      <c r="N185" s="272"/>
      <c r="O185" s="272"/>
      <c r="P185" s="272"/>
      <c r="Q185" s="272"/>
      <c r="R185" s="272"/>
      <c r="S185" s="272"/>
      <c r="T185" s="272"/>
      <c r="U185" s="272"/>
      <c r="V185" s="272"/>
      <c r="W185" s="272"/>
      <c r="X185" s="272"/>
      <c r="Y185" s="272"/>
      <c r="Z185" s="272"/>
    </row>
    <row r="186" spans="1:26" ht="15.75" customHeight="1" x14ac:dyDescent="0.2">
      <c r="A186" s="272"/>
      <c r="B186" s="272"/>
      <c r="C186" s="272"/>
      <c r="D186" s="272"/>
      <c r="E186" s="272"/>
      <c r="F186" s="272"/>
      <c r="G186" s="272"/>
      <c r="H186" s="272"/>
      <c r="I186" s="272"/>
      <c r="J186" s="272"/>
      <c r="K186" s="272"/>
      <c r="L186" s="272"/>
      <c r="M186" s="272"/>
      <c r="N186" s="272"/>
      <c r="O186" s="272"/>
      <c r="P186" s="272"/>
      <c r="Q186" s="272"/>
      <c r="R186" s="272"/>
      <c r="S186" s="272"/>
      <c r="T186" s="272"/>
      <c r="U186" s="272"/>
      <c r="V186" s="272"/>
      <c r="W186" s="272"/>
      <c r="X186" s="272"/>
      <c r="Y186" s="272"/>
      <c r="Z186" s="272"/>
    </row>
    <row r="187" spans="1:26" ht="15.75" customHeight="1" x14ac:dyDescent="0.2">
      <c r="A187" s="272"/>
      <c r="B187" s="272"/>
      <c r="C187" s="272"/>
      <c r="D187" s="272"/>
      <c r="E187" s="272"/>
      <c r="F187" s="272"/>
      <c r="G187" s="272"/>
      <c r="H187" s="272"/>
      <c r="I187" s="272"/>
      <c r="J187" s="272"/>
      <c r="K187" s="272"/>
      <c r="L187" s="272"/>
      <c r="M187" s="272"/>
      <c r="N187" s="272"/>
      <c r="O187" s="272"/>
      <c r="P187" s="272"/>
      <c r="Q187" s="272"/>
      <c r="R187" s="272"/>
      <c r="S187" s="272"/>
      <c r="T187" s="272"/>
      <c r="U187" s="272"/>
      <c r="V187" s="272"/>
      <c r="W187" s="272"/>
      <c r="X187" s="272"/>
      <c r="Y187" s="272"/>
      <c r="Z187" s="272"/>
    </row>
    <row r="188" spans="1:26" ht="15.75" customHeight="1" x14ac:dyDescent="0.2">
      <c r="A188" s="272"/>
      <c r="B188" s="272"/>
      <c r="C188" s="272"/>
      <c r="D188" s="272"/>
      <c r="E188" s="272"/>
      <c r="F188" s="272"/>
      <c r="G188" s="272"/>
      <c r="H188" s="272"/>
      <c r="I188" s="272"/>
      <c r="J188" s="272"/>
      <c r="K188" s="272"/>
      <c r="L188" s="272"/>
      <c r="M188" s="272"/>
      <c r="N188" s="272"/>
      <c r="O188" s="272"/>
      <c r="P188" s="272"/>
      <c r="Q188" s="272"/>
      <c r="R188" s="272"/>
      <c r="S188" s="272"/>
      <c r="T188" s="272"/>
      <c r="U188" s="272"/>
      <c r="V188" s="272"/>
      <c r="W188" s="272"/>
      <c r="X188" s="272"/>
      <c r="Y188" s="272"/>
      <c r="Z188" s="272"/>
    </row>
    <row r="189" spans="1:26" ht="15.75" customHeight="1" x14ac:dyDescent="0.2">
      <c r="A189" s="272"/>
      <c r="B189" s="272"/>
      <c r="C189" s="272"/>
      <c r="D189" s="272"/>
      <c r="E189" s="272"/>
      <c r="F189" s="272"/>
      <c r="G189" s="272"/>
      <c r="H189" s="272"/>
      <c r="I189" s="272"/>
      <c r="J189" s="272"/>
      <c r="K189" s="272"/>
      <c r="L189" s="272"/>
      <c r="M189" s="272"/>
      <c r="N189" s="272"/>
      <c r="O189" s="272"/>
      <c r="P189" s="272"/>
      <c r="Q189" s="272"/>
      <c r="R189" s="272"/>
      <c r="S189" s="272"/>
      <c r="T189" s="272"/>
      <c r="U189" s="272"/>
      <c r="V189" s="272"/>
      <c r="W189" s="272"/>
      <c r="X189" s="272"/>
      <c r="Y189" s="272"/>
      <c r="Z189" s="272"/>
    </row>
    <row r="190" spans="1:26" ht="15.75" customHeight="1" x14ac:dyDescent="0.2">
      <c r="A190" s="272"/>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c r="Z190" s="272"/>
    </row>
    <row r="191" spans="1:26" ht="15.75" customHeight="1" x14ac:dyDescent="0.2">
      <c r="A191" s="272"/>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c r="Z191" s="272"/>
    </row>
    <row r="192" spans="1:26" ht="15.75" customHeight="1" x14ac:dyDescent="0.2">
      <c r="A192" s="272"/>
      <c r="B192" s="272"/>
      <c r="C192" s="272"/>
      <c r="D192" s="272"/>
      <c r="E192" s="272"/>
      <c r="F192" s="272"/>
      <c r="G192" s="272"/>
      <c r="H192" s="272"/>
      <c r="I192" s="272"/>
      <c r="J192" s="272"/>
      <c r="K192" s="272"/>
      <c r="L192" s="272"/>
      <c r="M192" s="272"/>
      <c r="N192" s="272"/>
      <c r="O192" s="272"/>
      <c r="P192" s="272"/>
      <c r="Q192" s="272"/>
      <c r="R192" s="272"/>
      <c r="S192" s="272"/>
      <c r="T192" s="272"/>
      <c r="U192" s="272"/>
      <c r="V192" s="272"/>
      <c r="W192" s="272"/>
      <c r="X192" s="272"/>
      <c r="Y192" s="272"/>
      <c r="Z192" s="272"/>
    </row>
    <row r="193" spans="1:26" ht="15.75" customHeight="1" x14ac:dyDescent="0.2">
      <c r="A193" s="272"/>
      <c r="B193" s="272"/>
      <c r="C193" s="272"/>
      <c r="D193" s="272"/>
      <c r="E193" s="272"/>
      <c r="F193" s="272"/>
      <c r="G193" s="272"/>
      <c r="H193" s="272"/>
      <c r="I193" s="272"/>
      <c r="J193" s="272"/>
      <c r="K193" s="272"/>
      <c r="L193" s="272"/>
      <c r="M193" s="272"/>
      <c r="N193" s="272"/>
      <c r="O193" s="272"/>
      <c r="P193" s="272"/>
      <c r="Q193" s="272"/>
      <c r="R193" s="272"/>
      <c r="S193" s="272"/>
      <c r="T193" s="272"/>
      <c r="U193" s="272"/>
      <c r="V193" s="272"/>
      <c r="W193" s="272"/>
      <c r="X193" s="272"/>
      <c r="Y193" s="272"/>
      <c r="Z193" s="272"/>
    </row>
    <row r="194" spans="1:26" ht="15.75" customHeight="1" x14ac:dyDescent="0.2">
      <c r="A194" s="272"/>
      <c r="B194" s="272"/>
      <c r="C194" s="272"/>
      <c r="D194" s="272"/>
      <c r="E194" s="272"/>
      <c r="F194" s="272"/>
      <c r="G194" s="272"/>
      <c r="H194" s="272"/>
      <c r="I194" s="272"/>
      <c r="J194" s="272"/>
      <c r="K194" s="272"/>
      <c r="L194" s="272"/>
      <c r="M194" s="272"/>
      <c r="N194" s="272"/>
      <c r="O194" s="272"/>
      <c r="P194" s="272"/>
      <c r="Q194" s="272"/>
      <c r="R194" s="272"/>
      <c r="S194" s="272"/>
      <c r="T194" s="272"/>
      <c r="U194" s="272"/>
      <c r="V194" s="272"/>
      <c r="W194" s="272"/>
      <c r="X194" s="272"/>
      <c r="Y194" s="272"/>
      <c r="Z194" s="272"/>
    </row>
    <row r="195" spans="1:26" ht="15.75" customHeight="1" x14ac:dyDescent="0.2">
      <c r="A195" s="272"/>
      <c r="B195" s="272"/>
      <c r="C195" s="272"/>
      <c r="D195" s="272"/>
      <c r="E195" s="272"/>
      <c r="F195" s="272"/>
      <c r="G195" s="272"/>
      <c r="H195" s="272"/>
      <c r="I195" s="272"/>
      <c r="J195" s="272"/>
      <c r="K195" s="272"/>
      <c r="L195" s="272"/>
      <c r="M195" s="272"/>
      <c r="N195" s="272"/>
      <c r="O195" s="272"/>
      <c r="P195" s="272"/>
      <c r="Q195" s="272"/>
      <c r="R195" s="272"/>
      <c r="S195" s="272"/>
      <c r="T195" s="272"/>
      <c r="U195" s="272"/>
      <c r="V195" s="272"/>
      <c r="W195" s="272"/>
      <c r="X195" s="272"/>
      <c r="Y195" s="272"/>
      <c r="Z195" s="272"/>
    </row>
    <row r="196" spans="1:26" ht="15.75" customHeight="1" x14ac:dyDescent="0.2">
      <c r="A196" s="272"/>
      <c r="B196" s="272"/>
      <c r="C196" s="272"/>
      <c r="D196" s="272"/>
      <c r="E196" s="272"/>
      <c r="F196" s="272"/>
      <c r="G196" s="272"/>
      <c r="H196" s="272"/>
      <c r="I196" s="272"/>
      <c r="J196" s="272"/>
      <c r="K196" s="272"/>
      <c r="L196" s="272"/>
      <c r="M196" s="272"/>
      <c r="N196" s="272"/>
      <c r="O196" s="272"/>
      <c r="P196" s="272"/>
      <c r="Q196" s="272"/>
      <c r="R196" s="272"/>
      <c r="S196" s="272"/>
      <c r="T196" s="272"/>
      <c r="U196" s="272"/>
      <c r="V196" s="272"/>
      <c r="W196" s="272"/>
      <c r="X196" s="272"/>
      <c r="Y196" s="272"/>
      <c r="Z196" s="272"/>
    </row>
    <row r="197" spans="1:26" ht="15.75" customHeight="1" x14ac:dyDescent="0.2">
      <c r="A197" s="272"/>
      <c r="B197" s="272"/>
      <c r="C197" s="272"/>
      <c r="D197" s="272"/>
      <c r="E197" s="272"/>
      <c r="F197" s="272"/>
      <c r="G197" s="272"/>
      <c r="H197" s="272"/>
      <c r="I197" s="272"/>
      <c r="J197" s="272"/>
      <c r="K197" s="272"/>
      <c r="L197" s="272"/>
      <c r="M197" s="272"/>
      <c r="N197" s="272"/>
      <c r="O197" s="272"/>
      <c r="P197" s="272"/>
      <c r="Q197" s="272"/>
      <c r="R197" s="272"/>
      <c r="S197" s="272"/>
      <c r="T197" s="272"/>
      <c r="U197" s="272"/>
      <c r="V197" s="272"/>
      <c r="W197" s="272"/>
      <c r="X197" s="272"/>
      <c r="Y197" s="272"/>
      <c r="Z197" s="272"/>
    </row>
    <row r="198" spans="1:26" ht="15.75" customHeight="1" x14ac:dyDescent="0.2">
      <c r="A198" s="272"/>
      <c r="B198" s="272"/>
      <c r="C198" s="272"/>
      <c r="D198" s="272"/>
      <c r="E198" s="272"/>
      <c r="F198" s="272"/>
      <c r="G198" s="272"/>
      <c r="H198" s="272"/>
      <c r="I198" s="272"/>
      <c r="J198" s="272"/>
      <c r="K198" s="272"/>
      <c r="L198" s="272"/>
      <c r="M198" s="272"/>
      <c r="N198" s="272"/>
      <c r="O198" s="272"/>
      <c r="P198" s="272"/>
      <c r="Q198" s="272"/>
      <c r="R198" s="272"/>
      <c r="S198" s="272"/>
      <c r="T198" s="272"/>
      <c r="U198" s="272"/>
      <c r="V198" s="272"/>
      <c r="W198" s="272"/>
      <c r="X198" s="272"/>
      <c r="Y198" s="272"/>
      <c r="Z198" s="272"/>
    </row>
    <row r="199" spans="1:26" ht="15.75" customHeight="1" x14ac:dyDescent="0.2">
      <c r="A199" s="272"/>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c r="Z199" s="272"/>
    </row>
    <row r="200" spans="1:26" ht="15.75" customHeight="1" x14ac:dyDescent="0.2">
      <c r="A200" s="272"/>
      <c r="B200" s="272"/>
      <c r="C200" s="272"/>
      <c r="D200" s="272"/>
      <c r="E200" s="272"/>
      <c r="F200" s="272"/>
      <c r="G200" s="272"/>
      <c r="H200" s="272"/>
      <c r="I200" s="272"/>
      <c r="J200" s="272"/>
      <c r="K200" s="272"/>
      <c r="L200" s="272"/>
      <c r="M200" s="272"/>
      <c r="N200" s="272"/>
      <c r="O200" s="272"/>
      <c r="P200" s="272"/>
      <c r="Q200" s="272"/>
      <c r="R200" s="272"/>
      <c r="S200" s="272"/>
      <c r="T200" s="272"/>
      <c r="U200" s="272"/>
      <c r="V200" s="272"/>
      <c r="W200" s="272"/>
      <c r="X200" s="272"/>
      <c r="Y200" s="272"/>
      <c r="Z200" s="272"/>
    </row>
    <row r="201" spans="1:26" ht="15.75" customHeight="1" x14ac:dyDescent="0.2">
      <c r="A201" s="272"/>
      <c r="B201" s="272"/>
      <c r="C201" s="272"/>
      <c r="D201" s="272"/>
      <c r="E201" s="272"/>
      <c r="F201" s="272"/>
      <c r="G201" s="272"/>
      <c r="H201" s="272"/>
      <c r="I201" s="272"/>
      <c r="J201" s="272"/>
      <c r="K201" s="272"/>
      <c r="L201" s="272"/>
      <c r="M201" s="272"/>
      <c r="N201" s="272"/>
      <c r="O201" s="272"/>
      <c r="P201" s="272"/>
      <c r="Q201" s="272"/>
      <c r="R201" s="272"/>
      <c r="S201" s="272"/>
      <c r="T201" s="272"/>
      <c r="U201" s="272"/>
      <c r="V201" s="272"/>
      <c r="W201" s="272"/>
      <c r="X201" s="272"/>
      <c r="Y201" s="272"/>
      <c r="Z201" s="272"/>
    </row>
    <row r="202" spans="1:26" ht="15.75" customHeight="1" x14ac:dyDescent="0.2">
      <c r="A202" s="272"/>
      <c r="B202" s="272"/>
      <c r="C202" s="272"/>
      <c r="D202" s="272"/>
      <c r="E202" s="272"/>
      <c r="F202" s="272"/>
      <c r="G202" s="272"/>
      <c r="H202" s="272"/>
      <c r="I202" s="272"/>
      <c r="J202" s="272"/>
      <c r="K202" s="272"/>
      <c r="L202" s="272"/>
      <c r="M202" s="272"/>
      <c r="N202" s="272"/>
      <c r="O202" s="272"/>
      <c r="P202" s="272"/>
      <c r="Q202" s="272"/>
      <c r="R202" s="272"/>
      <c r="S202" s="272"/>
      <c r="T202" s="272"/>
      <c r="U202" s="272"/>
      <c r="V202" s="272"/>
      <c r="W202" s="272"/>
      <c r="X202" s="272"/>
      <c r="Y202" s="272"/>
      <c r="Z202" s="272"/>
    </row>
    <row r="203" spans="1:26" ht="15.75" customHeight="1" x14ac:dyDescent="0.2">
      <c r="A203" s="272"/>
      <c r="B203" s="272"/>
      <c r="C203" s="272"/>
      <c r="D203" s="272"/>
      <c r="E203" s="272"/>
      <c r="F203" s="272"/>
      <c r="G203" s="272"/>
      <c r="H203" s="272"/>
      <c r="I203" s="272"/>
      <c r="J203" s="272"/>
      <c r="K203" s="272"/>
      <c r="L203" s="272"/>
      <c r="M203" s="272"/>
      <c r="N203" s="272"/>
      <c r="O203" s="272"/>
      <c r="P203" s="272"/>
      <c r="Q203" s="272"/>
      <c r="R203" s="272"/>
      <c r="S203" s="272"/>
      <c r="T203" s="272"/>
      <c r="U203" s="272"/>
      <c r="V203" s="272"/>
      <c r="W203" s="272"/>
      <c r="X203" s="272"/>
      <c r="Y203" s="272"/>
      <c r="Z203" s="272"/>
    </row>
    <row r="204" spans="1:26" ht="15.75" customHeight="1" x14ac:dyDescent="0.2">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c r="Z204" s="272"/>
    </row>
    <row r="205" spans="1:26" ht="15.75" customHeight="1" x14ac:dyDescent="0.2">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c r="Z205" s="272"/>
    </row>
    <row r="206" spans="1:26" ht="15.75" customHeight="1" x14ac:dyDescent="0.2">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c r="Z206" s="272"/>
    </row>
    <row r="207" spans="1:26" ht="15.75" customHeight="1" x14ac:dyDescent="0.2">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c r="Z207" s="272"/>
    </row>
    <row r="208" spans="1:26" ht="15.75" customHeight="1" x14ac:dyDescent="0.2">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c r="Z208" s="272"/>
    </row>
    <row r="209" spans="1:26" ht="15.75" customHeight="1" x14ac:dyDescent="0.2">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c r="Z209" s="272"/>
    </row>
    <row r="210" spans="1:26" ht="15.75" customHeight="1" x14ac:dyDescent="0.2">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c r="Z210" s="272"/>
    </row>
    <row r="211" spans="1:26" ht="15.75" customHeight="1" x14ac:dyDescent="0.2">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c r="Z211" s="272"/>
    </row>
    <row r="212" spans="1:26" ht="15.75" customHeight="1" x14ac:dyDescent="0.2">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c r="Z212" s="272"/>
    </row>
    <row r="213" spans="1:26" ht="15.75" customHeight="1" x14ac:dyDescent="0.2">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c r="Z213" s="272"/>
    </row>
    <row r="214" spans="1:26" ht="15.75" customHeight="1" x14ac:dyDescent="0.2">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c r="Z214" s="272"/>
    </row>
    <row r="215" spans="1:26" ht="15.75" customHeight="1" x14ac:dyDescent="0.2">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c r="Z215" s="272"/>
    </row>
    <row r="216" spans="1:26" ht="15.75" customHeight="1" x14ac:dyDescent="0.2">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c r="Z216" s="272"/>
    </row>
    <row r="217" spans="1:26" ht="15.75" customHeight="1" x14ac:dyDescent="0.2">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c r="Z217" s="272"/>
    </row>
    <row r="218" spans="1:26" ht="15.75" customHeight="1" x14ac:dyDescent="0.2">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c r="Z218" s="272"/>
    </row>
    <row r="219" spans="1:26" ht="15.75" customHeight="1" x14ac:dyDescent="0.2">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c r="Z219" s="272"/>
    </row>
    <row r="220" spans="1:26" ht="15.75" customHeight="1" x14ac:dyDescent="0.2">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c r="Z220" s="272"/>
    </row>
    <row r="221" spans="1:26" ht="15.75" customHeight="1" x14ac:dyDescent="0.2">
      <c r="A221" s="272"/>
      <c r="B221" s="272"/>
      <c r="C221" s="272"/>
      <c r="D221" s="272"/>
      <c r="E221" s="272"/>
      <c r="F221" s="272"/>
      <c r="G221" s="272"/>
      <c r="H221" s="272"/>
      <c r="I221" s="272"/>
      <c r="J221" s="272"/>
      <c r="K221" s="272"/>
      <c r="L221" s="272"/>
      <c r="M221" s="272"/>
      <c r="N221" s="272"/>
      <c r="O221" s="272"/>
      <c r="P221" s="272"/>
      <c r="Q221" s="272"/>
      <c r="R221" s="272"/>
      <c r="S221" s="272"/>
      <c r="T221" s="272"/>
      <c r="U221" s="272"/>
      <c r="V221" s="272"/>
      <c r="W221" s="272"/>
      <c r="X221" s="272"/>
      <c r="Y221" s="272"/>
      <c r="Z221" s="272"/>
    </row>
    <row r="222" spans="1:26" ht="15.75" customHeight="1" x14ac:dyDescent="0.2">
      <c r="A222" s="272"/>
      <c r="B222" s="272"/>
      <c r="C222" s="272"/>
      <c r="D222" s="272"/>
      <c r="E222" s="272"/>
      <c r="F222" s="272"/>
      <c r="G222" s="272"/>
      <c r="H222" s="272"/>
      <c r="I222" s="272"/>
      <c r="J222" s="272"/>
      <c r="K222" s="272"/>
      <c r="L222" s="272"/>
      <c r="M222" s="272"/>
      <c r="N222" s="272"/>
      <c r="O222" s="272"/>
      <c r="P222" s="272"/>
      <c r="Q222" s="272"/>
      <c r="R222" s="272"/>
      <c r="S222" s="272"/>
      <c r="T222" s="272"/>
      <c r="U222" s="272"/>
      <c r="V222" s="272"/>
      <c r="W222" s="272"/>
      <c r="X222" s="272"/>
      <c r="Y222" s="272"/>
      <c r="Z222" s="272"/>
    </row>
    <row r="223" spans="1:26" ht="15.75" customHeight="1" x14ac:dyDescent="0.2">
      <c r="A223" s="272"/>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c r="Z223" s="272"/>
    </row>
    <row r="224" spans="1:26" ht="15.75" customHeight="1" x14ac:dyDescent="0.2">
      <c r="A224" s="272"/>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c r="Z224" s="272"/>
    </row>
    <row r="225" spans="1:26" ht="15.75" customHeight="1" x14ac:dyDescent="0.2">
      <c r="A225" s="272"/>
      <c r="B225" s="272"/>
      <c r="C225" s="272"/>
      <c r="D225" s="272"/>
      <c r="E225" s="272"/>
      <c r="F225" s="272"/>
      <c r="G225" s="272"/>
      <c r="H225" s="272"/>
      <c r="I225" s="272"/>
      <c r="J225" s="272"/>
      <c r="K225" s="272"/>
      <c r="L225" s="272"/>
      <c r="M225" s="272"/>
      <c r="N225" s="272"/>
      <c r="O225" s="272"/>
      <c r="P225" s="272"/>
      <c r="Q225" s="272"/>
      <c r="R225" s="272"/>
      <c r="S225" s="272"/>
      <c r="T225" s="272"/>
      <c r="U225" s="272"/>
      <c r="V225" s="272"/>
      <c r="W225" s="272"/>
      <c r="X225" s="272"/>
      <c r="Y225" s="272"/>
      <c r="Z225" s="272"/>
    </row>
    <row r="226" spans="1:26" ht="15.75" customHeight="1" x14ac:dyDescent="0.2">
      <c r="A226" s="272"/>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c r="Z226" s="272"/>
    </row>
    <row r="227" spans="1:26" ht="15.75" customHeight="1" x14ac:dyDescent="0.2">
      <c r="A227" s="272"/>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c r="Z227" s="272"/>
    </row>
    <row r="228" spans="1:26" ht="15.75" customHeight="1" x14ac:dyDescent="0.2">
      <c r="A228" s="272"/>
      <c r="B228" s="272"/>
      <c r="C228" s="272"/>
      <c r="D228" s="272"/>
      <c r="E228" s="272"/>
      <c r="F228" s="272"/>
      <c r="G228" s="272"/>
      <c r="H228" s="272"/>
      <c r="I228" s="272"/>
      <c r="J228" s="272"/>
      <c r="K228" s="272"/>
      <c r="L228" s="272"/>
      <c r="M228" s="272"/>
      <c r="N228" s="272"/>
      <c r="O228" s="272"/>
      <c r="P228" s="272"/>
      <c r="Q228" s="272"/>
      <c r="R228" s="272"/>
      <c r="S228" s="272"/>
      <c r="T228" s="272"/>
      <c r="U228" s="272"/>
      <c r="V228" s="272"/>
      <c r="W228" s="272"/>
      <c r="X228" s="272"/>
      <c r="Y228" s="272"/>
      <c r="Z228" s="272"/>
    </row>
    <row r="229" spans="1:26" ht="15.75" customHeight="1" x14ac:dyDescent="0.2">
      <c r="A229" s="272"/>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c r="Z229" s="272"/>
    </row>
    <row r="230" spans="1:26" ht="15.75" customHeight="1" x14ac:dyDescent="0.2">
      <c r="A230" s="272"/>
      <c r="B230" s="272"/>
      <c r="C230" s="272"/>
      <c r="D230" s="272"/>
      <c r="E230" s="272"/>
      <c r="F230" s="272"/>
      <c r="G230" s="272"/>
      <c r="H230" s="272"/>
      <c r="I230" s="272"/>
      <c r="J230" s="272"/>
      <c r="K230" s="272"/>
      <c r="L230" s="272"/>
      <c r="M230" s="272"/>
      <c r="N230" s="272"/>
      <c r="O230" s="272"/>
      <c r="P230" s="272"/>
      <c r="Q230" s="272"/>
      <c r="R230" s="272"/>
      <c r="S230" s="272"/>
      <c r="T230" s="272"/>
      <c r="U230" s="272"/>
      <c r="V230" s="272"/>
      <c r="W230" s="272"/>
      <c r="X230" s="272"/>
      <c r="Y230" s="272"/>
      <c r="Z230" s="272"/>
    </row>
    <row r="231" spans="1:26" ht="15.75" customHeight="1" x14ac:dyDescent="0.2">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c r="Z231" s="272"/>
    </row>
    <row r="232" spans="1:26" ht="15.75" customHeight="1" x14ac:dyDescent="0.2">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c r="Z232" s="272"/>
    </row>
    <row r="233" spans="1:26" ht="15.75" customHeight="1" x14ac:dyDescent="0.2">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c r="Z233" s="272"/>
    </row>
    <row r="234" spans="1:26" ht="15.75" customHeight="1" x14ac:dyDescent="0.2">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c r="Z234" s="272"/>
    </row>
    <row r="235" spans="1:26" ht="15.75" customHeight="1" x14ac:dyDescent="0.2">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c r="Z235" s="272"/>
    </row>
    <row r="236" spans="1:26" ht="15.75" customHeight="1" x14ac:dyDescent="0.2">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c r="Z236" s="272"/>
    </row>
    <row r="237" spans="1:26" ht="15.75" customHeight="1" x14ac:dyDescent="0.2">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c r="Z237" s="272"/>
    </row>
    <row r="238" spans="1:26" ht="15.75" customHeight="1" x14ac:dyDescent="0.2">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c r="Z238" s="272"/>
    </row>
    <row r="239" spans="1:26" ht="15.75" customHeight="1" x14ac:dyDescent="0.2">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c r="Z239" s="272"/>
    </row>
    <row r="240" spans="1:26" ht="15.75" customHeight="1" x14ac:dyDescent="0.2">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c r="Z240" s="272"/>
    </row>
    <row r="241" spans="1:26" ht="15.75" customHeight="1" x14ac:dyDescent="0.2">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c r="Z241" s="272"/>
    </row>
    <row r="242" spans="1:26" ht="15.75" customHeight="1" x14ac:dyDescent="0.2">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c r="Z242" s="272"/>
    </row>
    <row r="243" spans="1:26" ht="15.75" customHeight="1" x14ac:dyDescent="0.2">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c r="Z243" s="272"/>
    </row>
    <row r="244" spans="1:26" ht="15.75" customHeight="1" x14ac:dyDescent="0.2">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c r="Z244" s="272"/>
    </row>
    <row r="245" spans="1:26" ht="15.75" customHeight="1" x14ac:dyDescent="0.2">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c r="Z245" s="272"/>
    </row>
    <row r="246" spans="1:26" ht="15.75" customHeight="1" x14ac:dyDescent="0.2">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c r="Z246" s="272"/>
    </row>
    <row r="247" spans="1:26" ht="15.75" customHeight="1" x14ac:dyDescent="0.2">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c r="Z247" s="272"/>
    </row>
    <row r="248" spans="1:26" ht="15.75" customHeight="1" x14ac:dyDescent="0.2">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c r="Z248" s="272"/>
    </row>
    <row r="249" spans="1:26" ht="15.75" customHeight="1" x14ac:dyDescent="0.2">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c r="Z249" s="272"/>
    </row>
    <row r="250" spans="1:26" ht="15.75" customHeight="1" x14ac:dyDescent="0.2">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c r="Z250" s="272"/>
    </row>
    <row r="251" spans="1:26" ht="15.75" customHeight="1" x14ac:dyDescent="0.2">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c r="Z251" s="272"/>
    </row>
    <row r="252" spans="1:26" ht="15.75" customHeight="1" x14ac:dyDescent="0.2">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c r="Z252" s="272"/>
    </row>
    <row r="253" spans="1:26" ht="15.75" customHeight="1" x14ac:dyDescent="0.2">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c r="Z253" s="272"/>
    </row>
    <row r="254" spans="1:26" ht="15.75" customHeight="1" x14ac:dyDescent="0.2">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c r="Z254" s="272"/>
    </row>
    <row r="255" spans="1:26" ht="15.75" customHeight="1" x14ac:dyDescent="0.2">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c r="Z255" s="272"/>
    </row>
    <row r="256" spans="1:26" ht="15.75" customHeight="1" x14ac:dyDescent="0.2">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c r="Z256" s="272"/>
    </row>
    <row r="257" spans="1:26" ht="15.75" customHeight="1" x14ac:dyDescent="0.2">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c r="Z257" s="272"/>
    </row>
    <row r="258" spans="1:26" ht="15.75" customHeight="1" x14ac:dyDescent="0.2">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c r="Z258" s="272"/>
    </row>
    <row r="259" spans="1:26" ht="15.75" customHeight="1" x14ac:dyDescent="0.2">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c r="Z259" s="272"/>
    </row>
    <row r="260" spans="1:26" ht="15.75" customHeight="1" x14ac:dyDescent="0.2">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c r="Z260" s="272"/>
    </row>
    <row r="261" spans="1:26" ht="15.75" customHeight="1" x14ac:dyDescent="0.2">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c r="Z261" s="272"/>
    </row>
    <row r="262" spans="1:26" ht="15.75" customHeight="1" x14ac:dyDescent="0.2">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c r="Z262" s="272"/>
    </row>
    <row r="263" spans="1:26" ht="15.75" customHeight="1" x14ac:dyDescent="0.2">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c r="Z263" s="272"/>
    </row>
    <row r="264" spans="1:26" ht="15.75" customHeight="1" x14ac:dyDescent="0.2">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c r="Z264" s="272"/>
    </row>
    <row r="265" spans="1:26" ht="15.75" customHeight="1" x14ac:dyDescent="0.2">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c r="Z265" s="272"/>
    </row>
    <row r="266" spans="1:26" ht="15.75" customHeight="1" x14ac:dyDescent="0.2">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c r="Z266" s="272"/>
    </row>
    <row r="267" spans="1:26" ht="15.75" customHeight="1" x14ac:dyDescent="0.2">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c r="Z267" s="272"/>
    </row>
    <row r="268" spans="1:26" ht="15.75" customHeight="1" x14ac:dyDescent="0.2">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c r="Z268" s="272"/>
    </row>
    <row r="269" spans="1:26" ht="15.75" customHeight="1" x14ac:dyDescent="0.2">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c r="Z269" s="272"/>
    </row>
    <row r="270" spans="1:26" ht="15.75" customHeight="1" x14ac:dyDescent="0.2">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c r="Z270" s="272"/>
    </row>
    <row r="271" spans="1:26" ht="15.75" customHeight="1" x14ac:dyDescent="0.2">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c r="Z271" s="272"/>
    </row>
    <row r="272" spans="1:26" ht="15.75" customHeight="1" x14ac:dyDescent="0.2">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c r="Z272" s="272"/>
    </row>
    <row r="273" spans="1:26" ht="15.75" customHeight="1" x14ac:dyDescent="0.2">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c r="Z273" s="272"/>
    </row>
    <row r="274" spans="1:26" ht="15.75" customHeight="1" x14ac:dyDescent="0.2">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c r="Z274" s="272"/>
    </row>
    <row r="275" spans="1:26" ht="15.75" customHeight="1" x14ac:dyDescent="0.2">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c r="Z275" s="272"/>
    </row>
    <row r="276" spans="1:26" ht="15.75" customHeight="1" x14ac:dyDescent="0.2">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c r="Z276" s="272"/>
    </row>
    <row r="277" spans="1:26" ht="15.75" customHeight="1" x14ac:dyDescent="0.2">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c r="Z277" s="272"/>
    </row>
    <row r="278" spans="1:26" ht="15.75" customHeight="1" x14ac:dyDescent="0.2">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c r="Z278" s="272"/>
    </row>
    <row r="279" spans="1:26" ht="15.75" customHeight="1" x14ac:dyDescent="0.2">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c r="Z279" s="272"/>
    </row>
    <row r="280" spans="1:26" ht="15.75" customHeight="1" x14ac:dyDescent="0.2">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c r="Z280" s="272"/>
    </row>
    <row r="281" spans="1:26" ht="15.75" customHeight="1" x14ac:dyDescent="0.2">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c r="Z281" s="272"/>
    </row>
    <row r="282" spans="1:26" ht="15.75" customHeight="1" x14ac:dyDescent="0.2">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c r="Z282" s="272"/>
    </row>
    <row r="283" spans="1:26" ht="15.75" customHeight="1" x14ac:dyDescent="0.2">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c r="Z283" s="272"/>
    </row>
    <row r="284" spans="1:26" ht="15.75" customHeight="1" x14ac:dyDescent="0.2">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c r="Z284" s="272"/>
    </row>
    <row r="285" spans="1:26" ht="15.75" customHeight="1" x14ac:dyDescent="0.2">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c r="Z285" s="272"/>
    </row>
    <row r="286" spans="1:26" ht="15.75" customHeight="1" x14ac:dyDescent="0.2">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c r="Z286" s="272"/>
    </row>
    <row r="287" spans="1:26" ht="15.75" customHeight="1" x14ac:dyDescent="0.2">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c r="Z287" s="272"/>
    </row>
    <row r="288" spans="1:26" ht="15.75" customHeight="1" x14ac:dyDescent="0.2">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c r="Z288" s="272"/>
    </row>
    <row r="289" spans="1:26" ht="15.75" customHeight="1" x14ac:dyDescent="0.2">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c r="Z289" s="272"/>
    </row>
    <row r="290" spans="1:26" ht="15.75" customHeight="1" x14ac:dyDescent="0.2">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c r="Z290" s="272"/>
    </row>
    <row r="291" spans="1:26" ht="15.75" customHeight="1" x14ac:dyDescent="0.2">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c r="Z291" s="272"/>
    </row>
    <row r="292" spans="1:26" ht="15.75" customHeight="1" x14ac:dyDescent="0.2">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c r="Z292" s="272"/>
    </row>
    <row r="293" spans="1:26" ht="15.75" customHeight="1" x14ac:dyDescent="0.2">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c r="Z293" s="272"/>
    </row>
    <row r="294" spans="1:26" ht="15.75" customHeight="1" x14ac:dyDescent="0.2">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c r="Z294" s="272"/>
    </row>
    <row r="295" spans="1:26" ht="15.75" customHeight="1" x14ac:dyDescent="0.2">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c r="Z295" s="272"/>
    </row>
    <row r="296" spans="1:26" ht="15.75" customHeight="1" x14ac:dyDescent="0.2">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c r="Z296" s="272"/>
    </row>
    <row r="297" spans="1:26" ht="15.75" customHeight="1" x14ac:dyDescent="0.2">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c r="Z297" s="272"/>
    </row>
    <row r="298" spans="1:26" ht="15.75" customHeight="1" x14ac:dyDescent="0.2">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c r="Z298" s="272"/>
    </row>
    <row r="299" spans="1:26" ht="15.75" customHeight="1" x14ac:dyDescent="0.2">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c r="Z299" s="272"/>
    </row>
    <row r="300" spans="1:26" ht="15.75" customHeight="1" x14ac:dyDescent="0.2">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c r="Z300" s="272"/>
    </row>
    <row r="301" spans="1:26" ht="15.75" customHeight="1" x14ac:dyDescent="0.2">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c r="Z301" s="272"/>
    </row>
    <row r="302" spans="1:26" ht="15.75" customHeight="1" x14ac:dyDescent="0.2">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c r="Z302" s="272"/>
    </row>
    <row r="303" spans="1:26" ht="15.75" customHeight="1" x14ac:dyDescent="0.2">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c r="Z303" s="272"/>
    </row>
    <row r="304" spans="1:26" ht="15.75" customHeight="1" x14ac:dyDescent="0.2">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c r="Z304" s="272"/>
    </row>
    <row r="305" spans="1:26" ht="15.75" customHeight="1" x14ac:dyDescent="0.2">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c r="Z305" s="272"/>
    </row>
    <row r="306" spans="1:26" ht="15.75" customHeight="1" x14ac:dyDescent="0.2">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c r="Z306" s="272"/>
    </row>
    <row r="307" spans="1:26" ht="15.75" customHeight="1" x14ac:dyDescent="0.2">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c r="Z307" s="272"/>
    </row>
    <row r="308" spans="1:26" ht="15.75" customHeight="1" x14ac:dyDescent="0.2">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c r="Z308" s="272"/>
    </row>
    <row r="309" spans="1:26" ht="15.75" customHeight="1" x14ac:dyDescent="0.2">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c r="Z309" s="272"/>
    </row>
    <row r="310" spans="1:26" ht="15.75" customHeight="1" x14ac:dyDescent="0.2">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c r="Z310" s="272"/>
    </row>
    <row r="311" spans="1:26" ht="15.75" customHeight="1" x14ac:dyDescent="0.2">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c r="Z311" s="272"/>
    </row>
    <row r="312" spans="1:26" ht="15.75" customHeight="1" x14ac:dyDescent="0.2">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c r="Z312" s="272"/>
    </row>
    <row r="313" spans="1:26" ht="15.75" customHeight="1" x14ac:dyDescent="0.2">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c r="Z313" s="272"/>
    </row>
    <row r="314" spans="1:26" ht="15.75" customHeight="1" x14ac:dyDescent="0.2">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c r="Z314" s="272"/>
    </row>
    <row r="315" spans="1:26" ht="15.75" customHeight="1" x14ac:dyDescent="0.2">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c r="Z315" s="272"/>
    </row>
    <row r="316" spans="1:26" ht="15.75" customHeight="1" x14ac:dyDescent="0.2">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c r="Z316" s="272"/>
    </row>
    <row r="317" spans="1:26" ht="15.75" customHeight="1" x14ac:dyDescent="0.2">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c r="Z317" s="272"/>
    </row>
    <row r="318" spans="1:26" ht="15.75" customHeight="1" x14ac:dyDescent="0.2">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c r="Z318" s="272"/>
    </row>
    <row r="319" spans="1:26" ht="15.75" customHeight="1" x14ac:dyDescent="0.2">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c r="Z319" s="272"/>
    </row>
    <row r="320" spans="1:26" ht="15.75" customHeight="1" x14ac:dyDescent="0.2">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c r="Z320" s="272"/>
    </row>
    <row r="321" spans="1:26" ht="15.75" customHeight="1" x14ac:dyDescent="0.2">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c r="Z321" s="272"/>
    </row>
    <row r="322" spans="1:26" ht="15.75" customHeight="1" x14ac:dyDescent="0.2">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c r="Z322" s="272"/>
    </row>
    <row r="323" spans="1:26" ht="15.75" customHeight="1" x14ac:dyDescent="0.2">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c r="Z323" s="272"/>
    </row>
    <row r="324" spans="1:26" ht="15.75" customHeight="1" x14ac:dyDescent="0.2">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c r="Z324" s="272"/>
    </row>
    <row r="325" spans="1:26" ht="15.75" customHeight="1" x14ac:dyDescent="0.2">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c r="Z325" s="272"/>
    </row>
    <row r="326" spans="1:26" ht="15.75" customHeight="1" x14ac:dyDescent="0.2">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c r="Z326" s="272"/>
    </row>
    <row r="327" spans="1:26" ht="15.75" customHeight="1" x14ac:dyDescent="0.2">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c r="Z327" s="272"/>
    </row>
    <row r="328" spans="1:26" ht="15.75" customHeight="1" x14ac:dyDescent="0.2">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c r="Z328" s="272"/>
    </row>
    <row r="329" spans="1:26" ht="15.75" customHeight="1" x14ac:dyDescent="0.2">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c r="Z329" s="272"/>
    </row>
    <row r="330" spans="1:26" ht="15.75" customHeight="1" x14ac:dyDescent="0.2">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c r="Z330" s="272"/>
    </row>
    <row r="331" spans="1:26" ht="15.75" customHeight="1" x14ac:dyDescent="0.2">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c r="Z331" s="272"/>
    </row>
    <row r="332" spans="1:26" ht="15.75" customHeight="1" x14ac:dyDescent="0.2">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c r="Z332" s="272"/>
    </row>
    <row r="333" spans="1:26" ht="15.75" customHeight="1" x14ac:dyDescent="0.2">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c r="Z333" s="272"/>
    </row>
    <row r="334" spans="1:26" ht="15.75" customHeight="1" x14ac:dyDescent="0.2">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c r="Z334" s="272"/>
    </row>
    <row r="335" spans="1:26" ht="15.75" customHeight="1" x14ac:dyDescent="0.2">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c r="Z335" s="272"/>
    </row>
    <row r="336" spans="1:26" ht="15.75" customHeight="1" x14ac:dyDescent="0.2">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c r="Z336" s="272"/>
    </row>
    <row r="337" spans="1:26" ht="15.75" customHeight="1" x14ac:dyDescent="0.2">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c r="Z337" s="272"/>
    </row>
    <row r="338" spans="1:26" ht="15.75" customHeight="1" x14ac:dyDescent="0.2">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c r="Z338" s="272"/>
    </row>
    <row r="339" spans="1:26" ht="15.75" customHeight="1" x14ac:dyDescent="0.2">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c r="Z339" s="272"/>
    </row>
    <row r="340" spans="1:26" ht="15.75" customHeight="1" x14ac:dyDescent="0.2">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c r="Z340" s="272"/>
    </row>
    <row r="341" spans="1:26" ht="15.75" customHeight="1" x14ac:dyDescent="0.2">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c r="Z341" s="272"/>
    </row>
    <row r="342" spans="1:26" ht="15.75" customHeight="1" x14ac:dyDescent="0.2">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c r="Z342" s="272"/>
    </row>
    <row r="343" spans="1:26" ht="15.75" customHeight="1" x14ac:dyDescent="0.2">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c r="Z343" s="272"/>
    </row>
    <row r="344" spans="1:26" ht="15.75" customHeight="1" x14ac:dyDescent="0.2">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c r="Z344" s="272"/>
    </row>
    <row r="345" spans="1:26" ht="15.75" customHeight="1" x14ac:dyDescent="0.2">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c r="Z345" s="272"/>
    </row>
    <row r="346" spans="1:26" ht="15.75" customHeight="1" x14ac:dyDescent="0.2">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c r="Z346" s="272"/>
    </row>
    <row r="347" spans="1:26" ht="15.75" customHeight="1" x14ac:dyDescent="0.2">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c r="Z347" s="272"/>
    </row>
    <row r="348" spans="1:26" ht="15.75" customHeight="1" x14ac:dyDescent="0.2">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c r="Z348" s="272"/>
    </row>
    <row r="349" spans="1:26" ht="15.75" customHeight="1" x14ac:dyDescent="0.2">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c r="Z349" s="272"/>
    </row>
    <row r="350" spans="1:26" ht="15.75" customHeight="1" x14ac:dyDescent="0.2">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c r="Z350" s="272"/>
    </row>
    <row r="351" spans="1:26" ht="15.75" customHeight="1" x14ac:dyDescent="0.2">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c r="Z351" s="272"/>
    </row>
    <row r="352" spans="1:26" ht="15.75" customHeight="1" x14ac:dyDescent="0.2">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c r="Z352" s="272"/>
    </row>
    <row r="353" spans="1:26" ht="15.75" customHeight="1" x14ac:dyDescent="0.2">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c r="Z353" s="272"/>
    </row>
    <row r="354" spans="1:26" ht="15.75" customHeight="1" x14ac:dyDescent="0.2">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c r="Z354" s="272"/>
    </row>
    <row r="355" spans="1:26" ht="15.75" customHeight="1" x14ac:dyDescent="0.2">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c r="Z355" s="272"/>
    </row>
    <row r="356" spans="1:26" ht="15.75" customHeight="1" x14ac:dyDescent="0.2">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c r="Z356" s="272"/>
    </row>
    <row r="357" spans="1:26" ht="15.75" customHeight="1" x14ac:dyDescent="0.2">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c r="Z357" s="272"/>
    </row>
    <row r="358" spans="1:26" ht="15.75" customHeight="1" x14ac:dyDescent="0.2">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c r="Z358" s="272"/>
    </row>
    <row r="359" spans="1:26" ht="15.75" customHeight="1" x14ac:dyDescent="0.2">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c r="Z359" s="272"/>
    </row>
    <row r="360" spans="1:26" ht="15.75" customHeight="1" x14ac:dyDescent="0.2">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c r="Z360" s="272"/>
    </row>
    <row r="361" spans="1:26" ht="15.75" customHeight="1" x14ac:dyDescent="0.2">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c r="Z361" s="272"/>
    </row>
    <row r="362" spans="1:26" ht="15.75" customHeight="1" x14ac:dyDescent="0.2">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c r="Z362" s="272"/>
    </row>
    <row r="363" spans="1:26" ht="15.75" customHeight="1" x14ac:dyDescent="0.2">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c r="Z363" s="272"/>
    </row>
    <row r="364" spans="1:26" ht="15.75" customHeight="1" x14ac:dyDescent="0.2">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c r="Z364" s="272"/>
    </row>
    <row r="365" spans="1:26" ht="15.75" customHeight="1" x14ac:dyDescent="0.2">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c r="Z365" s="272"/>
    </row>
    <row r="366" spans="1:26" ht="15.75" customHeight="1" x14ac:dyDescent="0.2">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c r="Z366" s="272"/>
    </row>
    <row r="367" spans="1:26" ht="15.75" customHeight="1" x14ac:dyDescent="0.2">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c r="Z367" s="272"/>
    </row>
    <row r="368" spans="1:26" ht="15.75" customHeight="1" x14ac:dyDescent="0.2">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c r="Z368" s="272"/>
    </row>
    <row r="369" spans="1:26" ht="15.75" customHeight="1" x14ac:dyDescent="0.2">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c r="Z369" s="272"/>
    </row>
    <row r="370" spans="1:26" ht="15.75" customHeight="1" x14ac:dyDescent="0.2">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c r="Z370" s="272"/>
    </row>
    <row r="371" spans="1:26" ht="15.75" customHeight="1" x14ac:dyDescent="0.2">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c r="Z371" s="272"/>
    </row>
    <row r="372" spans="1:26" ht="15.75" customHeight="1" x14ac:dyDescent="0.2">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c r="Z372" s="272"/>
    </row>
    <row r="373" spans="1:26" ht="15.75" customHeight="1" x14ac:dyDescent="0.2">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c r="Z373" s="272"/>
    </row>
    <row r="374" spans="1:26" ht="15.75" customHeight="1" x14ac:dyDescent="0.2">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c r="Z374" s="272"/>
    </row>
    <row r="375" spans="1:26" ht="15.75" customHeight="1" x14ac:dyDescent="0.2">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c r="Z375" s="272"/>
    </row>
    <row r="376" spans="1:26" ht="15.75" customHeight="1" x14ac:dyDescent="0.2">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c r="Z376" s="272"/>
    </row>
    <row r="377" spans="1:26" ht="15.75" customHeight="1" x14ac:dyDescent="0.2">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c r="Z377" s="272"/>
    </row>
    <row r="378" spans="1:26" ht="15.75" customHeight="1" x14ac:dyDescent="0.2">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c r="Z378" s="272"/>
    </row>
    <row r="379" spans="1:26" ht="15.75" customHeight="1" x14ac:dyDescent="0.2">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c r="Z379" s="272"/>
    </row>
    <row r="380" spans="1:26" ht="15.75" customHeight="1" x14ac:dyDescent="0.2">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c r="Z380" s="272"/>
    </row>
    <row r="381" spans="1:26" ht="15.75" customHeight="1" x14ac:dyDescent="0.2">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c r="Z381" s="272"/>
    </row>
    <row r="382" spans="1:26" ht="15.75" customHeight="1" x14ac:dyDescent="0.2">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c r="Z382" s="272"/>
    </row>
    <row r="383" spans="1:26" ht="15.75" customHeight="1" x14ac:dyDescent="0.2">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c r="Z383" s="272"/>
    </row>
    <row r="384" spans="1:26" ht="15.75" customHeight="1" x14ac:dyDescent="0.2">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c r="Z384" s="272"/>
    </row>
    <row r="385" spans="1:26" ht="15.75" customHeight="1" x14ac:dyDescent="0.2">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c r="Z385" s="272"/>
    </row>
    <row r="386" spans="1:26" ht="15.75" customHeight="1" x14ac:dyDescent="0.2">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c r="Z386" s="272"/>
    </row>
    <row r="387" spans="1:26" ht="15.75" customHeight="1" x14ac:dyDescent="0.2">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c r="Z387" s="272"/>
    </row>
    <row r="388" spans="1:26" ht="15.75" customHeight="1" x14ac:dyDescent="0.2">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c r="Z388" s="272"/>
    </row>
    <row r="389" spans="1:26" ht="15.75" customHeight="1" x14ac:dyDescent="0.2">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c r="Z389" s="272"/>
    </row>
    <row r="390" spans="1:26" ht="15.75" customHeight="1" x14ac:dyDescent="0.2">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c r="Z390" s="272"/>
    </row>
    <row r="391" spans="1:26" ht="15.75" customHeight="1" x14ac:dyDescent="0.2">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c r="Z391" s="272"/>
    </row>
    <row r="392" spans="1:26" ht="15.75" customHeight="1" x14ac:dyDescent="0.2">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c r="Z392" s="272"/>
    </row>
    <row r="393" spans="1:26" ht="15.75" customHeight="1" x14ac:dyDescent="0.2">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c r="Z393" s="272"/>
    </row>
    <row r="394" spans="1:26" ht="15.75" customHeight="1" x14ac:dyDescent="0.2">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c r="Z394" s="272"/>
    </row>
    <row r="395" spans="1:26" ht="15.75" customHeight="1" x14ac:dyDescent="0.2">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c r="Z395" s="272"/>
    </row>
    <row r="396" spans="1:26" ht="15.75" customHeight="1" x14ac:dyDescent="0.2">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c r="Z396" s="272"/>
    </row>
    <row r="397" spans="1:26" ht="15.75" customHeight="1" x14ac:dyDescent="0.2">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c r="Z397" s="272"/>
    </row>
    <row r="398" spans="1:26" ht="15.75" customHeight="1" x14ac:dyDescent="0.2">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c r="Z398" s="272"/>
    </row>
    <row r="399" spans="1:26" ht="15.75" customHeight="1" x14ac:dyDescent="0.2">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c r="Z399" s="272"/>
    </row>
    <row r="400" spans="1:26" ht="15.75" customHeight="1" x14ac:dyDescent="0.2">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c r="Z400" s="272"/>
    </row>
    <row r="401" spans="1:26" ht="15.75" customHeight="1" x14ac:dyDescent="0.2">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c r="Z401" s="272"/>
    </row>
    <row r="402" spans="1:26" ht="15.75" customHeight="1" x14ac:dyDescent="0.2">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c r="Z402" s="272"/>
    </row>
    <row r="403" spans="1:26" ht="15.75" customHeight="1" x14ac:dyDescent="0.2">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c r="Z403" s="272"/>
    </row>
    <row r="404" spans="1:26" ht="15.75" customHeight="1" x14ac:dyDescent="0.2">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c r="Z404" s="272"/>
    </row>
    <row r="405" spans="1:26" ht="15.75" customHeight="1" x14ac:dyDescent="0.2">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c r="Z405" s="272"/>
    </row>
    <row r="406" spans="1:26" ht="15.75" customHeight="1" x14ac:dyDescent="0.2">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c r="Z406" s="272"/>
    </row>
    <row r="407" spans="1:26" ht="15.75" customHeight="1" x14ac:dyDescent="0.2">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c r="Z407" s="272"/>
    </row>
    <row r="408" spans="1:26" ht="15.75" customHeight="1" x14ac:dyDescent="0.2">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c r="Z408" s="272"/>
    </row>
    <row r="409" spans="1:26" ht="15.75" customHeight="1" x14ac:dyDescent="0.2">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c r="Z409" s="272"/>
    </row>
    <row r="410" spans="1:26" ht="15.75" customHeight="1" x14ac:dyDescent="0.2">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c r="Z410" s="272"/>
    </row>
    <row r="411" spans="1:26" ht="15.75" customHeight="1" x14ac:dyDescent="0.2">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c r="Z411" s="272"/>
    </row>
    <row r="412" spans="1:26" ht="15.75" customHeight="1" x14ac:dyDescent="0.2">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c r="Z412" s="272"/>
    </row>
    <row r="413" spans="1:26" ht="15.75" customHeight="1" x14ac:dyDescent="0.2">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c r="Z413" s="272"/>
    </row>
    <row r="414" spans="1:26" ht="15.75" customHeight="1" x14ac:dyDescent="0.2">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c r="Z414" s="272"/>
    </row>
    <row r="415" spans="1:26" ht="15.75" customHeight="1" x14ac:dyDescent="0.2">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c r="Z415" s="272"/>
    </row>
    <row r="416" spans="1:26" ht="15.75" customHeight="1" x14ac:dyDescent="0.2">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c r="Z416" s="272"/>
    </row>
    <row r="417" spans="1:26" ht="15.75" customHeight="1" x14ac:dyDescent="0.2">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c r="Z417" s="272"/>
    </row>
    <row r="418" spans="1:26" ht="15.75" customHeight="1" x14ac:dyDescent="0.2">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c r="Z418" s="272"/>
    </row>
    <row r="419" spans="1:26" ht="15.75" customHeight="1" x14ac:dyDescent="0.2">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c r="Z419" s="272"/>
    </row>
    <row r="420" spans="1:26" ht="15.75" customHeight="1" x14ac:dyDescent="0.2">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c r="Z420" s="272"/>
    </row>
    <row r="421" spans="1:26" ht="15.75" customHeight="1" x14ac:dyDescent="0.2">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c r="Z421" s="272"/>
    </row>
    <row r="422" spans="1:26" ht="15.75" customHeight="1" x14ac:dyDescent="0.2">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c r="Z422" s="272"/>
    </row>
    <row r="423" spans="1:26" ht="15.75" customHeight="1" x14ac:dyDescent="0.2">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c r="Z423" s="272"/>
    </row>
    <row r="424" spans="1:26" ht="15.75" customHeight="1" x14ac:dyDescent="0.2">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c r="Z424" s="272"/>
    </row>
    <row r="425" spans="1:26" ht="15.75" customHeight="1" x14ac:dyDescent="0.2">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c r="Z425" s="272"/>
    </row>
    <row r="426" spans="1:26" ht="15.75" customHeight="1" x14ac:dyDescent="0.2">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c r="Z426" s="272"/>
    </row>
    <row r="427" spans="1:26" ht="15.75" customHeight="1" x14ac:dyDescent="0.2">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c r="Z427" s="272"/>
    </row>
    <row r="428" spans="1:26" ht="15.75" customHeight="1" x14ac:dyDescent="0.2">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c r="Z428" s="272"/>
    </row>
    <row r="429" spans="1:26" ht="15.75" customHeight="1" x14ac:dyDescent="0.2">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c r="Z429" s="272"/>
    </row>
    <row r="430" spans="1:26" ht="15.75" customHeight="1" x14ac:dyDescent="0.2">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c r="Z430" s="272"/>
    </row>
    <row r="431" spans="1:26" ht="15.75" customHeight="1" x14ac:dyDescent="0.2">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c r="Z431" s="272"/>
    </row>
    <row r="432" spans="1:26" ht="15.75" customHeight="1" x14ac:dyDescent="0.2">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c r="Z432" s="272"/>
    </row>
    <row r="433" spans="1:26" ht="15.75" customHeight="1" x14ac:dyDescent="0.2">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c r="Z433" s="272"/>
    </row>
    <row r="434" spans="1:26" ht="15.75" customHeight="1" x14ac:dyDescent="0.2">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c r="Z434" s="272"/>
    </row>
    <row r="435" spans="1:26" ht="15.75" customHeight="1" x14ac:dyDescent="0.2">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c r="Z435" s="272"/>
    </row>
    <row r="436" spans="1:26" ht="15.75" customHeight="1" x14ac:dyDescent="0.2">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c r="Z436" s="272"/>
    </row>
    <row r="437" spans="1:26" ht="15.75" customHeight="1" x14ac:dyDescent="0.2">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c r="Z437" s="272"/>
    </row>
    <row r="438" spans="1:26" ht="15.75" customHeight="1" x14ac:dyDescent="0.2">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c r="Z438" s="272"/>
    </row>
    <row r="439" spans="1:26" ht="15.75" customHeight="1" x14ac:dyDescent="0.2">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c r="Z439" s="272"/>
    </row>
    <row r="440" spans="1:26" ht="15.75" customHeight="1" x14ac:dyDescent="0.2">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c r="Z440" s="272"/>
    </row>
    <row r="441" spans="1:26" ht="15.75" customHeight="1" x14ac:dyDescent="0.2">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c r="Z441" s="272"/>
    </row>
    <row r="442" spans="1:26" ht="15.75" customHeight="1" x14ac:dyDescent="0.2">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c r="Z442" s="272"/>
    </row>
    <row r="443" spans="1:26" ht="15.75" customHeight="1" x14ac:dyDescent="0.2">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c r="Z443" s="272"/>
    </row>
    <row r="444" spans="1:26" ht="15.75" customHeight="1" x14ac:dyDescent="0.2">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c r="Z444" s="272"/>
    </row>
    <row r="445" spans="1:26" ht="15.75" customHeight="1" x14ac:dyDescent="0.2">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c r="Z445" s="272"/>
    </row>
    <row r="446" spans="1:26" ht="15.75" customHeight="1" x14ac:dyDescent="0.2">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c r="Z446" s="272"/>
    </row>
    <row r="447" spans="1:26" ht="15.75" customHeight="1" x14ac:dyDescent="0.2">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c r="Z447" s="272"/>
    </row>
    <row r="448" spans="1:26" ht="15.75" customHeight="1" x14ac:dyDescent="0.2">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c r="Z448" s="272"/>
    </row>
    <row r="449" spans="1:26" ht="15.75" customHeight="1" x14ac:dyDescent="0.2">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c r="Z449" s="272"/>
    </row>
    <row r="450" spans="1:26" ht="15.75" customHeight="1" x14ac:dyDescent="0.2">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c r="Z450" s="272"/>
    </row>
    <row r="451" spans="1:26" ht="15.75" customHeight="1" x14ac:dyDescent="0.2">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c r="Z451" s="272"/>
    </row>
    <row r="452" spans="1:26" ht="15.75" customHeight="1" x14ac:dyDescent="0.2">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c r="Z452" s="272"/>
    </row>
    <row r="453" spans="1:26" ht="15.75" customHeight="1" x14ac:dyDescent="0.2">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c r="Z453" s="272"/>
    </row>
    <row r="454" spans="1:26" ht="15.75" customHeight="1" x14ac:dyDescent="0.2">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c r="Z454" s="272"/>
    </row>
    <row r="455" spans="1:26" ht="15.75" customHeight="1" x14ac:dyDescent="0.2">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c r="Z455" s="272"/>
    </row>
    <row r="456" spans="1:26" ht="15.75" customHeight="1" x14ac:dyDescent="0.2">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c r="Z456" s="272"/>
    </row>
    <row r="457" spans="1:26" ht="15.75" customHeight="1" x14ac:dyDescent="0.2">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c r="Z457" s="272"/>
    </row>
    <row r="458" spans="1:26" ht="15.75" customHeight="1" x14ac:dyDescent="0.2">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c r="Z458" s="272"/>
    </row>
    <row r="459" spans="1:26" ht="15.75" customHeight="1" x14ac:dyDescent="0.2">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c r="Z459" s="272"/>
    </row>
    <row r="460" spans="1:26" ht="15.75" customHeight="1" x14ac:dyDescent="0.2">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c r="Z460" s="272"/>
    </row>
    <row r="461" spans="1:26" ht="15.75" customHeight="1" x14ac:dyDescent="0.2">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c r="Z461" s="272"/>
    </row>
    <row r="462" spans="1:26" ht="15.75" customHeight="1" x14ac:dyDescent="0.2">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c r="Z462" s="272"/>
    </row>
    <row r="463" spans="1:26" ht="15.75" customHeight="1" x14ac:dyDescent="0.2">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c r="Z463" s="272"/>
    </row>
    <row r="464" spans="1:26" ht="15.75" customHeight="1" x14ac:dyDescent="0.2">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c r="Z464" s="272"/>
    </row>
    <row r="465" spans="1:26" ht="15.75" customHeight="1" x14ac:dyDescent="0.2">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c r="Z465" s="272"/>
    </row>
    <row r="466" spans="1:26" ht="15.75" customHeight="1" x14ac:dyDescent="0.2">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c r="Z466" s="272"/>
    </row>
    <row r="467" spans="1:26" ht="15.75" customHeight="1" x14ac:dyDescent="0.2">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c r="Z467" s="272"/>
    </row>
    <row r="468" spans="1:26" ht="15.75" customHeight="1" x14ac:dyDescent="0.2">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c r="Z468" s="272"/>
    </row>
    <row r="469" spans="1:26" ht="15.75" customHeight="1" x14ac:dyDescent="0.2">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c r="Z469" s="272"/>
    </row>
    <row r="470" spans="1:26" ht="15.75" customHeight="1" x14ac:dyDescent="0.2">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c r="Z470" s="272"/>
    </row>
    <row r="471" spans="1:26" ht="15.75" customHeight="1" x14ac:dyDescent="0.2">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c r="Z471" s="272"/>
    </row>
    <row r="472" spans="1:26" ht="15.75" customHeight="1" x14ac:dyDescent="0.2">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c r="Z472" s="272"/>
    </row>
    <row r="473" spans="1:26" ht="15.75" customHeight="1" x14ac:dyDescent="0.2">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c r="Z473" s="272"/>
    </row>
    <row r="474" spans="1:26" ht="15.75" customHeight="1" x14ac:dyDescent="0.2">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c r="Z474" s="272"/>
    </row>
    <row r="475" spans="1:26" ht="15.75" customHeight="1" x14ac:dyDescent="0.2">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c r="Z475" s="272"/>
    </row>
    <row r="476" spans="1:26" ht="15.75" customHeight="1" x14ac:dyDescent="0.2">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c r="Z476" s="272"/>
    </row>
    <row r="477" spans="1:26" ht="15.75" customHeight="1" x14ac:dyDescent="0.2">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c r="Z477" s="272"/>
    </row>
    <row r="478" spans="1:26" ht="15.75" customHeight="1" x14ac:dyDescent="0.2">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c r="Z478" s="272"/>
    </row>
    <row r="479" spans="1:26" ht="15.75" customHeight="1" x14ac:dyDescent="0.2">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c r="Z479" s="272"/>
    </row>
    <row r="480" spans="1:26" ht="15.75" customHeight="1" x14ac:dyDescent="0.2">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c r="Z480" s="272"/>
    </row>
    <row r="481" spans="1:26" ht="15.75" customHeight="1" x14ac:dyDescent="0.2">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c r="Z481" s="272"/>
    </row>
    <row r="482" spans="1:26" ht="15.75" customHeight="1" x14ac:dyDescent="0.2">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c r="Z482" s="272"/>
    </row>
    <row r="483" spans="1:26" ht="15.75" customHeight="1" x14ac:dyDescent="0.2">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c r="Z483" s="272"/>
    </row>
    <row r="484" spans="1:26" ht="15.75" customHeight="1" x14ac:dyDescent="0.2">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c r="Z484" s="272"/>
    </row>
    <row r="485" spans="1:26" ht="15.75" customHeight="1" x14ac:dyDescent="0.2">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c r="Z485" s="272"/>
    </row>
    <row r="486" spans="1:26" ht="15.75" customHeight="1" x14ac:dyDescent="0.2">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c r="Z486" s="272"/>
    </row>
    <row r="487" spans="1:26" ht="15.75" customHeight="1" x14ac:dyDescent="0.2">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c r="Z487" s="272"/>
    </row>
    <row r="488" spans="1:26" ht="15.75" customHeight="1" x14ac:dyDescent="0.2">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c r="Z488" s="272"/>
    </row>
    <row r="489" spans="1:26" ht="15.75" customHeight="1" x14ac:dyDescent="0.2">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c r="Z489" s="272"/>
    </row>
    <row r="490" spans="1:26" ht="15.75" customHeight="1" x14ac:dyDescent="0.2">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c r="Z490" s="272"/>
    </row>
    <row r="491" spans="1:26" ht="15.75" customHeight="1" x14ac:dyDescent="0.2">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c r="Z491" s="272"/>
    </row>
    <row r="492" spans="1:26" ht="15.75" customHeight="1" x14ac:dyDescent="0.2">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c r="Z492" s="272"/>
    </row>
    <row r="493" spans="1:26" ht="15.75" customHeight="1" x14ac:dyDescent="0.2">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c r="Z493" s="272"/>
    </row>
    <row r="494" spans="1:26" ht="15.75" customHeight="1" x14ac:dyDescent="0.2">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c r="Z494" s="272"/>
    </row>
    <row r="495" spans="1:26" ht="15.75" customHeight="1" x14ac:dyDescent="0.2">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c r="Z495" s="272"/>
    </row>
    <row r="496" spans="1:26" ht="15.75" customHeight="1" x14ac:dyDescent="0.2">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c r="Z496" s="272"/>
    </row>
    <row r="497" spans="1:26" ht="15.75" customHeight="1" x14ac:dyDescent="0.2">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c r="Z497" s="272"/>
    </row>
    <row r="498" spans="1:26" ht="15.75" customHeight="1" x14ac:dyDescent="0.2">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c r="Z498" s="272"/>
    </row>
    <row r="499" spans="1:26" ht="15.75" customHeight="1" x14ac:dyDescent="0.2">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c r="Z499" s="272"/>
    </row>
    <row r="500" spans="1:26" ht="15.75" customHeight="1" x14ac:dyDescent="0.2">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c r="Z500" s="272"/>
    </row>
    <row r="501" spans="1:26" ht="15.75" customHeight="1" x14ac:dyDescent="0.2">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c r="Z501" s="272"/>
    </row>
    <row r="502" spans="1:26" ht="15.75" customHeight="1" x14ac:dyDescent="0.2">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c r="Z502" s="272"/>
    </row>
    <row r="503" spans="1:26" ht="15.75" customHeight="1" x14ac:dyDescent="0.2">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c r="Z503" s="272"/>
    </row>
    <row r="504" spans="1:26" ht="15.75" customHeight="1" x14ac:dyDescent="0.2">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c r="Z504" s="272"/>
    </row>
    <row r="505" spans="1:26" ht="15.75" customHeight="1" x14ac:dyDescent="0.2">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c r="Z505" s="272"/>
    </row>
    <row r="506" spans="1:26" ht="15.75" customHeight="1" x14ac:dyDescent="0.2">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c r="Z506" s="272"/>
    </row>
    <row r="507" spans="1:26" ht="15.75" customHeight="1" x14ac:dyDescent="0.2">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c r="Z507" s="272"/>
    </row>
    <row r="508" spans="1:26" ht="15.75" customHeight="1" x14ac:dyDescent="0.2">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c r="Z508" s="272"/>
    </row>
    <row r="509" spans="1:26" ht="15.75" customHeight="1" x14ac:dyDescent="0.2">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c r="Z509" s="272"/>
    </row>
    <row r="510" spans="1:26" ht="15.75" customHeight="1" x14ac:dyDescent="0.2">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c r="Z510" s="272"/>
    </row>
    <row r="511" spans="1:26" ht="15.75" customHeight="1" x14ac:dyDescent="0.2">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c r="Z511" s="272"/>
    </row>
    <row r="512" spans="1:26" ht="15.75" customHeight="1" x14ac:dyDescent="0.2">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c r="Z512" s="272"/>
    </row>
    <row r="513" spans="1:26" ht="15.75" customHeight="1" x14ac:dyDescent="0.2">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c r="Z513" s="272"/>
    </row>
    <row r="514" spans="1:26" ht="15.75" customHeight="1" x14ac:dyDescent="0.2">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c r="Z514" s="272"/>
    </row>
    <row r="515" spans="1:26" ht="15.75" customHeight="1" x14ac:dyDescent="0.2">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c r="Z515" s="272"/>
    </row>
    <row r="516" spans="1:26" ht="15.75" customHeight="1" x14ac:dyDescent="0.2">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c r="Z516" s="272"/>
    </row>
    <row r="517" spans="1:26" ht="15.75" customHeight="1" x14ac:dyDescent="0.2">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c r="Z517" s="272"/>
    </row>
    <row r="518" spans="1:26" ht="15.75" customHeight="1" x14ac:dyDescent="0.2">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c r="Z518" s="272"/>
    </row>
    <row r="519" spans="1:26" ht="15.75" customHeight="1" x14ac:dyDescent="0.2">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c r="Z519" s="272"/>
    </row>
    <row r="520" spans="1:26" ht="15.75" customHeight="1" x14ac:dyDescent="0.2">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c r="Z520" s="272"/>
    </row>
    <row r="521" spans="1:26" ht="15.75" customHeight="1" x14ac:dyDescent="0.2">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c r="Z521" s="272"/>
    </row>
    <row r="522" spans="1:26" ht="15.75" customHeight="1" x14ac:dyDescent="0.2">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c r="Z522" s="272"/>
    </row>
    <row r="523" spans="1:26" ht="15.75" customHeight="1" x14ac:dyDescent="0.2">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c r="Z523" s="272"/>
    </row>
    <row r="524" spans="1:26" ht="15.75" customHeight="1" x14ac:dyDescent="0.2">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c r="Z524" s="272"/>
    </row>
    <row r="525" spans="1:26" ht="15.75" customHeight="1" x14ac:dyDescent="0.2">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c r="Z525" s="272"/>
    </row>
    <row r="526" spans="1:26" ht="15.75" customHeight="1" x14ac:dyDescent="0.2">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c r="Z526" s="272"/>
    </row>
    <row r="527" spans="1:26" ht="15.75" customHeight="1" x14ac:dyDescent="0.2">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c r="Z527" s="272"/>
    </row>
    <row r="528" spans="1:26" ht="15.75" customHeight="1" x14ac:dyDescent="0.2">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c r="Z528" s="272"/>
    </row>
    <row r="529" spans="1:26" ht="15.75" customHeight="1" x14ac:dyDescent="0.2">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c r="Z529" s="272"/>
    </row>
    <row r="530" spans="1:26" ht="15.75" customHeight="1" x14ac:dyDescent="0.2">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c r="Z530" s="272"/>
    </row>
    <row r="531" spans="1:26" ht="15.75" customHeight="1" x14ac:dyDescent="0.2">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c r="Z531" s="272"/>
    </row>
    <row r="532" spans="1:26" ht="15.75" customHeight="1" x14ac:dyDescent="0.2">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c r="Z532" s="272"/>
    </row>
    <row r="533" spans="1:26" ht="15.75" customHeight="1" x14ac:dyDescent="0.2">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c r="Z533" s="272"/>
    </row>
    <row r="534" spans="1:26" ht="15.75" customHeight="1" x14ac:dyDescent="0.2">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c r="Z534" s="272"/>
    </row>
    <row r="535" spans="1:26" ht="15.75" customHeight="1" x14ac:dyDescent="0.2">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c r="Z535" s="272"/>
    </row>
    <row r="536" spans="1:26" ht="15.75" customHeight="1" x14ac:dyDescent="0.2">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c r="Z536" s="272"/>
    </row>
    <row r="537" spans="1:26" ht="15.75" customHeight="1" x14ac:dyDescent="0.2">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c r="Z537" s="272"/>
    </row>
    <row r="538" spans="1:26" ht="15.75" customHeight="1" x14ac:dyDescent="0.2">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c r="Z538" s="272"/>
    </row>
    <row r="539" spans="1:26" ht="15.75" customHeight="1" x14ac:dyDescent="0.2">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c r="Z539" s="272"/>
    </row>
    <row r="540" spans="1:26" ht="15.75" customHeight="1" x14ac:dyDescent="0.2">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c r="Z540" s="272"/>
    </row>
    <row r="541" spans="1:26" ht="15.75" customHeight="1" x14ac:dyDescent="0.2">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c r="Z541" s="272"/>
    </row>
    <row r="542" spans="1:26" ht="15.75" customHeight="1" x14ac:dyDescent="0.2">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c r="Z542" s="272"/>
    </row>
    <row r="543" spans="1:26" ht="15.75" customHeight="1" x14ac:dyDescent="0.2">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c r="Z543" s="272"/>
    </row>
    <row r="544" spans="1:26" ht="15.75" customHeight="1" x14ac:dyDescent="0.2">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c r="Z544" s="272"/>
    </row>
    <row r="545" spans="1:26" ht="15.75" customHeight="1" x14ac:dyDescent="0.2">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c r="Z545" s="272"/>
    </row>
    <row r="546" spans="1:26" ht="15.75" customHeight="1" x14ac:dyDescent="0.2">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c r="Z546" s="272"/>
    </row>
    <row r="547" spans="1:26" ht="15.75" customHeight="1" x14ac:dyDescent="0.2">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c r="Z547" s="272"/>
    </row>
    <row r="548" spans="1:26" ht="15.75" customHeight="1" x14ac:dyDescent="0.2">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c r="Z548" s="272"/>
    </row>
    <row r="549" spans="1:26" ht="15.75" customHeight="1" x14ac:dyDescent="0.2">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c r="Z549" s="272"/>
    </row>
    <row r="550" spans="1:26" ht="15.75" customHeight="1" x14ac:dyDescent="0.2">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c r="Z550" s="272"/>
    </row>
    <row r="551" spans="1:26" ht="15.75" customHeight="1" x14ac:dyDescent="0.2">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c r="Z551" s="272"/>
    </row>
    <row r="552" spans="1:26" ht="15.75" customHeight="1" x14ac:dyDescent="0.2">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c r="Z552" s="272"/>
    </row>
    <row r="553" spans="1:26" ht="15.75" customHeight="1" x14ac:dyDescent="0.2">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c r="Z553" s="272"/>
    </row>
    <row r="554" spans="1:26" ht="15.75" customHeight="1" x14ac:dyDescent="0.2">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c r="Z554" s="272"/>
    </row>
    <row r="555" spans="1:26" ht="15.75" customHeight="1" x14ac:dyDescent="0.2">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c r="Z555" s="272"/>
    </row>
    <row r="556" spans="1:26" ht="15.75" customHeight="1" x14ac:dyDescent="0.2">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c r="Z556" s="272"/>
    </row>
    <row r="557" spans="1:26" ht="15.75" customHeight="1" x14ac:dyDescent="0.2">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c r="Z557" s="272"/>
    </row>
    <row r="558" spans="1:26" ht="15.75" customHeight="1" x14ac:dyDescent="0.2">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c r="Z558" s="272"/>
    </row>
    <row r="559" spans="1:26" ht="15.75" customHeight="1" x14ac:dyDescent="0.2">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c r="Z559" s="272"/>
    </row>
    <row r="560" spans="1:26" ht="15.75" customHeight="1" x14ac:dyDescent="0.2">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c r="Z560" s="272"/>
    </row>
    <row r="561" spans="1:26" ht="15.75" customHeight="1" x14ac:dyDescent="0.2">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c r="Z561" s="272"/>
    </row>
    <row r="562" spans="1:26" ht="15.75" customHeight="1" x14ac:dyDescent="0.2">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c r="Z562" s="272"/>
    </row>
    <row r="563" spans="1:26" ht="15.75" customHeight="1" x14ac:dyDescent="0.2">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c r="Z563" s="272"/>
    </row>
    <row r="564" spans="1:26" ht="15.75" customHeight="1" x14ac:dyDescent="0.2">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c r="Z564" s="272"/>
    </row>
    <row r="565" spans="1:26" ht="15.75" customHeight="1" x14ac:dyDescent="0.2">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c r="Z565" s="272"/>
    </row>
    <row r="566" spans="1:26" ht="15.75" customHeight="1" x14ac:dyDescent="0.2">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c r="Z566" s="272"/>
    </row>
    <row r="567" spans="1:26" ht="15.75" customHeight="1" x14ac:dyDescent="0.2">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c r="Z567" s="272"/>
    </row>
    <row r="568" spans="1:26" ht="15.75" customHeight="1" x14ac:dyDescent="0.2">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c r="Z568" s="272"/>
    </row>
    <row r="569" spans="1:26" ht="15.75" customHeight="1" x14ac:dyDescent="0.2">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c r="Z569" s="272"/>
    </row>
    <row r="570" spans="1:26" ht="15.75" customHeight="1" x14ac:dyDescent="0.2">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c r="Z570" s="272"/>
    </row>
    <row r="571" spans="1:26" ht="15.75" customHeight="1" x14ac:dyDescent="0.2">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c r="Z571" s="272"/>
    </row>
    <row r="572" spans="1:26" ht="15.75" customHeight="1" x14ac:dyDescent="0.2">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c r="Z572" s="272"/>
    </row>
    <row r="573" spans="1:26" ht="15.75" customHeight="1" x14ac:dyDescent="0.2">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c r="Z573" s="272"/>
    </row>
    <row r="574" spans="1:26" ht="15.75" customHeight="1" x14ac:dyDescent="0.2">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c r="Z574" s="272"/>
    </row>
    <row r="575" spans="1:26" ht="15.75" customHeight="1" x14ac:dyDescent="0.2">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c r="Z575" s="272"/>
    </row>
    <row r="576" spans="1:26" ht="15.75" customHeight="1" x14ac:dyDescent="0.2">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c r="Z576" s="272"/>
    </row>
    <row r="577" spans="1:26" ht="15.75" customHeight="1" x14ac:dyDescent="0.2">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c r="Z577" s="272"/>
    </row>
    <row r="578" spans="1:26" ht="15.75" customHeight="1" x14ac:dyDescent="0.2">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c r="Z578" s="272"/>
    </row>
    <row r="579" spans="1:26" ht="15.75" customHeight="1" x14ac:dyDescent="0.2">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c r="Z579" s="272"/>
    </row>
    <row r="580" spans="1:26" ht="15.75" customHeight="1" x14ac:dyDescent="0.2">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c r="Z580" s="272"/>
    </row>
    <row r="581" spans="1:26" ht="15.75" customHeight="1" x14ac:dyDescent="0.2">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c r="Z581" s="272"/>
    </row>
    <row r="582" spans="1:26" ht="15.75" customHeight="1" x14ac:dyDescent="0.2">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c r="Z582" s="272"/>
    </row>
    <row r="583" spans="1:26" ht="15.75" customHeight="1" x14ac:dyDescent="0.2">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c r="Z583" s="272"/>
    </row>
    <row r="584" spans="1:26" ht="15.75" customHeight="1" x14ac:dyDescent="0.2">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c r="Z584" s="272"/>
    </row>
    <row r="585" spans="1:26" ht="15.75" customHeight="1" x14ac:dyDescent="0.2">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c r="Z585" s="272"/>
    </row>
    <row r="586" spans="1:26" ht="15.75" customHeight="1" x14ac:dyDescent="0.2">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c r="Z586" s="272"/>
    </row>
    <row r="587" spans="1:26" ht="15.75" customHeight="1" x14ac:dyDescent="0.2">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c r="Z587" s="272"/>
    </row>
    <row r="588" spans="1:26" ht="15.75" customHeight="1" x14ac:dyDescent="0.2">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c r="Z588" s="272"/>
    </row>
    <row r="589" spans="1:26" ht="15.75" customHeight="1" x14ac:dyDescent="0.2">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c r="Z589" s="272"/>
    </row>
    <row r="590" spans="1:26" ht="15.75" customHeight="1" x14ac:dyDescent="0.2">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c r="Z590" s="272"/>
    </row>
    <row r="591" spans="1:26" ht="15.75" customHeight="1" x14ac:dyDescent="0.2">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c r="Z591" s="272"/>
    </row>
    <row r="592" spans="1:26" ht="15.75" customHeight="1" x14ac:dyDescent="0.2">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c r="Z592" s="272"/>
    </row>
    <row r="593" spans="1:26" ht="15.75" customHeight="1" x14ac:dyDescent="0.2">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c r="Z593" s="272"/>
    </row>
    <row r="594" spans="1:26" ht="15.75" customHeight="1" x14ac:dyDescent="0.2">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c r="Z594" s="272"/>
    </row>
    <row r="595" spans="1:26" ht="15.75" customHeight="1" x14ac:dyDescent="0.2">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c r="Z595" s="272"/>
    </row>
    <row r="596" spans="1:26" ht="15.75" customHeight="1" x14ac:dyDescent="0.2">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c r="Z596" s="272"/>
    </row>
    <row r="597" spans="1:26" ht="15.75" customHeight="1" x14ac:dyDescent="0.2">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c r="Z597" s="272"/>
    </row>
    <row r="598" spans="1:26" ht="15.75" customHeight="1" x14ac:dyDescent="0.2">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c r="Z598" s="272"/>
    </row>
    <row r="599" spans="1:26" ht="15.75" customHeight="1" x14ac:dyDescent="0.2">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c r="Z599" s="272"/>
    </row>
    <row r="600" spans="1:26" ht="15.75" customHeight="1" x14ac:dyDescent="0.2">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c r="Z600" s="272"/>
    </row>
    <row r="601" spans="1:26" ht="15.75" customHeight="1" x14ac:dyDescent="0.2">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c r="Z601" s="272"/>
    </row>
    <row r="602" spans="1:26" ht="15.75" customHeight="1" x14ac:dyDescent="0.2">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c r="Z602" s="272"/>
    </row>
    <row r="603" spans="1:26" ht="15.75" customHeight="1" x14ac:dyDescent="0.2">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c r="Z603" s="272"/>
    </row>
    <row r="604" spans="1:26" ht="15.75" customHeight="1" x14ac:dyDescent="0.2">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c r="Z604" s="272"/>
    </row>
    <row r="605" spans="1:26" ht="15.75" customHeight="1" x14ac:dyDescent="0.2">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c r="Z605" s="272"/>
    </row>
    <row r="606" spans="1:26" ht="15.75" customHeight="1" x14ac:dyDescent="0.2">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c r="Z606" s="272"/>
    </row>
    <row r="607" spans="1:26" ht="15.75" customHeight="1" x14ac:dyDescent="0.2">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c r="Z607" s="272"/>
    </row>
    <row r="608" spans="1:26" ht="15.75" customHeight="1" x14ac:dyDescent="0.2">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c r="Z608" s="272"/>
    </row>
    <row r="609" spans="1:26" ht="15.75" customHeight="1" x14ac:dyDescent="0.2">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c r="Z609" s="272"/>
    </row>
    <row r="610" spans="1:26" ht="15.75" customHeight="1" x14ac:dyDescent="0.2">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c r="Z610" s="272"/>
    </row>
    <row r="611" spans="1:26" ht="15.75" customHeight="1" x14ac:dyDescent="0.2">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c r="Z611" s="272"/>
    </row>
    <row r="612" spans="1:26" ht="15.75" customHeight="1" x14ac:dyDescent="0.2">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c r="Z612" s="272"/>
    </row>
    <row r="613" spans="1:26" ht="15.75" customHeight="1" x14ac:dyDescent="0.2">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c r="Z613" s="272"/>
    </row>
    <row r="614" spans="1:26" ht="15.75" customHeight="1" x14ac:dyDescent="0.2">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c r="Z614" s="272"/>
    </row>
    <row r="615" spans="1:26" ht="15.75" customHeight="1" x14ac:dyDescent="0.2">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c r="Z615" s="272"/>
    </row>
    <row r="616" spans="1:26" ht="15.75" customHeight="1" x14ac:dyDescent="0.2">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c r="Z616" s="272"/>
    </row>
    <row r="617" spans="1:26" ht="15.75" customHeight="1" x14ac:dyDescent="0.2">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c r="Z617" s="272"/>
    </row>
    <row r="618" spans="1:26" ht="15.75" customHeight="1" x14ac:dyDescent="0.2">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c r="Z618" s="272"/>
    </row>
    <row r="619" spans="1:26" ht="15.75" customHeight="1" x14ac:dyDescent="0.2">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c r="Z619" s="272"/>
    </row>
    <row r="620" spans="1:26" ht="15.75" customHeight="1" x14ac:dyDescent="0.2">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c r="Z620" s="272"/>
    </row>
    <row r="621" spans="1:26" ht="15.75" customHeight="1" x14ac:dyDescent="0.2">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c r="Z621" s="272"/>
    </row>
    <row r="622" spans="1:26" ht="15.75" customHeight="1" x14ac:dyDescent="0.2">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c r="Z622" s="272"/>
    </row>
    <row r="623" spans="1:26" ht="15.75" customHeight="1" x14ac:dyDescent="0.2">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c r="Z623" s="272"/>
    </row>
    <row r="624" spans="1:26" ht="15.75" customHeight="1" x14ac:dyDescent="0.2">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c r="Z624" s="272"/>
    </row>
    <row r="625" spans="1:26" ht="15.75" customHeight="1" x14ac:dyDescent="0.2">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c r="Z625" s="272"/>
    </row>
    <row r="626" spans="1:26" ht="15.75" customHeight="1" x14ac:dyDescent="0.2">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c r="Z626" s="272"/>
    </row>
    <row r="627" spans="1:26" ht="15.75" customHeight="1" x14ac:dyDescent="0.2">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c r="Z627" s="272"/>
    </row>
    <row r="628" spans="1:26" ht="15.75" customHeight="1" x14ac:dyDescent="0.2">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c r="Z628" s="272"/>
    </row>
    <row r="629" spans="1:26" ht="15.75" customHeight="1" x14ac:dyDescent="0.2">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c r="Z629" s="272"/>
    </row>
    <row r="630" spans="1:26" ht="15.75" customHeight="1" x14ac:dyDescent="0.2">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c r="Z630" s="272"/>
    </row>
    <row r="631" spans="1:26" ht="15.75" customHeight="1" x14ac:dyDescent="0.2">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c r="Z631" s="272"/>
    </row>
    <row r="632" spans="1:26" ht="15.75" customHeight="1" x14ac:dyDescent="0.2">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c r="Z632" s="272"/>
    </row>
    <row r="633" spans="1:26" ht="15.75" customHeight="1" x14ac:dyDescent="0.2">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c r="Z633" s="272"/>
    </row>
    <row r="634" spans="1:26" ht="15.75" customHeight="1" x14ac:dyDescent="0.2">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c r="Z634" s="272"/>
    </row>
    <row r="635" spans="1:26" ht="15.75" customHeight="1" x14ac:dyDescent="0.2">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c r="Z635" s="272"/>
    </row>
    <row r="636" spans="1:26" ht="15.75" customHeight="1" x14ac:dyDescent="0.2">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c r="Z636" s="272"/>
    </row>
    <row r="637" spans="1:26" ht="15.75" customHeight="1" x14ac:dyDescent="0.2">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c r="Z637" s="272"/>
    </row>
    <row r="638" spans="1:26" ht="15.75" customHeight="1" x14ac:dyDescent="0.2">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c r="Z638" s="272"/>
    </row>
    <row r="639" spans="1:26" ht="15.75" customHeight="1" x14ac:dyDescent="0.2">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c r="Z639" s="272"/>
    </row>
    <row r="640" spans="1:26" ht="15.75" customHeight="1" x14ac:dyDescent="0.2">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c r="Z640" s="272"/>
    </row>
    <row r="641" spans="1:26" ht="15.75" customHeight="1" x14ac:dyDescent="0.2">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c r="Z641" s="272"/>
    </row>
    <row r="642" spans="1:26" ht="15.75" customHeight="1" x14ac:dyDescent="0.2">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c r="Z642" s="272"/>
    </row>
    <row r="643" spans="1:26" ht="15.75" customHeight="1" x14ac:dyDescent="0.2">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c r="Z643" s="272"/>
    </row>
    <row r="644" spans="1:26" ht="15.75" customHeight="1" x14ac:dyDescent="0.2">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c r="Z644" s="272"/>
    </row>
    <row r="645" spans="1:26" ht="15.75" customHeight="1" x14ac:dyDescent="0.2">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c r="Z645" s="272"/>
    </row>
    <row r="646" spans="1:26" ht="15.75" customHeight="1" x14ac:dyDescent="0.2">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c r="Z646" s="272"/>
    </row>
    <row r="647" spans="1:26" ht="15.75" customHeight="1" x14ac:dyDescent="0.2">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c r="Z647" s="272"/>
    </row>
    <row r="648" spans="1:26" ht="15.75" customHeight="1" x14ac:dyDescent="0.2">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c r="Z648" s="272"/>
    </row>
    <row r="649" spans="1:26" ht="15.75" customHeight="1" x14ac:dyDescent="0.2">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c r="Z649" s="272"/>
    </row>
    <row r="650" spans="1:26" ht="15.75" customHeight="1" x14ac:dyDescent="0.2">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c r="Z650" s="272"/>
    </row>
    <row r="651" spans="1:26" ht="15.75" customHeight="1" x14ac:dyDescent="0.2">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c r="Z651" s="272"/>
    </row>
    <row r="652" spans="1:26" ht="15.75" customHeight="1" x14ac:dyDescent="0.2">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c r="Z652" s="272"/>
    </row>
    <row r="653" spans="1:26" ht="15.75" customHeight="1" x14ac:dyDescent="0.2">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c r="Z653" s="272"/>
    </row>
    <row r="654" spans="1:26" ht="15.75" customHeight="1" x14ac:dyDescent="0.2">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c r="Z654" s="272"/>
    </row>
    <row r="655" spans="1:26" ht="15.75" customHeight="1" x14ac:dyDescent="0.2">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c r="Z655" s="272"/>
    </row>
    <row r="656" spans="1:26" ht="15.75" customHeight="1" x14ac:dyDescent="0.2">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c r="Z656" s="272"/>
    </row>
    <row r="657" spans="1:26" ht="15.75" customHeight="1" x14ac:dyDescent="0.2">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c r="Z657" s="272"/>
    </row>
    <row r="658" spans="1:26" ht="15.75" customHeight="1" x14ac:dyDescent="0.2">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c r="Z658" s="272"/>
    </row>
    <row r="659" spans="1:26" ht="15.75" customHeight="1" x14ac:dyDescent="0.2">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c r="Z659" s="272"/>
    </row>
    <row r="660" spans="1:26" ht="15.75" customHeight="1" x14ac:dyDescent="0.2">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c r="Z660" s="272"/>
    </row>
    <row r="661" spans="1:26" ht="15.75" customHeight="1" x14ac:dyDescent="0.2">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c r="Z661" s="272"/>
    </row>
    <row r="662" spans="1:26" ht="15.75" customHeight="1" x14ac:dyDescent="0.2">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c r="Z662" s="272"/>
    </row>
    <row r="663" spans="1:26" ht="15.75" customHeight="1" x14ac:dyDescent="0.2">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c r="Z663" s="272"/>
    </row>
    <row r="664" spans="1:26" ht="15.75" customHeight="1" x14ac:dyDescent="0.2">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c r="Z664" s="272"/>
    </row>
    <row r="665" spans="1:26" ht="15.75" customHeight="1" x14ac:dyDescent="0.2">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c r="Z665" s="272"/>
    </row>
    <row r="666" spans="1:26" ht="15.75" customHeight="1" x14ac:dyDescent="0.2">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c r="Z666" s="272"/>
    </row>
    <row r="667" spans="1:26" ht="15.75" customHeight="1" x14ac:dyDescent="0.2">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c r="Z667" s="272"/>
    </row>
    <row r="668" spans="1:26" ht="15.75" customHeight="1" x14ac:dyDescent="0.2">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c r="Z668" s="272"/>
    </row>
    <row r="669" spans="1:26" ht="15.75" customHeight="1" x14ac:dyDescent="0.2">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c r="Z669" s="272"/>
    </row>
    <row r="670" spans="1:26" ht="15.75" customHeight="1" x14ac:dyDescent="0.2">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c r="Z670" s="272"/>
    </row>
    <row r="671" spans="1:26" ht="15.75" customHeight="1" x14ac:dyDescent="0.2">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c r="Z671" s="272"/>
    </row>
    <row r="672" spans="1:26" ht="15.75" customHeight="1" x14ac:dyDescent="0.2">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c r="Z672" s="272"/>
    </row>
    <row r="673" spans="1:26" ht="15.75" customHeight="1" x14ac:dyDescent="0.2">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c r="Z673" s="272"/>
    </row>
    <row r="674" spans="1:26" ht="15.75" customHeight="1" x14ac:dyDescent="0.2">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c r="Z674" s="272"/>
    </row>
    <row r="675" spans="1:26" ht="15.75" customHeight="1" x14ac:dyDescent="0.2">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c r="Z675" s="272"/>
    </row>
    <row r="676" spans="1:26" ht="15.75" customHeight="1" x14ac:dyDescent="0.2">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c r="Z676" s="272"/>
    </row>
    <row r="677" spans="1:26" ht="15.75" customHeight="1" x14ac:dyDescent="0.2">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c r="Z677" s="272"/>
    </row>
    <row r="678" spans="1:26" ht="15.75" customHeight="1" x14ac:dyDescent="0.2">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c r="Z678" s="272"/>
    </row>
    <row r="679" spans="1:26" ht="15.75" customHeight="1" x14ac:dyDescent="0.2">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c r="Z679" s="272"/>
    </row>
    <row r="680" spans="1:26" ht="15.75" customHeight="1" x14ac:dyDescent="0.2">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c r="Z680" s="272"/>
    </row>
    <row r="681" spans="1:26" ht="15.75" customHeight="1" x14ac:dyDescent="0.2">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c r="Z681" s="272"/>
    </row>
    <row r="682" spans="1:26" ht="15.75" customHeight="1" x14ac:dyDescent="0.2">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c r="Z682" s="272"/>
    </row>
    <row r="683" spans="1:26" ht="15.75" customHeight="1" x14ac:dyDescent="0.2">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c r="Z683" s="272"/>
    </row>
    <row r="684" spans="1:26" ht="15.75" customHeight="1" x14ac:dyDescent="0.2">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c r="Z684" s="272"/>
    </row>
    <row r="685" spans="1:26" ht="15.75" customHeight="1" x14ac:dyDescent="0.2">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c r="Z685" s="272"/>
    </row>
    <row r="686" spans="1:26" ht="15.75" customHeight="1" x14ac:dyDescent="0.2">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c r="Z686" s="272"/>
    </row>
    <row r="687" spans="1:26" ht="15.75" customHeight="1" x14ac:dyDescent="0.2">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c r="Z687" s="272"/>
    </row>
    <row r="688" spans="1:26" ht="15.75" customHeight="1" x14ac:dyDescent="0.2">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c r="Z688" s="272"/>
    </row>
    <row r="689" spans="1:26" ht="15.75" customHeight="1" x14ac:dyDescent="0.2">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c r="Z689" s="272"/>
    </row>
    <row r="690" spans="1:26" ht="15.75" customHeight="1" x14ac:dyDescent="0.2">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c r="Z690" s="272"/>
    </row>
    <row r="691" spans="1:26" ht="15.75" customHeight="1" x14ac:dyDescent="0.2">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c r="Z691" s="272"/>
    </row>
    <row r="692" spans="1:26" ht="15.75" customHeight="1" x14ac:dyDescent="0.2">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c r="Z692" s="272"/>
    </row>
    <row r="693" spans="1:26" ht="15.75" customHeight="1" x14ac:dyDescent="0.2">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c r="Z693" s="272"/>
    </row>
    <row r="694" spans="1:26" ht="15.75" customHeight="1" x14ac:dyDescent="0.2">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c r="Z694" s="272"/>
    </row>
    <row r="695" spans="1:26" ht="15.75" customHeight="1" x14ac:dyDescent="0.2">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c r="Z695" s="272"/>
    </row>
    <row r="696" spans="1:26" ht="15.75" customHeight="1" x14ac:dyDescent="0.2">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c r="Z696" s="272"/>
    </row>
    <row r="697" spans="1:26" ht="15.75" customHeight="1" x14ac:dyDescent="0.2">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c r="Z697" s="272"/>
    </row>
    <row r="698" spans="1:26" ht="15.75" customHeight="1" x14ac:dyDescent="0.2">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c r="Z698" s="272"/>
    </row>
    <row r="699" spans="1:26" ht="15.75" customHeight="1" x14ac:dyDescent="0.2">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c r="Z699" s="272"/>
    </row>
    <row r="700" spans="1:26" ht="15.75" customHeight="1" x14ac:dyDescent="0.2">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c r="Z700" s="272"/>
    </row>
    <row r="701" spans="1:26" ht="15.75" customHeight="1" x14ac:dyDescent="0.2">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c r="Z701" s="272"/>
    </row>
    <row r="702" spans="1:26" ht="15.75" customHeight="1" x14ac:dyDescent="0.2">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c r="Z702" s="272"/>
    </row>
    <row r="703" spans="1:26" ht="15.75" customHeight="1" x14ac:dyDescent="0.2">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c r="Z703" s="272"/>
    </row>
    <row r="704" spans="1:26" ht="15.75" customHeight="1" x14ac:dyDescent="0.2">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c r="Z704" s="272"/>
    </row>
    <row r="705" spans="1:26" ht="15.75" customHeight="1" x14ac:dyDescent="0.2">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c r="Z705" s="272"/>
    </row>
    <row r="706" spans="1:26" ht="15.75" customHeight="1" x14ac:dyDescent="0.2">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c r="Z706" s="272"/>
    </row>
    <row r="707" spans="1:26" ht="15.75" customHeight="1" x14ac:dyDescent="0.2">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c r="Z707" s="272"/>
    </row>
    <row r="708" spans="1:26" ht="15.75" customHeight="1" x14ac:dyDescent="0.2">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c r="Z708" s="272"/>
    </row>
    <row r="709" spans="1:26" ht="15.75" customHeight="1" x14ac:dyDescent="0.2">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c r="Z709" s="272"/>
    </row>
    <row r="710" spans="1:26" ht="15.75" customHeight="1" x14ac:dyDescent="0.2">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c r="Z710" s="272"/>
    </row>
    <row r="711" spans="1:26" ht="15.75" customHeight="1" x14ac:dyDescent="0.2">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c r="Z711" s="272"/>
    </row>
    <row r="712" spans="1:26" ht="15.75" customHeight="1" x14ac:dyDescent="0.2">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c r="Z712" s="272"/>
    </row>
    <row r="713" spans="1:26" ht="15.75" customHeight="1" x14ac:dyDescent="0.2">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c r="Z713" s="272"/>
    </row>
    <row r="714" spans="1:26" ht="15.75" customHeight="1" x14ac:dyDescent="0.2">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c r="Z714" s="272"/>
    </row>
    <row r="715" spans="1:26" ht="15.75" customHeight="1" x14ac:dyDescent="0.2">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c r="Z715" s="272"/>
    </row>
    <row r="716" spans="1:26" ht="15.75" customHeight="1" x14ac:dyDescent="0.2">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c r="Z716" s="272"/>
    </row>
    <row r="717" spans="1:26" ht="15.75" customHeight="1" x14ac:dyDescent="0.2">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c r="Z717" s="272"/>
    </row>
    <row r="718" spans="1:26" ht="15.75" customHeight="1" x14ac:dyDescent="0.2">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c r="Z718" s="272"/>
    </row>
    <row r="719" spans="1:26" ht="15.75" customHeight="1" x14ac:dyDescent="0.2">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c r="Z719" s="272"/>
    </row>
    <row r="720" spans="1:26" ht="15.75" customHeight="1" x14ac:dyDescent="0.2">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c r="Z720" s="272"/>
    </row>
    <row r="721" spans="1:26" ht="15.75" customHeight="1" x14ac:dyDescent="0.2">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c r="Z721" s="272"/>
    </row>
    <row r="722" spans="1:26" ht="15.75" customHeight="1" x14ac:dyDescent="0.2">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c r="Z722" s="272"/>
    </row>
    <row r="723" spans="1:26" ht="15.75" customHeight="1" x14ac:dyDescent="0.2">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c r="Z723" s="272"/>
    </row>
    <row r="724" spans="1:26" ht="15.75" customHeight="1" x14ac:dyDescent="0.2">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c r="Z724" s="272"/>
    </row>
    <row r="725" spans="1:26" ht="15.75" customHeight="1" x14ac:dyDescent="0.2">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c r="Z725" s="272"/>
    </row>
    <row r="726" spans="1:26" ht="15.75" customHeight="1" x14ac:dyDescent="0.2">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c r="Z726" s="272"/>
    </row>
    <row r="727" spans="1:26" ht="15.75" customHeight="1" x14ac:dyDescent="0.2">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c r="Z727" s="272"/>
    </row>
    <row r="728" spans="1:26" ht="15.75" customHeight="1" x14ac:dyDescent="0.2">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c r="Z728" s="272"/>
    </row>
    <row r="729" spans="1:26" ht="15.75" customHeight="1" x14ac:dyDescent="0.2">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c r="Z729" s="272"/>
    </row>
    <row r="730" spans="1:26" ht="15.75" customHeight="1" x14ac:dyDescent="0.2">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c r="Z730" s="272"/>
    </row>
    <row r="731" spans="1:26" ht="15.75" customHeight="1" x14ac:dyDescent="0.2">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c r="Z731" s="272"/>
    </row>
    <row r="732" spans="1:26" ht="15.75" customHeight="1" x14ac:dyDescent="0.2">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c r="Z732" s="272"/>
    </row>
    <row r="733" spans="1:26" ht="15.75" customHeight="1" x14ac:dyDescent="0.2">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c r="Z733" s="272"/>
    </row>
    <row r="734" spans="1:26" ht="15.75" customHeight="1" x14ac:dyDescent="0.2">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c r="Z734" s="272"/>
    </row>
    <row r="735" spans="1:26" ht="15.75" customHeight="1" x14ac:dyDescent="0.2">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c r="Z735" s="272"/>
    </row>
    <row r="736" spans="1:26" ht="15.75" customHeight="1" x14ac:dyDescent="0.2">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c r="Z736" s="272"/>
    </row>
    <row r="737" spans="1:26" ht="15.75" customHeight="1" x14ac:dyDescent="0.2">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c r="Z737" s="272"/>
    </row>
    <row r="738" spans="1:26" ht="15.75" customHeight="1" x14ac:dyDescent="0.2">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c r="Z738" s="272"/>
    </row>
    <row r="739" spans="1:26" ht="15.75" customHeight="1" x14ac:dyDescent="0.2">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c r="Z739" s="272"/>
    </row>
    <row r="740" spans="1:26" ht="15.75" customHeight="1" x14ac:dyDescent="0.2">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c r="Z740" s="272"/>
    </row>
    <row r="741" spans="1:26" ht="15.75" customHeight="1" x14ac:dyDescent="0.2">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c r="Z741" s="272"/>
    </row>
    <row r="742" spans="1:26" ht="15.75" customHeight="1" x14ac:dyDescent="0.2">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c r="Z742" s="272"/>
    </row>
    <row r="743" spans="1:26" ht="15.75" customHeight="1" x14ac:dyDescent="0.2">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c r="Z743" s="272"/>
    </row>
    <row r="744" spans="1:26" ht="15.75" customHeight="1" x14ac:dyDescent="0.2">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c r="Z744" s="272"/>
    </row>
    <row r="745" spans="1:26" ht="15.75" customHeight="1" x14ac:dyDescent="0.2">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c r="Z745" s="272"/>
    </row>
    <row r="746" spans="1:26" ht="15.75" customHeight="1" x14ac:dyDescent="0.2">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c r="Z746" s="272"/>
    </row>
    <row r="747" spans="1:26" ht="15.75" customHeight="1" x14ac:dyDescent="0.2">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c r="Z747" s="272"/>
    </row>
    <row r="748" spans="1:26" ht="15.75" customHeight="1" x14ac:dyDescent="0.2">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c r="Z748" s="272"/>
    </row>
    <row r="749" spans="1:26" ht="15.75" customHeight="1" x14ac:dyDescent="0.2">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c r="Z749" s="272"/>
    </row>
    <row r="750" spans="1:26" ht="15.75" customHeight="1" x14ac:dyDescent="0.2">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c r="Z750" s="272"/>
    </row>
    <row r="751" spans="1:26" ht="15.75" customHeight="1" x14ac:dyDescent="0.2">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c r="Z751" s="272"/>
    </row>
    <row r="752" spans="1:26" ht="15.75" customHeight="1" x14ac:dyDescent="0.2">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c r="Z752" s="272"/>
    </row>
    <row r="753" spans="1:26" ht="15.75" customHeight="1" x14ac:dyDescent="0.2">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c r="Z753" s="272"/>
    </row>
    <row r="754" spans="1:26" ht="15.75" customHeight="1" x14ac:dyDescent="0.2">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c r="Z754" s="272"/>
    </row>
    <row r="755" spans="1:26" ht="15.75" customHeight="1" x14ac:dyDescent="0.2">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c r="Z755" s="272"/>
    </row>
    <row r="756" spans="1:26" ht="15.75" customHeight="1" x14ac:dyDescent="0.2">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c r="Z756" s="272"/>
    </row>
    <row r="757" spans="1:26" ht="15.75" customHeight="1" x14ac:dyDescent="0.2">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c r="Z757" s="272"/>
    </row>
    <row r="758" spans="1:26" ht="15.75" customHeight="1" x14ac:dyDescent="0.2">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c r="Z758" s="272"/>
    </row>
    <row r="759" spans="1:26" ht="15.75" customHeight="1" x14ac:dyDescent="0.2">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c r="Z759" s="272"/>
    </row>
    <row r="760" spans="1:26" ht="15.75" customHeight="1" x14ac:dyDescent="0.2">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c r="Z760" s="272"/>
    </row>
    <row r="761" spans="1:26" ht="15.75" customHeight="1" x14ac:dyDescent="0.2">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c r="Z761" s="272"/>
    </row>
    <row r="762" spans="1:26" ht="15.75" customHeight="1" x14ac:dyDescent="0.2">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c r="Z762" s="272"/>
    </row>
    <row r="763" spans="1:26" ht="15.75" customHeight="1" x14ac:dyDescent="0.2">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c r="Z763" s="272"/>
    </row>
    <row r="764" spans="1:26" ht="15.75" customHeight="1" x14ac:dyDescent="0.2">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c r="Z764" s="272"/>
    </row>
    <row r="765" spans="1:26" ht="15.75" customHeight="1" x14ac:dyDescent="0.2">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c r="Z765" s="272"/>
    </row>
    <row r="766" spans="1:26" ht="15.75" customHeight="1" x14ac:dyDescent="0.2">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c r="Z766" s="272"/>
    </row>
    <row r="767" spans="1:26" ht="15.75" customHeight="1" x14ac:dyDescent="0.2">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c r="Z767" s="272"/>
    </row>
    <row r="768" spans="1:26" ht="15.75" customHeight="1" x14ac:dyDescent="0.2">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c r="Z768" s="272"/>
    </row>
    <row r="769" spans="1:26" ht="15.75" customHeight="1" x14ac:dyDescent="0.2">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c r="Z769" s="272"/>
    </row>
    <row r="770" spans="1:26" ht="15.75" customHeight="1" x14ac:dyDescent="0.2">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c r="Z770" s="272"/>
    </row>
    <row r="771" spans="1:26" ht="15.75" customHeight="1" x14ac:dyDescent="0.2">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c r="Z771" s="272"/>
    </row>
    <row r="772" spans="1:26" ht="15.75" customHeight="1" x14ac:dyDescent="0.2">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c r="Z772" s="272"/>
    </row>
    <row r="773" spans="1:26" ht="15.75" customHeight="1" x14ac:dyDescent="0.2">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c r="Z773" s="272"/>
    </row>
    <row r="774" spans="1:26" ht="15.75" customHeight="1" x14ac:dyDescent="0.2">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c r="Z774" s="272"/>
    </row>
    <row r="775" spans="1:26" ht="15.75" customHeight="1" x14ac:dyDescent="0.2">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c r="Z775" s="272"/>
    </row>
    <row r="776" spans="1:26" ht="15.75" customHeight="1" x14ac:dyDescent="0.2">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c r="Z776" s="272"/>
    </row>
    <row r="777" spans="1:26" ht="15.75" customHeight="1" x14ac:dyDescent="0.2">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c r="Z777" s="272"/>
    </row>
    <row r="778" spans="1:26" ht="15.75" customHeight="1" x14ac:dyDescent="0.2">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c r="Z778" s="272"/>
    </row>
    <row r="779" spans="1:26" ht="15.75" customHeight="1" x14ac:dyDescent="0.2">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c r="Z779" s="272"/>
    </row>
    <row r="780" spans="1:26" ht="15.75" customHeight="1" x14ac:dyDescent="0.2">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c r="Z780" s="272"/>
    </row>
    <row r="781" spans="1:26" ht="15.75" customHeight="1" x14ac:dyDescent="0.2">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c r="Z781" s="272"/>
    </row>
    <row r="782" spans="1:26" ht="15.75" customHeight="1" x14ac:dyDescent="0.2">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c r="Z782" s="272"/>
    </row>
    <row r="783" spans="1:26" ht="15.75" customHeight="1" x14ac:dyDescent="0.2">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c r="Z783" s="272"/>
    </row>
    <row r="784" spans="1:26" ht="15.75" customHeight="1" x14ac:dyDescent="0.2">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c r="Z784" s="272"/>
    </row>
    <row r="785" spans="1:26" ht="15.75" customHeight="1" x14ac:dyDescent="0.2">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c r="Z785" s="272"/>
    </row>
    <row r="786" spans="1:26" ht="15.75" customHeight="1" x14ac:dyDescent="0.2">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c r="Z786" s="272"/>
    </row>
    <row r="787" spans="1:26" ht="15.75" customHeight="1" x14ac:dyDescent="0.2">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c r="Z787" s="272"/>
    </row>
    <row r="788" spans="1:26" ht="15.75" customHeight="1" x14ac:dyDescent="0.2">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c r="Z788" s="272"/>
    </row>
    <row r="789" spans="1:26" ht="15.75" customHeight="1" x14ac:dyDescent="0.2">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c r="Z789" s="272"/>
    </row>
    <row r="790" spans="1:26" ht="15.75" customHeight="1" x14ac:dyDescent="0.2">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c r="Z790" s="272"/>
    </row>
    <row r="791" spans="1:26" ht="15.75" customHeight="1" x14ac:dyDescent="0.2">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c r="Z791" s="272"/>
    </row>
    <row r="792" spans="1:26" ht="15.75" customHeight="1" x14ac:dyDescent="0.2">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c r="Z792" s="272"/>
    </row>
    <row r="793" spans="1:26" ht="15.75" customHeight="1" x14ac:dyDescent="0.2">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c r="Z793" s="272"/>
    </row>
    <row r="794" spans="1:26" ht="15.75" customHeight="1" x14ac:dyDescent="0.2">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c r="Z794" s="272"/>
    </row>
    <row r="795" spans="1:26" ht="15.75" customHeight="1" x14ac:dyDescent="0.2">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c r="Z795" s="272"/>
    </row>
    <row r="796" spans="1:26" ht="15.75" customHeight="1" x14ac:dyDescent="0.2">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c r="Z796" s="272"/>
    </row>
    <row r="797" spans="1:26" ht="15.75" customHeight="1" x14ac:dyDescent="0.2">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c r="Z797" s="272"/>
    </row>
    <row r="798" spans="1:26" ht="15.75" customHeight="1" x14ac:dyDescent="0.2">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c r="Z798" s="272"/>
    </row>
    <row r="799" spans="1:26" ht="15.75" customHeight="1" x14ac:dyDescent="0.2">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c r="Z799" s="272"/>
    </row>
    <row r="800" spans="1:26" ht="15.75" customHeight="1" x14ac:dyDescent="0.2">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c r="Z800" s="272"/>
    </row>
    <row r="801" spans="1:26" ht="15.75" customHeight="1" x14ac:dyDescent="0.2">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c r="Z801" s="272"/>
    </row>
    <row r="802" spans="1:26" ht="15.75" customHeight="1" x14ac:dyDescent="0.2">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c r="Z802" s="272"/>
    </row>
    <row r="803" spans="1:26" ht="15.75" customHeight="1" x14ac:dyDescent="0.2">
      <c r="A803" s="272"/>
      <c r="B803" s="272"/>
      <c r="C803" s="272"/>
      <c r="D803" s="272"/>
      <c r="E803" s="272"/>
      <c r="F803" s="272"/>
      <c r="G803" s="272"/>
      <c r="H803" s="272"/>
      <c r="I803" s="272"/>
      <c r="J803" s="272"/>
      <c r="K803" s="272"/>
      <c r="L803" s="272"/>
      <c r="M803" s="272"/>
      <c r="N803" s="272"/>
      <c r="O803" s="272"/>
      <c r="P803" s="272"/>
      <c r="Q803" s="272"/>
      <c r="R803" s="272"/>
      <c r="S803" s="272"/>
      <c r="T803" s="272"/>
      <c r="U803" s="272"/>
      <c r="V803" s="272"/>
      <c r="W803" s="272"/>
      <c r="X803" s="272"/>
      <c r="Y803" s="272"/>
      <c r="Z803" s="272"/>
    </row>
    <row r="804" spans="1:26" ht="15.75" customHeight="1" x14ac:dyDescent="0.2">
      <c r="A804" s="272"/>
      <c r="B804" s="272"/>
      <c r="C804" s="272"/>
      <c r="D804" s="272"/>
      <c r="E804" s="272"/>
      <c r="F804" s="272"/>
      <c r="G804" s="272"/>
      <c r="H804" s="272"/>
      <c r="I804" s="272"/>
      <c r="J804" s="272"/>
      <c r="K804" s="272"/>
      <c r="L804" s="272"/>
      <c r="M804" s="272"/>
      <c r="N804" s="272"/>
      <c r="O804" s="272"/>
      <c r="P804" s="272"/>
      <c r="Q804" s="272"/>
      <c r="R804" s="272"/>
      <c r="S804" s="272"/>
      <c r="T804" s="272"/>
      <c r="U804" s="272"/>
      <c r="V804" s="272"/>
      <c r="W804" s="272"/>
      <c r="X804" s="272"/>
      <c r="Y804" s="272"/>
      <c r="Z804" s="272"/>
    </row>
    <row r="805" spans="1:26" ht="15.75" customHeight="1" x14ac:dyDescent="0.2">
      <c r="A805" s="272"/>
      <c r="B805" s="272"/>
      <c r="C805" s="272"/>
      <c r="D805" s="272"/>
      <c r="E805" s="272"/>
      <c r="F805" s="272"/>
      <c r="G805" s="272"/>
      <c r="H805" s="272"/>
      <c r="I805" s="272"/>
      <c r="J805" s="272"/>
      <c r="K805" s="272"/>
      <c r="L805" s="272"/>
      <c r="M805" s="272"/>
      <c r="N805" s="272"/>
      <c r="O805" s="272"/>
      <c r="P805" s="272"/>
      <c r="Q805" s="272"/>
      <c r="R805" s="272"/>
      <c r="S805" s="272"/>
      <c r="T805" s="272"/>
      <c r="U805" s="272"/>
      <c r="V805" s="272"/>
      <c r="W805" s="272"/>
      <c r="X805" s="272"/>
      <c r="Y805" s="272"/>
      <c r="Z805" s="272"/>
    </row>
    <row r="806" spans="1:26" ht="15.75" customHeight="1" x14ac:dyDescent="0.2">
      <c r="A806" s="272"/>
      <c r="B806" s="272"/>
      <c r="C806" s="272"/>
      <c r="D806" s="272"/>
      <c r="E806" s="272"/>
      <c r="F806" s="272"/>
      <c r="G806" s="272"/>
      <c r="H806" s="272"/>
      <c r="I806" s="272"/>
      <c r="J806" s="272"/>
      <c r="K806" s="272"/>
      <c r="L806" s="272"/>
      <c r="M806" s="272"/>
      <c r="N806" s="272"/>
      <c r="O806" s="272"/>
      <c r="P806" s="272"/>
      <c r="Q806" s="272"/>
      <c r="R806" s="272"/>
      <c r="S806" s="272"/>
      <c r="T806" s="272"/>
      <c r="U806" s="272"/>
      <c r="V806" s="272"/>
      <c r="W806" s="272"/>
      <c r="X806" s="272"/>
      <c r="Y806" s="272"/>
      <c r="Z806" s="272"/>
    </row>
    <row r="807" spans="1:26" ht="15.75" customHeight="1" x14ac:dyDescent="0.2">
      <c r="A807" s="272"/>
      <c r="B807" s="272"/>
      <c r="C807" s="272"/>
      <c r="D807" s="272"/>
      <c r="E807" s="272"/>
      <c r="F807" s="272"/>
      <c r="G807" s="272"/>
      <c r="H807" s="272"/>
      <c r="I807" s="272"/>
      <c r="J807" s="272"/>
      <c r="K807" s="272"/>
      <c r="L807" s="272"/>
      <c r="M807" s="272"/>
      <c r="N807" s="272"/>
      <c r="O807" s="272"/>
      <c r="P807" s="272"/>
      <c r="Q807" s="272"/>
      <c r="R807" s="272"/>
      <c r="S807" s="272"/>
      <c r="T807" s="272"/>
      <c r="U807" s="272"/>
      <c r="V807" s="272"/>
      <c r="W807" s="272"/>
      <c r="X807" s="272"/>
      <c r="Y807" s="272"/>
      <c r="Z807" s="272"/>
    </row>
    <row r="808" spans="1:26" ht="15.75" customHeight="1" x14ac:dyDescent="0.2">
      <c r="A808" s="272"/>
      <c r="B808" s="272"/>
      <c r="C808" s="272"/>
      <c r="D808" s="272"/>
      <c r="E808" s="272"/>
      <c r="F808" s="272"/>
      <c r="G808" s="272"/>
      <c r="H808" s="272"/>
      <c r="I808" s="272"/>
      <c r="J808" s="272"/>
      <c r="K808" s="272"/>
      <c r="L808" s="272"/>
      <c r="M808" s="272"/>
      <c r="N808" s="272"/>
      <c r="O808" s="272"/>
      <c r="P808" s="272"/>
      <c r="Q808" s="272"/>
      <c r="R808" s="272"/>
      <c r="S808" s="272"/>
      <c r="T808" s="272"/>
      <c r="U808" s="272"/>
      <c r="V808" s="272"/>
      <c r="W808" s="272"/>
      <c r="X808" s="272"/>
      <c r="Y808" s="272"/>
      <c r="Z808" s="272"/>
    </row>
    <row r="809" spans="1:26" ht="15.75" customHeight="1" x14ac:dyDescent="0.2">
      <c r="A809" s="272"/>
      <c r="B809" s="272"/>
      <c r="C809" s="272"/>
      <c r="D809" s="272"/>
      <c r="E809" s="272"/>
      <c r="F809" s="272"/>
      <c r="G809" s="272"/>
      <c r="H809" s="272"/>
      <c r="I809" s="272"/>
      <c r="J809" s="272"/>
      <c r="K809" s="272"/>
      <c r="L809" s="272"/>
      <c r="M809" s="272"/>
      <c r="N809" s="272"/>
      <c r="O809" s="272"/>
      <c r="P809" s="272"/>
      <c r="Q809" s="272"/>
      <c r="R809" s="272"/>
      <c r="S809" s="272"/>
      <c r="T809" s="272"/>
      <c r="U809" s="272"/>
      <c r="V809" s="272"/>
      <c r="W809" s="272"/>
      <c r="X809" s="272"/>
      <c r="Y809" s="272"/>
      <c r="Z809" s="272"/>
    </row>
    <row r="810" spans="1:26" ht="15.75" customHeight="1" x14ac:dyDescent="0.2">
      <c r="A810" s="272"/>
      <c r="B810" s="272"/>
      <c r="C810" s="272"/>
      <c r="D810" s="272"/>
      <c r="E810" s="272"/>
      <c r="F810" s="272"/>
      <c r="G810" s="272"/>
      <c r="H810" s="272"/>
      <c r="I810" s="272"/>
      <c r="J810" s="272"/>
      <c r="K810" s="272"/>
      <c r="L810" s="272"/>
      <c r="M810" s="272"/>
      <c r="N810" s="272"/>
      <c r="O810" s="272"/>
      <c r="P810" s="272"/>
      <c r="Q810" s="272"/>
      <c r="R810" s="272"/>
      <c r="S810" s="272"/>
      <c r="T810" s="272"/>
      <c r="U810" s="272"/>
      <c r="V810" s="272"/>
      <c r="W810" s="272"/>
      <c r="X810" s="272"/>
      <c r="Y810" s="272"/>
      <c r="Z810" s="272"/>
    </row>
    <row r="811" spans="1:26" ht="15.75" customHeight="1" x14ac:dyDescent="0.2">
      <c r="A811" s="272"/>
      <c r="B811" s="272"/>
      <c r="C811" s="272"/>
      <c r="D811" s="272"/>
      <c r="E811" s="272"/>
      <c r="F811" s="272"/>
      <c r="G811" s="272"/>
      <c r="H811" s="272"/>
      <c r="I811" s="272"/>
      <c r="J811" s="272"/>
      <c r="K811" s="272"/>
      <c r="L811" s="272"/>
      <c r="M811" s="272"/>
      <c r="N811" s="272"/>
      <c r="O811" s="272"/>
      <c r="P811" s="272"/>
      <c r="Q811" s="272"/>
      <c r="R811" s="272"/>
      <c r="S811" s="272"/>
      <c r="T811" s="272"/>
      <c r="U811" s="272"/>
      <c r="V811" s="272"/>
      <c r="W811" s="272"/>
      <c r="X811" s="272"/>
      <c r="Y811" s="272"/>
      <c r="Z811" s="272"/>
    </row>
    <row r="812" spans="1:26" ht="15.75" customHeight="1" x14ac:dyDescent="0.2">
      <c r="A812" s="272"/>
      <c r="B812" s="272"/>
      <c r="C812" s="272"/>
      <c r="D812" s="272"/>
      <c r="E812" s="272"/>
      <c r="F812" s="272"/>
      <c r="G812" s="272"/>
      <c r="H812" s="272"/>
      <c r="I812" s="272"/>
      <c r="J812" s="272"/>
      <c r="K812" s="272"/>
      <c r="L812" s="272"/>
      <c r="M812" s="272"/>
      <c r="N812" s="272"/>
      <c r="O812" s="272"/>
      <c r="P812" s="272"/>
      <c r="Q812" s="272"/>
      <c r="R812" s="272"/>
      <c r="S812" s="272"/>
      <c r="T812" s="272"/>
      <c r="U812" s="272"/>
      <c r="V812" s="272"/>
      <c r="W812" s="272"/>
      <c r="X812" s="272"/>
      <c r="Y812" s="272"/>
      <c r="Z812" s="272"/>
    </row>
    <row r="813" spans="1:26" ht="15.75" customHeight="1" x14ac:dyDescent="0.2">
      <c r="A813" s="272"/>
      <c r="B813" s="272"/>
      <c r="C813" s="272"/>
      <c r="D813" s="272"/>
      <c r="E813" s="272"/>
      <c r="F813" s="272"/>
      <c r="G813" s="272"/>
      <c r="H813" s="272"/>
      <c r="I813" s="272"/>
      <c r="J813" s="272"/>
      <c r="K813" s="272"/>
      <c r="L813" s="272"/>
      <c r="M813" s="272"/>
      <c r="N813" s="272"/>
      <c r="O813" s="272"/>
      <c r="P813" s="272"/>
      <c r="Q813" s="272"/>
      <c r="R813" s="272"/>
      <c r="S813" s="272"/>
      <c r="T813" s="272"/>
      <c r="U813" s="272"/>
      <c r="V813" s="272"/>
      <c r="W813" s="272"/>
      <c r="X813" s="272"/>
      <c r="Y813" s="272"/>
      <c r="Z813" s="272"/>
    </row>
    <row r="814" spans="1:26" ht="15.75" customHeight="1" x14ac:dyDescent="0.2">
      <c r="A814" s="272"/>
      <c r="B814" s="272"/>
      <c r="C814" s="272"/>
      <c r="D814" s="272"/>
      <c r="E814" s="272"/>
      <c r="F814" s="272"/>
      <c r="G814" s="272"/>
      <c r="H814" s="272"/>
      <c r="I814" s="272"/>
      <c r="J814" s="272"/>
      <c r="K814" s="272"/>
      <c r="L814" s="272"/>
      <c r="M814" s="272"/>
      <c r="N814" s="272"/>
      <c r="O814" s="272"/>
      <c r="P814" s="272"/>
      <c r="Q814" s="272"/>
      <c r="R814" s="272"/>
      <c r="S814" s="272"/>
      <c r="T814" s="272"/>
      <c r="U814" s="272"/>
      <c r="V814" s="272"/>
      <c r="W814" s="272"/>
      <c r="X814" s="272"/>
      <c r="Y814" s="272"/>
      <c r="Z814" s="272"/>
    </row>
    <row r="815" spans="1:26" ht="15.75" customHeight="1" x14ac:dyDescent="0.2">
      <c r="A815" s="272"/>
      <c r="B815" s="272"/>
      <c r="C815" s="272"/>
      <c r="D815" s="272"/>
      <c r="E815" s="272"/>
      <c r="F815" s="272"/>
      <c r="G815" s="272"/>
      <c r="H815" s="272"/>
      <c r="I815" s="272"/>
      <c r="J815" s="272"/>
      <c r="K815" s="272"/>
      <c r="L815" s="272"/>
      <c r="M815" s="272"/>
      <c r="N815" s="272"/>
      <c r="O815" s="272"/>
      <c r="P815" s="272"/>
      <c r="Q815" s="272"/>
      <c r="R815" s="272"/>
      <c r="S815" s="272"/>
      <c r="T815" s="272"/>
      <c r="U815" s="272"/>
      <c r="V815" s="272"/>
      <c r="W815" s="272"/>
      <c r="X815" s="272"/>
      <c r="Y815" s="272"/>
      <c r="Z815" s="272"/>
    </row>
    <row r="816" spans="1:26" ht="15.75" customHeight="1" x14ac:dyDescent="0.2">
      <c r="A816" s="272"/>
      <c r="B816" s="272"/>
      <c r="C816" s="272"/>
      <c r="D816" s="272"/>
      <c r="E816" s="272"/>
      <c r="F816" s="272"/>
      <c r="G816" s="272"/>
      <c r="H816" s="272"/>
      <c r="I816" s="272"/>
      <c r="J816" s="272"/>
      <c r="K816" s="272"/>
      <c r="L816" s="272"/>
      <c r="M816" s="272"/>
      <c r="N816" s="272"/>
      <c r="O816" s="272"/>
      <c r="P816" s="272"/>
      <c r="Q816" s="272"/>
      <c r="R816" s="272"/>
      <c r="S816" s="272"/>
      <c r="T816" s="272"/>
      <c r="U816" s="272"/>
      <c r="V816" s="272"/>
      <c r="W816" s="272"/>
      <c r="X816" s="272"/>
      <c r="Y816" s="272"/>
      <c r="Z816" s="272"/>
    </row>
    <row r="817" spans="1:26" ht="15.75" customHeight="1" x14ac:dyDescent="0.2">
      <c r="A817" s="272"/>
      <c r="B817" s="272"/>
      <c r="C817" s="272"/>
      <c r="D817" s="272"/>
      <c r="E817" s="272"/>
      <c r="F817" s="272"/>
      <c r="G817" s="272"/>
      <c r="H817" s="272"/>
      <c r="I817" s="272"/>
      <c r="J817" s="272"/>
      <c r="K817" s="272"/>
      <c r="L817" s="272"/>
      <c r="M817" s="272"/>
      <c r="N817" s="272"/>
      <c r="O817" s="272"/>
      <c r="P817" s="272"/>
      <c r="Q817" s="272"/>
      <c r="R817" s="272"/>
      <c r="S817" s="272"/>
      <c r="T817" s="272"/>
      <c r="U817" s="272"/>
      <c r="V817" s="272"/>
      <c r="W817" s="272"/>
      <c r="X817" s="272"/>
      <c r="Y817" s="272"/>
      <c r="Z817" s="272"/>
    </row>
    <row r="818" spans="1:26" ht="15.75" customHeight="1" x14ac:dyDescent="0.2">
      <c r="A818" s="272"/>
      <c r="B818" s="272"/>
      <c r="C818" s="272"/>
      <c r="D818" s="272"/>
      <c r="E818" s="272"/>
      <c r="F818" s="272"/>
      <c r="G818" s="272"/>
      <c r="H818" s="272"/>
      <c r="I818" s="272"/>
      <c r="J818" s="272"/>
      <c r="K818" s="272"/>
      <c r="L818" s="272"/>
      <c r="M818" s="272"/>
      <c r="N818" s="272"/>
      <c r="O818" s="272"/>
      <c r="P818" s="272"/>
      <c r="Q818" s="272"/>
      <c r="R818" s="272"/>
      <c r="S818" s="272"/>
      <c r="T818" s="272"/>
      <c r="U818" s="272"/>
      <c r="V818" s="272"/>
      <c r="W818" s="272"/>
      <c r="X818" s="272"/>
      <c r="Y818" s="272"/>
      <c r="Z818" s="272"/>
    </row>
    <row r="819" spans="1:26" ht="15.75" customHeight="1" x14ac:dyDescent="0.2">
      <c r="A819" s="272"/>
      <c r="B819" s="272"/>
      <c r="C819" s="272"/>
      <c r="D819" s="272"/>
      <c r="E819" s="272"/>
      <c r="F819" s="272"/>
      <c r="G819" s="272"/>
      <c r="H819" s="272"/>
      <c r="I819" s="272"/>
      <c r="J819" s="272"/>
      <c r="K819" s="272"/>
      <c r="L819" s="272"/>
      <c r="M819" s="272"/>
      <c r="N819" s="272"/>
      <c r="O819" s="272"/>
      <c r="P819" s="272"/>
      <c r="Q819" s="272"/>
      <c r="R819" s="272"/>
      <c r="S819" s="272"/>
      <c r="T819" s="272"/>
      <c r="U819" s="272"/>
      <c r="V819" s="272"/>
      <c r="W819" s="272"/>
      <c r="X819" s="272"/>
      <c r="Y819" s="272"/>
      <c r="Z819" s="272"/>
    </row>
    <row r="820" spans="1:26" ht="15.75" customHeight="1" x14ac:dyDescent="0.2">
      <c r="A820" s="272"/>
      <c r="B820" s="272"/>
      <c r="C820" s="272"/>
      <c r="D820" s="272"/>
      <c r="E820" s="272"/>
      <c r="F820" s="272"/>
      <c r="G820" s="272"/>
      <c r="H820" s="272"/>
      <c r="I820" s="272"/>
      <c r="J820" s="272"/>
      <c r="K820" s="272"/>
      <c r="L820" s="272"/>
      <c r="M820" s="272"/>
      <c r="N820" s="272"/>
      <c r="O820" s="272"/>
      <c r="P820" s="272"/>
      <c r="Q820" s="272"/>
      <c r="R820" s="272"/>
      <c r="S820" s="272"/>
      <c r="T820" s="272"/>
      <c r="U820" s="272"/>
      <c r="V820" s="272"/>
      <c r="W820" s="272"/>
      <c r="X820" s="272"/>
      <c r="Y820" s="272"/>
      <c r="Z820" s="272"/>
    </row>
    <row r="821" spans="1:26" ht="15.75" customHeight="1" x14ac:dyDescent="0.2">
      <c r="A821" s="272"/>
      <c r="B821" s="272"/>
      <c r="C821" s="272"/>
      <c r="D821" s="272"/>
      <c r="E821" s="272"/>
      <c r="F821" s="272"/>
      <c r="G821" s="272"/>
      <c r="H821" s="272"/>
      <c r="I821" s="272"/>
      <c r="J821" s="272"/>
      <c r="K821" s="272"/>
      <c r="L821" s="272"/>
      <c r="M821" s="272"/>
      <c r="N821" s="272"/>
      <c r="O821" s="272"/>
      <c r="P821" s="272"/>
      <c r="Q821" s="272"/>
      <c r="R821" s="272"/>
      <c r="S821" s="272"/>
      <c r="T821" s="272"/>
      <c r="U821" s="272"/>
      <c r="V821" s="272"/>
      <c r="W821" s="272"/>
      <c r="X821" s="272"/>
      <c r="Y821" s="272"/>
      <c r="Z821" s="272"/>
    </row>
    <row r="822" spans="1:26" ht="15.75" customHeight="1" x14ac:dyDescent="0.2">
      <c r="A822" s="272"/>
      <c r="B822" s="272"/>
      <c r="C822" s="272"/>
      <c r="D822" s="272"/>
      <c r="E822" s="272"/>
      <c r="F822" s="272"/>
      <c r="G822" s="272"/>
      <c r="H822" s="272"/>
      <c r="I822" s="272"/>
      <c r="J822" s="272"/>
      <c r="K822" s="272"/>
      <c r="L822" s="272"/>
      <c r="M822" s="272"/>
      <c r="N822" s="272"/>
      <c r="O822" s="272"/>
      <c r="P822" s="272"/>
      <c r="Q822" s="272"/>
      <c r="R822" s="272"/>
      <c r="S822" s="272"/>
      <c r="T822" s="272"/>
      <c r="U822" s="272"/>
      <c r="V822" s="272"/>
      <c r="W822" s="272"/>
      <c r="X822" s="272"/>
      <c r="Y822" s="272"/>
      <c r="Z822" s="272"/>
    </row>
    <row r="823" spans="1:26" ht="15.75" customHeight="1" x14ac:dyDescent="0.2">
      <c r="A823" s="272"/>
      <c r="B823" s="272"/>
      <c r="C823" s="272"/>
      <c r="D823" s="272"/>
      <c r="E823" s="272"/>
      <c r="F823" s="272"/>
      <c r="G823" s="272"/>
      <c r="H823" s="272"/>
      <c r="I823" s="272"/>
      <c r="J823" s="272"/>
      <c r="K823" s="272"/>
      <c r="L823" s="272"/>
      <c r="M823" s="272"/>
      <c r="N823" s="272"/>
      <c r="O823" s="272"/>
      <c r="P823" s="272"/>
      <c r="Q823" s="272"/>
      <c r="R823" s="272"/>
      <c r="S823" s="272"/>
      <c r="T823" s="272"/>
      <c r="U823" s="272"/>
      <c r="V823" s="272"/>
      <c r="W823" s="272"/>
      <c r="X823" s="272"/>
      <c r="Y823" s="272"/>
      <c r="Z823" s="272"/>
    </row>
    <row r="824" spans="1:26" ht="15.75" customHeight="1" x14ac:dyDescent="0.2">
      <c r="A824" s="272"/>
      <c r="B824" s="272"/>
      <c r="C824" s="272"/>
      <c r="D824" s="272"/>
      <c r="E824" s="272"/>
      <c r="F824" s="272"/>
      <c r="G824" s="272"/>
      <c r="H824" s="272"/>
      <c r="I824" s="272"/>
      <c r="J824" s="272"/>
      <c r="K824" s="272"/>
      <c r="L824" s="272"/>
      <c r="M824" s="272"/>
      <c r="N824" s="272"/>
      <c r="O824" s="272"/>
      <c r="P824" s="272"/>
      <c r="Q824" s="272"/>
      <c r="R824" s="272"/>
      <c r="S824" s="272"/>
      <c r="T824" s="272"/>
      <c r="U824" s="272"/>
      <c r="V824" s="272"/>
      <c r="W824" s="272"/>
      <c r="X824" s="272"/>
      <c r="Y824" s="272"/>
      <c r="Z824" s="272"/>
    </row>
    <row r="825" spans="1:26" ht="15.75" customHeight="1" x14ac:dyDescent="0.2">
      <c r="A825" s="272"/>
      <c r="B825" s="272"/>
      <c r="C825" s="272"/>
      <c r="D825" s="272"/>
      <c r="E825" s="272"/>
      <c r="F825" s="272"/>
      <c r="G825" s="272"/>
      <c r="H825" s="272"/>
      <c r="I825" s="272"/>
      <c r="J825" s="272"/>
      <c r="K825" s="272"/>
      <c r="L825" s="272"/>
      <c r="M825" s="272"/>
      <c r="N825" s="272"/>
      <c r="O825" s="272"/>
      <c r="P825" s="272"/>
      <c r="Q825" s="272"/>
      <c r="R825" s="272"/>
      <c r="S825" s="272"/>
      <c r="T825" s="272"/>
      <c r="U825" s="272"/>
      <c r="V825" s="272"/>
      <c r="W825" s="272"/>
      <c r="X825" s="272"/>
      <c r="Y825" s="272"/>
      <c r="Z825" s="272"/>
    </row>
    <row r="826" spans="1:26" ht="15.75" customHeight="1" x14ac:dyDescent="0.2">
      <c r="A826" s="272"/>
      <c r="B826" s="272"/>
      <c r="C826" s="272"/>
      <c r="D826" s="272"/>
      <c r="E826" s="272"/>
      <c r="F826" s="272"/>
      <c r="G826" s="272"/>
      <c r="H826" s="272"/>
      <c r="I826" s="272"/>
      <c r="J826" s="272"/>
      <c r="K826" s="272"/>
      <c r="L826" s="272"/>
      <c r="M826" s="272"/>
      <c r="N826" s="272"/>
      <c r="O826" s="272"/>
      <c r="P826" s="272"/>
      <c r="Q826" s="272"/>
      <c r="R826" s="272"/>
      <c r="S826" s="272"/>
      <c r="T826" s="272"/>
      <c r="U826" s="272"/>
      <c r="V826" s="272"/>
      <c r="W826" s="272"/>
      <c r="X826" s="272"/>
      <c r="Y826" s="272"/>
      <c r="Z826" s="272"/>
    </row>
    <row r="827" spans="1:26" ht="15.75" customHeight="1" x14ac:dyDescent="0.2">
      <c r="A827" s="272"/>
      <c r="B827" s="272"/>
      <c r="C827" s="272"/>
      <c r="D827" s="272"/>
      <c r="E827" s="272"/>
      <c r="F827" s="272"/>
      <c r="G827" s="272"/>
      <c r="H827" s="272"/>
      <c r="I827" s="272"/>
      <c r="J827" s="272"/>
      <c r="K827" s="272"/>
      <c r="L827" s="272"/>
      <c r="M827" s="272"/>
      <c r="N827" s="272"/>
      <c r="O827" s="272"/>
      <c r="P827" s="272"/>
      <c r="Q827" s="272"/>
      <c r="R827" s="272"/>
      <c r="S827" s="272"/>
      <c r="T827" s="272"/>
      <c r="U827" s="272"/>
      <c r="V827" s="272"/>
      <c r="W827" s="272"/>
      <c r="X827" s="272"/>
      <c r="Y827" s="272"/>
      <c r="Z827" s="272"/>
    </row>
    <row r="828" spans="1:26" ht="15.75" customHeight="1" x14ac:dyDescent="0.2">
      <c r="A828" s="272"/>
      <c r="B828" s="272"/>
      <c r="C828" s="272"/>
      <c r="D828" s="272"/>
      <c r="E828" s="272"/>
      <c r="F828" s="272"/>
      <c r="G828" s="272"/>
      <c r="H828" s="272"/>
      <c r="I828" s="272"/>
      <c r="J828" s="272"/>
      <c r="K828" s="272"/>
      <c r="L828" s="272"/>
      <c r="M828" s="272"/>
      <c r="N828" s="272"/>
      <c r="O828" s="272"/>
      <c r="P828" s="272"/>
      <c r="Q828" s="272"/>
      <c r="R828" s="272"/>
      <c r="S828" s="272"/>
      <c r="T828" s="272"/>
      <c r="U828" s="272"/>
      <c r="V828" s="272"/>
      <c r="W828" s="272"/>
      <c r="X828" s="272"/>
      <c r="Y828" s="272"/>
      <c r="Z828" s="272"/>
    </row>
    <row r="829" spans="1:26" ht="15.75" customHeight="1" x14ac:dyDescent="0.2">
      <c r="A829" s="272"/>
      <c r="B829" s="272"/>
      <c r="C829" s="272"/>
      <c r="D829" s="272"/>
      <c r="E829" s="272"/>
      <c r="F829" s="272"/>
      <c r="G829" s="272"/>
      <c r="H829" s="272"/>
      <c r="I829" s="272"/>
      <c r="J829" s="272"/>
      <c r="K829" s="272"/>
      <c r="L829" s="272"/>
      <c r="M829" s="272"/>
      <c r="N829" s="272"/>
      <c r="O829" s="272"/>
      <c r="P829" s="272"/>
      <c r="Q829" s="272"/>
      <c r="R829" s="272"/>
      <c r="S829" s="272"/>
      <c r="T829" s="272"/>
      <c r="U829" s="272"/>
      <c r="V829" s="272"/>
      <c r="W829" s="272"/>
      <c r="X829" s="272"/>
      <c r="Y829" s="272"/>
      <c r="Z829" s="272"/>
    </row>
    <row r="830" spans="1:26" ht="15.75" customHeight="1" x14ac:dyDescent="0.2">
      <c r="A830" s="272"/>
      <c r="B830" s="272"/>
      <c r="C830" s="272"/>
      <c r="D830" s="272"/>
      <c r="E830" s="272"/>
      <c r="F830" s="272"/>
      <c r="G830" s="272"/>
      <c r="H830" s="272"/>
      <c r="I830" s="272"/>
      <c r="J830" s="272"/>
      <c r="K830" s="272"/>
      <c r="L830" s="272"/>
      <c r="M830" s="272"/>
      <c r="N830" s="272"/>
      <c r="O830" s="272"/>
      <c r="P830" s="272"/>
      <c r="Q830" s="272"/>
      <c r="R830" s="272"/>
      <c r="S830" s="272"/>
      <c r="T830" s="272"/>
      <c r="U830" s="272"/>
      <c r="V830" s="272"/>
      <c r="W830" s="272"/>
      <c r="X830" s="272"/>
      <c r="Y830" s="272"/>
      <c r="Z830" s="272"/>
    </row>
    <row r="831" spans="1:26" ht="15.75" customHeight="1" x14ac:dyDescent="0.2">
      <c r="A831" s="272"/>
      <c r="B831" s="272"/>
      <c r="C831" s="272"/>
      <c r="D831" s="272"/>
      <c r="E831" s="272"/>
      <c r="F831" s="272"/>
      <c r="G831" s="272"/>
      <c r="H831" s="272"/>
      <c r="I831" s="272"/>
      <c r="J831" s="272"/>
      <c r="K831" s="272"/>
      <c r="L831" s="272"/>
      <c r="M831" s="272"/>
      <c r="N831" s="272"/>
      <c r="O831" s="272"/>
      <c r="P831" s="272"/>
      <c r="Q831" s="272"/>
      <c r="R831" s="272"/>
      <c r="S831" s="272"/>
      <c r="T831" s="272"/>
      <c r="U831" s="272"/>
      <c r="V831" s="272"/>
      <c r="W831" s="272"/>
      <c r="X831" s="272"/>
      <c r="Y831" s="272"/>
      <c r="Z831" s="272"/>
    </row>
    <row r="832" spans="1:26" ht="15.75" customHeight="1" x14ac:dyDescent="0.2">
      <c r="A832" s="272"/>
      <c r="B832" s="272"/>
      <c r="C832" s="272"/>
      <c r="D832" s="272"/>
      <c r="E832" s="272"/>
      <c r="F832" s="272"/>
      <c r="G832" s="272"/>
      <c r="H832" s="272"/>
      <c r="I832" s="272"/>
      <c r="J832" s="272"/>
      <c r="K832" s="272"/>
      <c r="L832" s="272"/>
      <c r="M832" s="272"/>
      <c r="N832" s="272"/>
      <c r="O832" s="272"/>
      <c r="P832" s="272"/>
      <c r="Q832" s="272"/>
      <c r="R832" s="272"/>
      <c r="S832" s="272"/>
      <c r="T832" s="272"/>
      <c r="U832" s="272"/>
      <c r="V832" s="272"/>
      <c r="W832" s="272"/>
      <c r="X832" s="272"/>
      <c r="Y832" s="272"/>
      <c r="Z832" s="272"/>
    </row>
    <row r="833" spans="1:26" ht="15.75" customHeight="1" x14ac:dyDescent="0.2">
      <c r="A833" s="272"/>
      <c r="B833" s="272"/>
      <c r="C833" s="272"/>
      <c r="D833" s="272"/>
      <c r="E833" s="272"/>
      <c r="F833" s="272"/>
      <c r="G833" s="272"/>
      <c r="H833" s="272"/>
      <c r="I833" s="272"/>
      <c r="J833" s="272"/>
      <c r="K833" s="272"/>
      <c r="L833" s="272"/>
      <c r="M833" s="272"/>
      <c r="N833" s="272"/>
      <c r="O833" s="272"/>
      <c r="P833" s="272"/>
      <c r="Q833" s="272"/>
      <c r="R833" s="272"/>
      <c r="S833" s="272"/>
      <c r="T833" s="272"/>
      <c r="U833" s="272"/>
      <c r="V833" s="272"/>
      <c r="W833" s="272"/>
      <c r="X833" s="272"/>
      <c r="Y833" s="272"/>
      <c r="Z833" s="272"/>
    </row>
    <row r="834" spans="1:26" ht="15.75" customHeight="1" x14ac:dyDescent="0.2">
      <c r="A834" s="272"/>
      <c r="B834" s="272"/>
      <c r="C834" s="272"/>
      <c r="D834" s="272"/>
      <c r="E834" s="272"/>
      <c r="F834" s="272"/>
      <c r="G834" s="272"/>
      <c r="H834" s="272"/>
      <c r="I834" s="272"/>
      <c r="J834" s="272"/>
      <c r="K834" s="272"/>
      <c r="L834" s="272"/>
      <c r="M834" s="272"/>
      <c r="N834" s="272"/>
      <c r="O834" s="272"/>
      <c r="P834" s="272"/>
      <c r="Q834" s="272"/>
      <c r="R834" s="272"/>
      <c r="S834" s="272"/>
      <c r="T834" s="272"/>
      <c r="U834" s="272"/>
      <c r="V834" s="272"/>
      <c r="W834" s="272"/>
      <c r="X834" s="272"/>
      <c r="Y834" s="272"/>
      <c r="Z834" s="272"/>
    </row>
    <row r="835" spans="1:26" ht="15.75" customHeight="1" x14ac:dyDescent="0.2">
      <c r="A835" s="272"/>
      <c r="B835" s="272"/>
      <c r="C835" s="272"/>
      <c r="D835" s="272"/>
      <c r="E835" s="272"/>
      <c r="F835" s="272"/>
      <c r="G835" s="272"/>
      <c r="H835" s="272"/>
      <c r="I835" s="272"/>
      <c r="J835" s="272"/>
      <c r="K835" s="272"/>
      <c r="L835" s="272"/>
      <c r="M835" s="272"/>
      <c r="N835" s="272"/>
      <c r="O835" s="272"/>
      <c r="P835" s="272"/>
      <c r="Q835" s="272"/>
      <c r="R835" s="272"/>
      <c r="S835" s="272"/>
      <c r="T835" s="272"/>
      <c r="U835" s="272"/>
      <c r="V835" s="272"/>
      <c r="W835" s="272"/>
      <c r="X835" s="272"/>
      <c r="Y835" s="272"/>
      <c r="Z835" s="272"/>
    </row>
    <row r="836" spans="1:26" ht="15.75" customHeight="1" x14ac:dyDescent="0.2">
      <c r="A836" s="272"/>
      <c r="B836" s="272"/>
      <c r="C836" s="272"/>
      <c r="D836" s="272"/>
      <c r="E836" s="272"/>
      <c r="F836" s="272"/>
      <c r="G836" s="272"/>
      <c r="H836" s="272"/>
      <c r="I836" s="272"/>
      <c r="J836" s="272"/>
      <c r="K836" s="272"/>
      <c r="L836" s="272"/>
      <c r="M836" s="272"/>
      <c r="N836" s="272"/>
      <c r="O836" s="272"/>
      <c r="P836" s="272"/>
      <c r="Q836" s="272"/>
      <c r="R836" s="272"/>
      <c r="S836" s="272"/>
      <c r="T836" s="272"/>
      <c r="U836" s="272"/>
      <c r="V836" s="272"/>
      <c r="W836" s="272"/>
      <c r="X836" s="272"/>
      <c r="Y836" s="272"/>
      <c r="Z836" s="272"/>
    </row>
    <row r="837" spans="1:26" ht="15.75" customHeight="1" x14ac:dyDescent="0.2">
      <c r="A837" s="272"/>
      <c r="B837" s="272"/>
      <c r="C837" s="272"/>
      <c r="D837" s="272"/>
      <c r="E837" s="272"/>
      <c r="F837" s="272"/>
      <c r="G837" s="272"/>
      <c r="H837" s="272"/>
      <c r="I837" s="272"/>
      <c r="J837" s="272"/>
      <c r="K837" s="272"/>
      <c r="L837" s="272"/>
      <c r="M837" s="272"/>
      <c r="N837" s="272"/>
      <c r="O837" s="272"/>
      <c r="P837" s="272"/>
      <c r="Q837" s="272"/>
      <c r="R837" s="272"/>
      <c r="S837" s="272"/>
      <c r="T837" s="272"/>
      <c r="U837" s="272"/>
      <c r="V837" s="272"/>
      <c r="W837" s="272"/>
      <c r="X837" s="272"/>
      <c r="Y837" s="272"/>
      <c r="Z837" s="272"/>
    </row>
    <row r="838" spans="1:26" ht="15.75" customHeight="1" x14ac:dyDescent="0.2">
      <c r="A838" s="272"/>
      <c r="B838" s="272"/>
      <c r="C838" s="272"/>
      <c r="D838" s="272"/>
      <c r="E838" s="272"/>
      <c r="F838" s="272"/>
      <c r="G838" s="272"/>
      <c r="H838" s="272"/>
      <c r="I838" s="272"/>
      <c r="J838" s="272"/>
      <c r="K838" s="272"/>
      <c r="L838" s="272"/>
      <c r="M838" s="272"/>
      <c r="N838" s="272"/>
      <c r="O838" s="272"/>
      <c r="P838" s="272"/>
      <c r="Q838" s="272"/>
      <c r="R838" s="272"/>
      <c r="S838" s="272"/>
      <c r="T838" s="272"/>
      <c r="U838" s="272"/>
      <c r="V838" s="272"/>
      <c r="W838" s="272"/>
      <c r="X838" s="272"/>
      <c r="Y838" s="272"/>
      <c r="Z838" s="272"/>
    </row>
    <row r="839" spans="1:26" ht="15.75" customHeight="1" x14ac:dyDescent="0.2">
      <c r="A839" s="272"/>
      <c r="B839" s="272"/>
      <c r="C839" s="272"/>
      <c r="D839" s="272"/>
      <c r="E839" s="272"/>
      <c r="F839" s="272"/>
      <c r="G839" s="272"/>
      <c r="H839" s="272"/>
      <c r="I839" s="272"/>
      <c r="J839" s="272"/>
      <c r="K839" s="272"/>
      <c r="L839" s="272"/>
      <c r="M839" s="272"/>
      <c r="N839" s="272"/>
      <c r="O839" s="272"/>
      <c r="P839" s="272"/>
      <c r="Q839" s="272"/>
      <c r="R839" s="272"/>
      <c r="S839" s="272"/>
      <c r="T839" s="272"/>
      <c r="U839" s="272"/>
      <c r="V839" s="272"/>
      <c r="W839" s="272"/>
      <c r="X839" s="272"/>
      <c r="Y839" s="272"/>
      <c r="Z839" s="272"/>
    </row>
    <row r="840" spans="1:26" ht="15.75" customHeight="1" x14ac:dyDescent="0.2">
      <c r="A840" s="272"/>
      <c r="B840" s="272"/>
      <c r="C840" s="272"/>
      <c r="D840" s="272"/>
      <c r="E840" s="272"/>
      <c r="F840" s="272"/>
      <c r="G840" s="272"/>
      <c r="H840" s="272"/>
      <c r="I840" s="272"/>
      <c r="J840" s="272"/>
      <c r="K840" s="272"/>
      <c r="L840" s="272"/>
      <c r="M840" s="272"/>
      <c r="N840" s="272"/>
      <c r="O840" s="272"/>
      <c r="P840" s="272"/>
      <c r="Q840" s="272"/>
      <c r="R840" s="272"/>
      <c r="S840" s="272"/>
      <c r="T840" s="272"/>
      <c r="U840" s="272"/>
      <c r="V840" s="272"/>
      <c r="W840" s="272"/>
      <c r="X840" s="272"/>
      <c r="Y840" s="272"/>
      <c r="Z840" s="272"/>
    </row>
    <row r="841" spans="1:26" ht="15.75" customHeight="1" x14ac:dyDescent="0.2">
      <c r="A841" s="272"/>
      <c r="B841" s="272"/>
      <c r="C841" s="272"/>
      <c r="D841" s="272"/>
      <c r="E841" s="272"/>
      <c r="F841" s="272"/>
      <c r="G841" s="272"/>
      <c r="H841" s="272"/>
      <c r="I841" s="272"/>
      <c r="J841" s="272"/>
      <c r="K841" s="272"/>
      <c r="L841" s="272"/>
      <c r="M841" s="272"/>
      <c r="N841" s="272"/>
      <c r="O841" s="272"/>
      <c r="P841" s="272"/>
      <c r="Q841" s="272"/>
      <c r="R841" s="272"/>
      <c r="S841" s="272"/>
      <c r="T841" s="272"/>
      <c r="U841" s="272"/>
      <c r="V841" s="272"/>
      <c r="W841" s="272"/>
      <c r="X841" s="272"/>
      <c r="Y841" s="272"/>
      <c r="Z841" s="272"/>
    </row>
    <row r="842" spans="1:26" ht="15.75" customHeight="1" x14ac:dyDescent="0.2">
      <c r="A842" s="272"/>
      <c r="B842" s="272"/>
      <c r="C842" s="272"/>
      <c r="D842" s="272"/>
      <c r="E842" s="272"/>
      <c r="F842" s="272"/>
      <c r="G842" s="272"/>
      <c r="H842" s="272"/>
      <c r="I842" s="272"/>
      <c r="J842" s="272"/>
      <c r="K842" s="272"/>
      <c r="L842" s="272"/>
      <c r="M842" s="272"/>
      <c r="N842" s="272"/>
      <c r="O842" s="272"/>
      <c r="P842" s="272"/>
      <c r="Q842" s="272"/>
      <c r="R842" s="272"/>
      <c r="S842" s="272"/>
      <c r="T842" s="272"/>
      <c r="U842" s="272"/>
      <c r="V842" s="272"/>
      <c r="W842" s="272"/>
      <c r="X842" s="272"/>
      <c r="Y842" s="272"/>
      <c r="Z842" s="272"/>
    </row>
    <row r="843" spans="1:26" ht="15.75" customHeight="1" x14ac:dyDescent="0.2">
      <c r="A843" s="272"/>
      <c r="B843" s="272"/>
      <c r="C843" s="272"/>
      <c r="D843" s="272"/>
      <c r="E843" s="272"/>
      <c r="F843" s="272"/>
      <c r="G843" s="272"/>
      <c r="H843" s="272"/>
      <c r="I843" s="272"/>
      <c r="J843" s="272"/>
      <c r="K843" s="272"/>
      <c r="L843" s="272"/>
      <c r="M843" s="272"/>
      <c r="N843" s="272"/>
      <c r="O843" s="272"/>
      <c r="P843" s="272"/>
      <c r="Q843" s="272"/>
      <c r="R843" s="272"/>
      <c r="S843" s="272"/>
      <c r="T843" s="272"/>
      <c r="U843" s="272"/>
      <c r="V843" s="272"/>
      <c r="W843" s="272"/>
      <c r="X843" s="272"/>
      <c r="Y843" s="272"/>
      <c r="Z843" s="272"/>
    </row>
    <row r="844" spans="1:26" ht="15.75" customHeight="1" x14ac:dyDescent="0.2">
      <c r="A844" s="272"/>
      <c r="B844" s="272"/>
      <c r="C844" s="272"/>
      <c r="D844" s="272"/>
      <c r="E844" s="272"/>
      <c r="F844" s="272"/>
      <c r="G844" s="272"/>
      <c r="H844" s="272"/>
      <c r="I844" s="272"/>
      <c r="J844" s="272"/>
      <c r="K844" s="272"/>
      <c r="L844" s="272"/>
      <c r="M844" s="272"/>
      <c r="N844" s="272"/>
      <c r="O844" s="272"/>
      <c r="P844" s="272"/>
      <c r="Q844" s="272"/>
      <c r="R844" s="272"/>
      <c r="S844" s="272"/>
      <c r="T844" s="272"/>
      <c r="U844" s="272"/>
      <c r="V844" s="272"/>
      <c r="W844" s="272"/>
      <c r="X844" s="272"/>
      <c r="Y844" s="272"/>
      <c r="Z844" s="272"/>
    </row>
    <row r="845" spans="1:26" ht="15.75" customHeight="1" x14ac:dyDescent="0.2">
      <c r="A845" s="272"/>
      <c r="B845" s="272"/>
      <c r="C845" s="272"/>
      <c r="D845" s="272"/>
      <c r="E845" s="272"/>
      <c r="F845" s="272"/>
      <c r="G845" s="272"/>
      <c r="H845" s="272"/>
      <c r="I845" s="272"/>
      <c r="J845" s="272"/>
      <c r="K845" s="272"/>
      <c r="L845" s="272"/>
      <c r="M845" s="272"/>
      <c r="N845" s="272"/>
      <c r="O845" s="272"/>
      <c r="P845" s="272"/>
      <c r="Q845" s="272"/>
      <c r="R845" s="272"/>
      <c r="S845" s="272"/>
      <c r="T845" s="272"/>
      <c r="U845" s="272"/>
      <c r="V845" s="272"/>
      <c r="W845" s="272"/>
      <c r="X845" s="272"/>
      <c r="Y845" s="272"/>
      <c r="Z845" s="272"/>
    </row>
    <row r="846" spans="1:26" ht="15.75" customHeight="1" x14ac:dyDescent="0.2">
      <c r="A846" s="272"/>
      <c r="B846" s="272"/>
      <c r="C846" s="272"/>
      <c r="D846" s="272"/>
      <c r="E846" s="272"/>
      <c r="F846" s="272"/>
      <c r="G846" s="272"/>
      <c r="H846" s="272"/>
      <c r="I846" s="272"/>
      <c r="J846" s="272"/>
      <c r="K846" s="272"/>
      <c r="L846" s="272"/>
      <c r="M846" s="272"/>
      <c r="N846" s="272"/>
      <c r="O846" s="272"/>
      <c r="P846" s="272"/>
      <c r="Q846" s="272"/>
      <c r="R846" s="272"/>
      <c r="S846" s="272"/>
      <c r="T846" s="272"/>
      <c r="U846" s="272"/>
      <c r="V846" s="272"/>
      <c r="W846" s="272"/>
      <c r="X846" s="272"/>
      <c r="Y846" s="272"/>
      <c r="Z846" s="272"/>
    </row>
    <row r="847" spans="1:26" ht="15.75" customHeight="1" x14ac:dyDescent="0.2">
      <c r="A847" s="272"/>
      <c r="B847" s="272"/>
      <c r="C847" s="272"/>
      <c r="D847" s="272"/>
      <c r="E847" s="272"/>
      <c r="F847" s="272"/>
      <c r="G847" s="272"/>
      <c r="H847" s="272"/>
      <c r="I847" s="272"/>
      <c r="J847" s="272"/>
      <c r="K847" s="272"/>
      <c r="L847" s="272"/>
      <c r="M847" s="272"/>
      <c r="N847" s="272"/>
      <c r="O847" s="272"/>
      <c r="P847" s="272"/>
      <c r="Q847" s="272"/>
      <c r="R847" s="272"/>
      <c r="S847" s="272"/>
      <c r="T847" s="272"/>
      <c r="U847" s="272"/>
      <c r="V847" s="272"/>
      <c r="W847" s="272"/>
      <c r="X847" s="272"/>
      <c r="Y847" s="272"/>
      <c r="Z847" s="272"/>
    </row>
    <row r="848" spans="1:26" ht="15.75" customHeight="1" x14ac:dyDescent="0.2">
      <c r="A848" s="272"/>
      <c r="B848" s="272"/>
      <c r="C848" s="272"/>
      <c r="D848" s="272"/>
      <c r="E848" s="272"/>
      <c r="F848" s="272"/>
      <c r="G848" s="272"/>
      <c r="H848" s="272"/>
      <c r="I848" s="272"/>
      <c r="J848" s="272"/>
      <c r="K848" s="272"/>
      <c r="L848" s="272"/>
      <c r="M848" s="272"/>
      <c r="N848" s="272"/>
      <c r="O848" s="272"/>
      <c r="P848" s="272"/>
      <c r="Q848" s="272"/>
      <c r="R848" s="272"/>
      <c r="S848" s="272"/>
      <c r="T848" s="272"/>
      <c r="U848" s="272"/>
      <c r="V848" s="272"/>
      <c r="W848" s="272"/>
      <c r="X848" s="272"/>
      <c r="Y848" s="272"/>
      <c r="Z848" s="272"/>
    </row>
    <row r="849" spans="1:26" ht="15.75" customHeight="1" x14ac:dyDescent="0.2">
      <c r="A849" s="272"/>
      <c r="B849" s="272"/>
      <c r="C849" s="272"/>
      <c r="D849" s="272"/>
      <c r="E849" s="272"/>
      <c r="F849" s="272"/>
      <c r="G849" s="272"/>
      <c r="H849" s="272"/>
      <c r="I849" s="272"/>
      <c r="J849" s="272"/>
      <c r="K849" s="272"/>
      <c r="L849" s="272"/>
      <c r="M849" s="272"/>
      <c r="N849" s="272"/>
      <c r="O849" s="272"/>
      <c r="P849" s="272"/>
      <c r="Q849" s="272"/>
      <c r="R849" s="272"/>
      <c r="S849" s="272"/>
      <c r="T849" s="272"/>
      <c r="U849" s="272"/>
      <c r="V849" s="272"/>
      <c r="W849" s="272"/>
      <c r="X849" s="272"/>
      <c r="Y849" s="272"/>
      <c r="Z849" s="272"/>
    </row>
    <row r="850" spans="1:26" ht="15.75" customHeight="1" x14ac:dyDescent="0.2">
      <c r="A850" s="272"/>
      <c r="B850" s="272"/>
      <c r="C850" s="272"/>
      <c r="D850" s="272"/>
      <c r="E850" s="272"/>
      <c r="F850" s="272"/>
      <c r="G850" s="272"/>
      <c r="H850" s="272"/>
      <c r="I850" s="272"/>
      <c r="J850" s="272"/>
      <c r="K850" s="272"/>
      <c r="L850" s="272"/>
      <c r="M850" s="272"/>
      <c r="N850" s="272"/>
      <c r="O850" s="272"/>
      <c r="P850" s="272"/>
      <c r="Q850" s="272"/>
      <c r="R850" s="272"/>
      <c r="S850" s="272"/>
      <c r="T850" s="272"/>
      <c r="U850" s="272"/>
      <c r="V850" s="272"/>
      <c r="W850" s="272"/>
      <c r="X850" s="272"/>
      <c r="Y850" s="272"/>
      <c r="Z850" s="272"/>
    </row>
    <row r="851" spans="1:26" ht="15.75" customHeight="1" x14ac:dyDescent="0.2">
      <c r="A851" s="272"/>
      <c r="B851" s="272"/>
      <c r="C851" s="272"/>
      <c r="D851" s="272"/>
      <c r="E851" s="272"/>
      <c r="F851" s="272"/>
      <c r="G851" s="272"/>
      <c r="H851" s="272"/>
      <c r="I851" s="272"/>
      <c r="J851" s="272"/>
      <c r="K851" s="272"/>
      <c r="L851" s="272"/>
      <c r="M851" s="272"/>
      <c r="N851" s="272"/>
      <c r="O851" s="272"/>
      <c r="P851" s="272"/>
      <c r="Q851" s="272"/>
      <c r="R851" s="272"/>
      <c r="S851" s="272"/>
      <c r="T851" s="272"/>
      <c r="U851" s="272"/>
      <c r="V851" s="272"/>
      <c r="W851" s="272"/>
      <c r="X851" s="272"/>
      <c r="Y851" s="272"/>
      <c r="Z851" s="272"/>
    </row>
    <row r="852" spans="1:26" ht="15.75" customHeight="1" x14ac:dyDescent="0.2">
      <c r="A852" s="272"/>
      <c r="B852" s="272"/>
      <c r="C852" s="272"/>
      <c r="D852" s="272"/>
      <c r="E852" s="272"/>
      <c r="F852" s="272"/>
      <c r="G852" s="272"/>
      <c r="H852" s="272"/>
      <c r="I852" s="272"/>
      <c r="J852" s="272"/>
      <c r="K852" s="272"/>
      <c r="L852" s="272"/>
      <c r="M852" s="272"/>
      <c r="N852" s="272"/>
      <c r="O852" s="272"/>
      <c r="P852" s="272"/>
      <c r="Q852" s="272"/>
      <c r="R852" s="272"/>
      <c r="S852" s="272"/>
      <c r="T852" s="272"/>
      <c r="U852" s="272"/>
      <c r="V852" s="272"/>
      <c r="W852" s="272"/>
      <c r="X852" s="272"/>
      <c r="Y852" s="272"/>
      <c r="Z852" s="272"/>
    </row>
    <row r="853" spans="1:26" ht="15.75" customHeight="1" x14ac:dyDescent="0.2">
      <c r="A853" s="272"/>
      <c r="B853" s="272"/>
      <c r="C853" s="272"/>
      <c r="D853" s="272"/>
      <c r="E853" s="272"/>
      <c r="F853" s="272"/>
      <c r="G853" s="272"/>
      <c r="H853" s="272"/>
      <c r="I853" s="272"/>
      <c r="J853" s="272"/>
      <c r="K853" s="272"/>
      <c r="L853" s="272"/>
      <c r="M853" s="272"/>
      <c r="N853" s="272"/>
      <c r="O853" s="272"/>
      <c r="P853" s="272"/>
      <c r="Q853" s="272"/>
      <c r="R853" s="272"/>
      <c r="S853" s="272"/>
      <c r="T853" s="272"/>
      <c r="U853" s="272"/>
      <c r="V853" s="272"/>
      <c r="W853" s="272"/>
      <c r="X853" s="272"/>
      <c r="Y853" s="272"/>
      <c r="Z853" s="272"/>
    </row>
    <row r="854" spans="1:26" ht="15.75" customHeight="1" x14ac:dyDescent="0.2">
      <c r="A854" s="272"/>
      <c r="B854" s="272"/>
      <c r="C854" s="272"/>
      <c r="D854" s="272"/>
      <c r="E854" s="272"/>
      <c r="F854" s="272"/>
      <c r="G854" s="272"/>
      <c r="H854" s="272"/>
      <c r="I854" s="272"/>
      <c r="J854" s="272"/>
      <c r="K854" s="272"/>
      <c r="L854" s="272"/>
      <c r="M854" s="272"/>
      <c r="N854" s="272"/>
      <c r="O854" s="272"/>
      <c r="P854" s="272"/>
      <c r="Q854" s="272"/>
      <c r="R854" s="272"/>
      <c r="S854" s="272"/>
      <c r="T854" s="272"/>
      <c r="U854" s="272"/>
      <c r="V854" s="272"/>
      <c r="W854" s="272"/>
      <c r="X854" s="272"/>
      <c r="Y854" s="272"/>
      <c r="Z854" s="272"/>
    </row>
    <row r="855" spans="1:26" ht="15.75" customHeight="1" x14ac:dyDescent="0.2">
      <c r="A855" s="272"/>
      <c r="B855" s="272"/>
      <c r="C855" s="272"/>
      <c r="D855" s="272"/>
      <c r="E855" s="272"/>
      <c r="F855" s="272"/>
      <c r="G855" s="272"/>
      <c r="H855" s="272"/>
      <c r="I855" s="272"/>
      <c r="J855" s="272"/>
      <c r="K855" s="272"/>
      <c r="L855" s="272"/>
      <c r="M855" s="272"/>
      <c r="N855" s="272"/>
      <c r="O855" s="272"/>
      <c r="P855" s="272"/>
      <c r="Q855" s="272"/>
      <c r="R855" s="272"/>
      <c r="S855" s="272"/>
      <c r="T855" s="272"/>
      <c r="U855" s="272"/>
      <c r="V855" s="272"/>
      <c r="W855" s="272"/>
      <c r="X855" s="272"/>
      <c r="Y855" s="272"/>
      <c r="Z855" s="272"/>
    </row>
    <row r="856" spans="1:26" ht="15.75" customHeight="1" x14ac:dyDescent="0.2">
      <c r="A856" s="272"/>
      <c r="B856" s="272"/>
      <c r="C856" s="272"/>
      <c r="D856" s="272"/>
      <c r="E856" s="272"/>
      <c r="F856" s="272"/>
      <c r="G856" s="272"/>
      <c r="H856" s="272"/>
      <c r="I856" s="272"/>
      <c r="J856" s="272"/>
      <c r="K856" s="272"/>
      <c r="L856" s="272"/>
      <c r="M856" s="272"/>
      <c r="N856" s="272"/>
      <c r="O856" s="272"/>
      <c r="P856" s="272"/>
      <c r="Q856" s="272"/>
      <c r="R856" s="272"/>
      <c r="S856" s="272"/>
      <c r="T856" s="272"/>
      <c r="U856" s="272"/>
      <c r="V856" s="272"/>
      <c r="W856" s="272"/>
      <c r="X856" s="272"/>
      <c r="Y856" s="272"/>
      <c r="Z856" s="272"/>
    </row>
    <row r="857" spans="1:26" ht="15.75" customHeight="1" x14ac:dyDescent="0.2">
      <c r="A857" s="272"/>
      <c r="B857" s="272"/>
      <c r="C857" s="272"/>
      <c r="D857" s="272"/>
      <c r="E857" s="272"/>
      <c r="F857" s="272"/>
      <c r="G857" s="272"/>
      <c r="H857" s="272"/>
      <c r="I857" s="272"/>
      <c r="J857" s="272"/>
      <c r="K857" s="272"/>
      <c r="L857" s="272"/>
      <c r="M857" s="272"/>
      <c r="N857" s="272"/>
      <c r="O857" s="272"/>
      <c r="P857" s="272"/>
      <c r="Q857" s="272"/>
      <c r="R857" s="272"/>
      <c r="S857" s="272"/>
      <c r="T857" s="272"/>
      <c r="U857" s="272"/>
      <c r="V857" s="272"/>
      <c r="W857" s="272"/>
      <c r="X857" s="272"/>
      <c r="Y857" s="272"/>
      <c r="Z857" s="272"/>
    </row>
    <row r="858" spans="1:26" ht="15.75" customHeight="1" x14ac:dyDescent="0.2">
      <c r="A858" s="272"/>
      <c r="B858" s="272"/>
      <c r="C858" s="272"/>
      <c r="D858" s="272"/>
      <c r="E858" s="272"/>
      <c r="F858" s="272"/>
      <c r="G858" s="272"/>
      <c r="H858" s="272"/>
      <c r="I858" s="272"/>
      <c r="J858" s="272"/>
      <c r="K858" s="272"/>
      <c r="L858" s="272"/>
      <c r="M858" s="272"/>
      <c r="N858" s="272"/>
      <c r="O858" s="272"/>
      <c r="P858" s="272"/>
      <c r="Q858" s="272"/>
      <c r="R858" s="272"/>
      <c r="S858" s="272"/>
      <c r="T858" s="272"/>
      <c r="U858" s="272"/>
      <c r="V858" s="272"/>
      <c r="W858" s="272"/>
      <c r="X858" s="272"/>
      <c r="Y858" s="272"/>
      <c r="Z858" s="272"/>
    </row>
    <row r="859" spans="1:26" ht="15.75" customHeight="1" x14ac:dyDescent="0.2">
      <c r="A859" s="272"/>
      <c r="B859" s="272"/>
      <c r="C859" s="272"/>
      <c r="D859" s="272"/>
      <c r="E859" s="272"/>
      <c r="F859" s="272"/>
      <c r="G859" s="272"/>
      <c r="H859" s="272"/>
      <c r="I859" s="272"/>
      <c r="J859" s="272"/>
      <c r="K859" s="272"/>
      <c r="L859" s="272"/>
      <c r="M859" s="272"/>
      <c r="N859" s="272"/>
      <c r="O859" s="272"/>
      <c r="P859" s="272"/>
      <c r="Q859" s="272"/>
      <c r="R859" s="272"/>
      <c r="S859" s="272"/>
      <c r="T859" s="272"/>
      <c r="U859" s="272"/>
      <c r="V859" s="272"/>
      <c r="W859" s="272"/>
      <c r="X859" s="272"/>
      <c r="Y859" s="272"/>
      <c r="Z859" s="272"/>
    </row>
    <row r="860" spans="1:26" ht="15.75" customHeight="1" x14ac:dyDescent="0.2">
      <c r="A860" s="272"/>
      <c r="B860" s="272"/>
      <c r="C860" s="272"/>
      <c r="D860" s="272"/>
      <c r="E860" s="272"/>
      <c r="F860" s="272"/>
      <c r="G860" s="272"/>
      <c r="H860" s="272"/>
      <c r="I860" s="272"/>
      <c r="J860" s="272"/>
      <c r="K860" s="272"/>
      <c r="L860" s="272"/>
      <c r="M860" s="272"/>
      <c r="N860" s="272"/>
      <c r="O860" s="272"/>
      <c r="P860" s="272"/>
      <c r="Q860" s="272"/>
      <c r="R860" s="272"/>
      <c r="S860" s="272"/>
      <c r="T860" s="272"/>
      <c r="U860" s="272"/>
      <c r="V860" s="272"/>
      <c r="W860" s="272"/>
      <c r="X860" s="272"/>
      <c r="Y860" s="272"/>
      <c r="Z860" s="272"/>
    </row>
    <row r="861" spans="1:26" ht="15.75" customHeight="1" x14ac:dyDescent="0.2">
      <c r="A861" s="272"/>
      <c r="B861" s="272"/>
      <c r="C861" s="272"/>
      <c r="D861" s="272"/>
      <c r="E861" s="272"/>
      <c r="F861" s="272"/>
      <c r="G861" s="272"/>
      <c r="H861" s="272"/>
      <c r="I861" s="272"/>
      <c r="J861" s="272"/>
      <c r="K861" s="272"/>
      <c r="L861" s="272"/>
      <c r="M861" s="272"/>
      <c r="N861" s="272"/>
      <c r="O861" s="272"/>
      <c r="P861" s="272"/>
      <c r="Q861" s="272"/>
      <c r="R861" s="272"/>
      <c r="S861" s="272"/>
      <c r="T861" s="272"/>
      <c r="U861" s="272"/>
      <c r="V861" s="272"/>
      <c r="W861" s="272"/>
      <c r="X861" s="272"/>
      <c r="Y861" s="272"/>
      <c r="Z861" s="272"/>
    </row>
    <row r="862" spans="1:26" ht="15.75" customHeight="1" x14ac:dyDescent="0.2">
      <c r="A862" s="272"/>
      <c r="B862" s="272"/>
      <c r="C862" s="272"/>
      <c r="D862" s="272"/>
      <c r="E862" s="272"/>
      <c r="F862" s="272"/>
      <c r="G862" s="272"/>
      <c r="H862" s="272"/>
      <c r="I862" s="272"/>
      <c r="J862" s="272"/>
      <c r="K862" s="272"/>
      <c r="L862" s="272"/>
      <c r="M862" s="272"/>
      <c r="N862" s="272"/>
      <c r="O862" s="272"/>
      <c r="P862" s="272"/>
      <c r="Q862" s="272"/>
      <c r="R862" s="272"/>
      <c r="S862" s="272"/>
      <c r="T862" s="272"/>
      <c r="U862" s="272"/>
      <c r="V862" s="272"/>
      <c r="W862" s="272"/>
      <c r="X862" s="272"/>
      <c r="Y862" s="272"/>
      <c r="Z862" s="272"/>
    </row>
    <row r="863" spans="1:26" ht="15.75" customHeight="1" x14ac:dyDescent="0.2">
      <c r="A863" s="272"/>
      <c r="B863" s="272"/>
      <c r="C863" s="272"/>
      <c r="D863" s="272"/>
      <c r="E863" s="272"/>
      <c r="F863" s="272"/>
      <c r="G863" s="272"/>
      <c r="H863" s="272"/>
      <c r="I863" s="272"/>
      <c r="J863" s="272"/>
      <c r="K863" s="272"/>
      <c r="L863" s="272"/>
      <c r="M863" s="272"/>
      <c r="N863" s="272"/>
      <c r="O863" s="272"/>
      <c r="P863" s="272"/>
      <c r="Q863" s="272"/>
      <c r="R863" s="272"/>
      <c r="S863" s="272"/>
      <c r="T863" s="272"/>
      <c r="U863" s="272"/>
      <c r="V863" s="272"/>
      <c r="W863" s="272"/>
      <c r="X863" s="272"/>
      <c r="Y863" s="272"/>
      <c r="Z863" s="272"/>
    </row>
    <row r="864" spans="1:26" ht="15.75" customHeight="1" x14ac:dyDescent="0.2">
      <c r="A864" s="272"/>
      <c r="B864" s="272"/>
      <c r="C864" s="272"/>
      <c r="D864" s="272"/>
      <c r="E864" s="272"/>
      <c r="F864" s="272"/>
      <c r="G864" s="272"/>
      <c r="H864" s="272"/>
      <c r="I864" s="272"/>
      <c r="J864" s="272"/>
      <c r="K864" s="272"/>
      <c r="L864" s="272"/>
      <c r="M864" s="272"/>
      <c r="N864" s="272"/>
      <c r="O864" s="272"/>
      <c r="P864" s="272"/>
      <c r="Q864" s="272"/>
      <c r="R864" s="272"/>
      <c r="S864" s="272"/>
      <c r="T864" s="272"/>
      <c r="U864" s="272"/>
      <c r="V864" s="272"/>
      <c r="W864" s="272"/>
      <c r="X864" s="272"/>
      <c r="Y864" s="272"/>
      <c r="Z864" s="272"/>
    </row>
    <row r="865" spans="1:26" ht="15.75" customHeight="1" x14ac:dyDescent="0.2">
      <c r="A865" s="272"/>
      <c r="B865" s="272"/>
      <c r="C865" s="272"/>
      <c r="D865" s="272"/>
      <c r="E865" s="272"/>
      <c r="F865" s="272"/>
      <c r="G865" s="272"/>
      <c r="H865" s="272"/>
      <c r="I865" s="272"/>
      <c r="J865" s="272"/>
      <c r="K865" s="272"/>
      <c r="L865" s="272"/>
      <c r="M865" s="272"/>
      <c r="N865" s="272"/>
      <c r="O865" s="272"/>
      <c r="P865" s="272"/>
      <c r="Q865" s="272"/>
      <c r="R865" s="272"/>
      <c r="S865" s="272"/>
      <c r="T865" s="272"/>
      <c r="U865" s="272"/>
      <c r="V865" s="272"/>
      <c r="W865" s="272"/>
      <c r="X865" s="272"/>
      <c r="Y865" s="272"/>
      <c r="Z865" s="272"/>
    </row>
    <row r="866" spans="1:26" ht="15.75" customHeight="1" x14ac:dyDescent="0.2">
      <c r="A866" s="272"/>
      <c r="B866" s="272"/>
      <c r="C866" s="272"/>
      <c r="D866" s="272"/>
      <c r="E866" s="272"/>
      <c r="F866" s="272"/>
      <c r="G866" s="272"/>
      <c r="H866" s="272"/>
      <c r="I866" s="272"/>
      <c r="J866" s="272"/>
      <c r="K866" s="272"/>
      <c r="L866" s="272"/>
      <c r="M866" s="272"/>
      <c r="N866" s="272"/>
      <c r="O866" s="272"/>
      <c r="P866" s="272"/>
      <c r="Q866" s="272"/>
      <c r="R866" s="272"/>
      <c r="S866" s="272"/>
      <c r="T866" s="272"/>
      <c r="U866" s="272"/>
      <c r="V866" s="272"/>
      <c r="W866" s="272"/>
      <c r="X866" s="272"/>
      <c r="Y866" s="272"/>
      <c r="Z866" s="272"/>
    </row>
    <row r="867" spans="1:26" ht="15.75" customHeight="1" x14ac:dyDescent="0.2">
      <c r="A867" s="272"/>
      <c r="B867" s="272"/>
      <c r="C867" s="272"/>
      <c r="D867" s="272"/>
      <c r="E867" s="272"/>
      <c r="F867" s="272"/>
      <c r="G867" s="272"/>
      <c r="H867" s="272"/>
      <c r="I867" s="272"/>
      <c r="J867" s="272"/>
      <c r="K867" s="272"/>
      <c r="L867" s="272"/>
      <c r="M867" s="272"/>
      <c r="N867" s="272"/>
      <c r="O867" s="272"/>
      <c r="P867" s="272"/>
      <c r="Q867" s="272"/>
      <c r="R867" s="272"/>
      <c r="S867" s="272"/>
      <c r="T867" s="272"/>
      <c r="U867" s="272"/>
      <c r="V867" s="272"/>
      <c r="W867" s="272"/>
      <c r="X867" s="272"/>
      <c r="Y867" s="272"/>
      <c r="Z867" s="272"/>
    </row>
    <row r="868" spans="1:26" ht="15.75" customHeight="1" x14ac:dyDescent="0.2">
      <c r="A868" s="272"/>
      <c r="B868" s="272"/>
      <c r="C868" s="272"/>
      <c r="D868" s="272"/>
      <c r="E868" s="272"/>
      <c r="F868" s="272"/>
      <c r="G868" s="272"/>
      <c r="H868" s="272"/>
      <c r="I868" s="272"/>
      <c r="J868" s="272"/>
      <c r="K868" s="272"/>
      <c r="L868" s="272"/>
      <c r="M868" s="272"/>
      <c r="N868" s="272"/>
      <c r="O868" s="272"/>
      <c r="P868" s="272"/>
      <c r="Q868" s="272"/>
      <c r="R868" s="272"/>
      <c r="S868" s="272"/>
      <c r="T868" s="272"/>
      <c r="U868" s="272"/>
      <c r="V868" s="272"/>
      <c r="W868" s="272"/>
      <c r="X868" s="272"/>
      <c r="Y868" s="272"/>
      <c r="Z868" s="272"/>
    </row>
    <row r="869" spans="1:26" ht="15.75" customHeight="1" x14ac:dyDescent="0.2">
      <c r="A869" s="272"/>
      <c r="B869" s="272"/>
      <c r="C869" s="272"/>
      <c r="D869" s="272"/>
      <c r="E869" s="272"/>
      <c r="F869" s="272"/>
      <c r="G869" s="272"/>
      <c r="H869" s="272"/>
      <c r="I869" s="272"/>
      <c r="J869" s="272"/>
      <c r="K869" s="272"/>
      <c r="L869" s="272"/>
      <c r="M869" s="272"/>
      <c r="N869" s="272"/>
      <c r="O869" s="272"/>
      <c r="P869" s="272"/>
      <c r="Q869" s="272"/>
      <c r="R869" s="272"/>
      <c r="S869" s="272"/>
      <c r="T869" s="272"/>
      <c r="U869" s="272"/>
      <c r="V869" s="272"/>
      <c r="W869" s="272"/>
      <c r="X869" s="272"/>
      <c r="Y869" s="272"/>
      <c r="Z869" s="272"/>
    </row>
    <row r="870" spans="1:26" ht="15.75" customHeight="1" x14ac:dyDescent="0.2">
      <c r="A870" s="272"/>
      <c r="B870" s="272"/>
      <c r="C870" s="272"/>
      <c r="D870" s="272"/>
      <c r="E870" s="272"/>
      <c r="F870" s="272"/>
      <c r="G870" s="272"/>
      <c r="H870" s="272"/>
      <c r="I870" s="272"/>
      <c r="J870" s="272"/>
      <c r="K870" s="272"/>
      <c r="L870" s="272"/>
      <c r="M870" s="272"/>
      <c r="N870" s="272"/>
      <c r="O870" s="272"/>
      <c r="P870" s="272"/>
      <c r="Q870" s="272"/>
      <c r="R870" s="272"/>
      <c r="S870" s="272"/>
      <c r="T870" s="272"/>
      <c r="U870" s="272"/>
      <c r="V870" s="272"/>
      <c r="W870" s="272"/>
      <c r="X870" s="272"/>
      <c r="Y870" s="272"/>
      <c r="Z870" s="272"/>
    </row>
    <row r="871" spans="1:26" ht="15.75" customHeight="1" x14ac:dyDescent="0.2">
      <c r="A871" s="272"/>
      <c r="B871" s="272"/>
      <c r="C871" s="272"/>
      <c r="D871" s="272"/>
      <c r="E871" s="272"/>
      <c r="F871" s="272"/>
      <c r="G871" s="272"/>
      <c r="H871" s="272"/>
      <c r="I871" s="272"/>
      <c r="J871" s="272"/>
      <c r="K871" s="272"/>
      <c r="L871" s="272"/>
      <c r="M871" s="272"/>
      <c r="N871" s="272"/>
      <c r="O871" s="272"/>
      <c r="P871" s="272"/>
      <c r="Q871" s="272"/>
      <c r="R871" s="272"/>
      <c r="S871" s="272"/>
      <c r="T871" s="272"/>
      <c r="U871" s="272"/>
      <c r="V871" s="272"/>
      <c r="W871" s="272"/>
      <c r="X871" s="272"/>
      <c r="Y871" s="272"/>
      <c r="Z871" s="272"/>
    </row>
    <row r="872" spans="1:26" ht="15.75" customHeight="1" x14ac:dyDescent="0.2">
      <c r="A872" s="272"/>
      <c r="B872" s="272"/>
      <c r="C872" s="272"/>
      <c r="D872" s="272"/>
      <c r="E872" s="272"/>
      <c r="F872" s="272"/>
      <c r="G872" s="272"/>
      <c r="H872" s="272"/>
      <c r="I872" s="272"/>
      <c r="J872" s="272"/>
      <c r="K872" s="272"/>
      <c r="L872" s="272"/>
      <c r="M872" s="272"/>
      <c r="N872" s="272"/>
      <c r="O872" s="272"/>
      <c r="P872" s="272"/>
      <c r="Q872" s="272"/>
      <c r="R872" s="272"/>
      <c r="S872" s="272"/>
      <c r="T872" s="272"/>
      <c r="U872" s="272"/>
      <c r="V872" s="272"/>
      <c r="W872" s="272"/>
      <c r="X872" s="272"/>
      <c r="Y872" s="272"/>
      <c r="Z872" s="272"/>
    </row>
    <row r="873" spans="1:26" ht="15.75" customHeight="1" x14ac:dyDescent="0.2">
      <c r="A873" s="272"/>
      <c r="B873" s="272"/>
      <c r="C873" s="272"/>
      <c r="D873" s="272"/>
      <c r="E873" s="272"/>
      <c r="F873" s="272"/>
      <c r="G873" s="272"/>
      <c r="H873" s="272"/>
      <c r="I873" s="272"/>
      <c r="J873" s="272"/>
      <c r="K873" s="272"/>
      <c r="L873" s="272"/>
      <c r="M873" s="272"/>
      <c r="N873" s="272"/>
      <c r="O873" s="272"/>
      <c r="P873" s="272"/>
      <c r="Q873" s="272"/>
      <c r="R873" s="272"/>
      <c r="S873" s="272"/>
      <c r="T873" s="272"/>
      <c r="U873" s="272"/>
      <c r="V873" s="272"/>
      <c r="W873" s="272"/>
      <c r="X873" s="272"/>
      <c r="Y873" s="272"/>
      <c r="Z873" s="272"/>
    </row>
    <row r="874" spans="1:26" ht="15.75" customHeight="1" x14ac:dyDescent="0.2">
      <c r="A874" s="272"/>
      <c r="B874" s="272"/>
      <c r="C874" s="272"/>
      <c r="D874" s="272"/>
      <c r="E874" s="272"/>
      <c r="F874" s="272"/>
      <c r="G874" s="272"/>
      <c r="H874" s="272"/>
      <c r="I874" s="272"/>
      <c r="J874" s="272"/>
      <c r="K874" s="272"/>
      <c r="L874" s="272"/>
      <c r="M874" s="272"/>
      <c r="N874" s="272"/>
      <c r="O874" s="272"/>
      <c r="P874" s="272"/>
      <c r="Q874" s="272"/>
      <c r="R874" s="272"/>
      <c r="S874" s="272"/>
      <c r="T874" s="272"/>
      <c r="U874" s="272"/>
      <c r="V874" s="272"/>
      <c r="W874" s="272"/>
      <c r="X874" s="272"/>
      <c r="Y874" s="272"/>
      <c r="Z874" s="272"/>
    </row>
    <row r="875" spans="1:26" ht="15.75" customHeight="1" x14ac:dyDescent="0.2">
      <c r="A875" s="272"/>
      <c r="B875" s="272"/>
      <c r="C875" s="272"/>
      <c r="D875" s="272"/>
      <c r="E875" s="272"/>
      <c r="F875" s="272"/>
      <c r="G875" s="272"/>
      <c r="H875" s="272"/>
      <c r="I875" s="272"/>
      <c r="J875" s="272"/>
      <c r="K875" s="272"/>
      <c r="L875" s="272"/>
      <c r="M875" s="272"/>
      <c r="N875" s="272"/>
      <c r="O875" s="272"/>
      <c r="P875" s="272"/>
      <c r="Q875" s="272"/>
      <c r="R875" s="272"/>
      <c r="S875" s="272"/>
      <c r="T875" s="272"/>
      <c r="U875" s="272"/>
      <c r="V875" s="272"/>
      <c r="W875" s="272"/>
      <c r="X875" s="272"/>
      <c r="Y875" s="272"/>
      <c r="Z875" s="272"/>
    </row>
    <row r="876" spans="1:26" ht="15.75" customHeight="1" x14ac:dyDescent="0.2">
      <c r="A876" s="272"/>
      <c r="B876" s="272"/>
      <c r="C876" s="272"/>
      <c r="D876" s="272"/>
      <c r="E876" s="272"/>
      <c r="F876" s="272"/>
      <c r="G876" s="272"/>
      <c r="H876" s="272"/>
      <c r="I876" s="272"/>
      <c r="J876" s="272"/>
      <c r="K876" s="272"/>
      <c r="L876" s="272"/>
      <c r="M876" s="272"/>
      <c r="N876" s="272"/>
      <c r="O876" s="272"/>
      <c r="P876" s="272"/>
      <c r="Q876" s="272"/>
      <c r="R876" s="272"/>
      <c r="S876" s="272"/>
      <c r="T876" s="272"/>
      <c r="U876" s="272"/>
      <c r="V876" s="272"/>
      <c r="W876" s="272"/>
      <c r="X876" s="272"/>
      <c r="Y876" s="272"/>
      <c r="Z876" s="272"/>
    </row>
    <row r="877" spans="1:26" ht="15.75" customHeight="1" x14ac:dyDescent="0.2">
      <c r="A877" s="272"/>
      <c r="B877" s="272"/>
      <c r="C877" s="272"/>
      <c r="D877" s="272"/>
      <c r="E877" s="272"/>
      <c r="F877" s="272"/>
      <c r="G877" s="272"/>
      <c r="H877" s="272"/>
      <c r="I877" s="272"/>
      <c r="J877" s="272"/>
      <c r="K877" s="272"/>
      <c r="L877" s="272"/>
      <c r="M877" s="272"/>
      <c r="N877" s="272"/>
      <c r="O877" s="272"/>
      <c r="P877" s="272"/>
      <c r="Q877" s="272"/>
      <c r="R877" s="272"/>
      <c r="S877" s="272"/>
      <c r="T877" s="272"/>
      <c r="U877" s="272"/>
      <c r="V877" s="272"/>
      <c r="W877" s="272"/>
      <c r="X877" s="272"/>
      <c r="Y877" s="272"/>
      <c r="Z877" s="272"/>
    </row>
    <row r="878" spans="1:26" ht="15.75" customHeight="1" x14ac:dyDescent="0.2">
      <c r="A878" s="272"/>
      <c r="B878" s="272"/>
      <c r="C878" s="272"/>
      <c r="D878" s="272"/>
      <c r="E878" s="272"/>
      <c r="F878" s="272"/>
      <c r="G878" s="272"/>
      <c r="H878" s="272"/>
      <c r="I878" s="272"/>
      <c r="J878" s="272"/>
      <c r="K878" s="272"/>
      <c r="L878" s="272"/>
      <c r="M878" s="272"/>
      <c r="N878" s="272"/>
      <c r="O878" s="272"/>
      <c r="P878" s="272"/>
      <c r="Q878" s="272"/>
      <c r="R878" s="272"/>
      <c r="S878" s="272"/>
      <c r="T878" s="272"/>
      <c r="U878" s="272"/>
      <c r="V878" s="272"/>
      <c r="W878" s="272"/>
      <c r="X878" s="272"/>
      <c r="Y878" s="272"/>
      <c r="Z878" s="272"/>
    </row>
    <row r="879" spans="1:26" ht="15.75" customHeight="1" x14ac:dyDescent="0.2">
      <c r="A879" s="272"/>
      <c r="B879" s="272"/>
      <c r="C879" s="272"/>
      <c r="D879" s="272"/>
      <c r="E879" s="272"/>
      <c r="F879" s="272"/>
      <c r="G879" s="272"/>
      <c r="H879" s="272"/>
      <c r="I879" s="272"/>
      <c r="J879" s="272"/>
      <c r="K879" s="272"/>
      <c r="L879" s="272"/>
      <c r="M879" s="272"/>
      <c r="N879" s="272"/>
      <c r="O879" s="272"/>
      <c r="P879" s="272"/>
      <c r="Q879" s="272"/>
      <c r="R879" s="272"/>
      <c r="S879" s="272"/>
      <c r="T879" s="272"/>
      <c r="U879" s="272"/>
      <c r="V879" s="272"/>
      <c r="W879" s="272"/>
      <c r="X879" s="272"/>
      <c r="Y879" s="272"/>
      <c r="Z879" s="272"/>
    </row>
    <row r="880" spans="1:26" ht="15.75" customHeight="1" x14ac:dyDescent="0.2">
      <c r="A880" s="272"/>
      <c r="B880" s="272"/>
      <c r="C880" s="272"/>
      <c r="D880" s="272"/>
      <c r="E880" s="272"/>
      <c r="F880" s="272"/>
      <c r="G880" s="272"/>
      <c r="H880" s="272"/>
      <c r="I880" s="272"/>
      <c r="J880" s="272"/>
      <c r="K880" s="272"/>
      <c r="L880" s="272"/>
      <c r="M880" s="272"/>
      <c r="N880" s="272"/>
      <c r="O880" s="272"/>
      <c r="P880" s="272"/>
      <c r="Q880" s="272"/>
      <c r="R880" s="272"/>
      <c r="S880" s="272"/>
      <c r="T880" s="272"/>
      <c r="U880" s="272"/>
      <c r="V880" s="272"/>
      <c r="W880" s="272"/>
      <c r="X880" s="272"/>
      <c r="Y880" s="272"/>
      <c r="Z880" s="272"/>
    </row>
    <row r="881" spans="1:26" ht="15.75" customHeight="1" x14ac:dyDescent="0.2">
      <c r="A881" s="272"/>
      <c r="B881" s="272"/>
      <c r="C881" s="272"/>
      <c r="D881" s="272"/>
      <c r="E881" s="272"/>
      <c r="F881" s="272"/>
      <c r="G881" s="272"/>
      <c r="H881" s="272"/>
      <c r="I881" s="272"/>
      <c r="J881" s="272"/>
      <c r="K881" s="272"/>
      <c r="L881" s="272"/>
      <c r="M881" s="272"/>
      <c r="N881" s="272"/>
      <c r="O881" s="272"/>
      <c r="P881" s="272"/>
      <c r="Q881" s="272"/>
      <c r="R881" s="272"/>
      <c r="S881" s="272"/>
      <c r="T881" s="272"/>
      <c r="U881" s="272"/>
      <c r="V881" s="272"/>
      <c r="W881" s="272"/>
      <c r="X881" s="272"/>
      <c r="Y881" s="272"/>
      <c r="Z881" s="272"/>
    </row>
    <row r="882" spans="1:26" ht="15.75" customHeight="1" x14ac:dyDescent="0.2">
      <c r="A882" s="272"/>
      <c r="B882" s="272"/>
      <c r="C882" s="272"/>
      <c r="D882" s="272"/>
      <c r="E882" s="272"/>
      <c r="F882" s="272"/>
      <c r="G882" s="272"/>
      <c r="H882" s="272"/>
      <c r="I882" s="272"/>
      <c r="J882" s="272"/>
      <c r="K882" s="272"/>
      <c r="L882" s="272"/>
      <c r="M882" s="272"/>
      <c r="N882" s="272"/>
      <c r="O882" s="272"/>
      <c r="P882" s="272"/>
      <c r="Q882" s="272"/>
      <c r="R882" s="272"/>
      <c r="S882" s="272"/>
      <c r="T882" s="272"/>
      <c r="U882" s="272"/>
      <c r="V882" s="272"/>
      <c r="W882" s="272"/>
      <c r="X882" s="272"/>
      <c r="Y882" s="272"/>
      <c r="Z882" s="272"/>
    </row>
    <row r="883" spans="1:26" ht="15.75" customHeight="1" x14ac:dyDescent="0.2">
      <c r="A883" s="272"/>
      <c r="B883" s="272"/>
      <c r="C883" s="272"/>
      <c r="D883" s="272"/>
      <c r="E883" s="272"/>
      <c r="F883" s="272"/>
      <c r="G883" s="272"/>
      <c r="H883" s="272"/>
      <c r="I883" s="272"/>
      <c r="J883" s="272"/>
      <c r="K883" s="272"/>
      <c r="L883" s="272"/>
      <c r="M883" s="272"/>
      <c r="N883" s="272"/>
      <c r="O883" s="272"/>
      <c r="P883" s="272"/>
      <c r="Q883" s="272"/>
      <c r="R883" s="272"/>
      <c r="S883" s="272"/>
      <c r="T883" s="272"/>
      <c r="U883" s="272"/>
      <c r="V883" s="272"/>
      <c r="W883" s="272"/>
      <c r="X883" s="272"/>
      <c r="Y883" s="272"/>
      <c r="Z883" s="272"/>
    </row>
    <row r="884" spans="1:26" ht="15.75" customHeight="1" x14ac:dyDescent="0.2">
      <c r="A884" s="272"/>
      <c r="B884" s="272"/>
      <c r="C884" s="272"/>
      <c r="D884" s="272"/>
      <c r="E884" s="272"/>
      <c r="F884" s="272"/>
      <c r="G884" s="272"/>
      <c r="H884" s="272"/>
      <c r="I884" s="272"/>
      <c r="J884" s="272"/>
      <c r="K884" s="272"/>
      <c r="L884" s="272"/>
      <c r="M884" s="272"/>
      <c r="N884" s="272"/>
      <c r="O884" s="272"/>
      <c r="P884" s="272"/>
      <c r="Q884" s="272"/>
      <c r="R884" s="272"/>
      <c r="S884" s="272"/>
      <c r="T884" s="272"/>
      <c r="U884" s="272"/>
      <c r="V884" s="272"/>
      <c r="W884" s="272"/>
      <c r="X884" s="272"/>
      <c r="Y884" s="272"/>
      <c r="Z884" s="272"/>
    </row>
    <row r="885" spans="1:26" ht="15.75" customHeight="1" x14ac:dyDescent="0.2">
      <c r="A885" s="272"/>
      <c r="B885" s="272"/>
      <c r="C885" s="272"/>
      <c r="D885" s="272"/>
      <c r="E885" s="272"/>
      <c r="F885" s="272"/>
      <c r="G885" s="272"/>
      <c r="H885" s="272"/>
      <c r="I885" s="272"/>
      <c r="J885" s="272"/>
      <c r="K885" s="272"/>
      <c r="L885" s="272"/>
      <c r="M885" s="272"/>
      <c r="N885" s="272"/>
      <c r="O885" s="272"/>
      <c r="P885" s="272"/>
      <c r="Q885" s="272"/>
      <c r="R885" s="272"/>
      <c r="S885" s="272"/>
      <c r="T885" s="272"/>
      <c r="U885" s="272"/>
      <c r="V885" s="272"/>
      <c r="W885" s="272"/>
      <c r="X885" s="272"/>
      <c r="Y885" s="272"/>
      <c r="Z885" s="272"/>
    </row>
    <row r="886" spans="1:26" ht="15.75" customHeight="1" x14ac:dyDescent="0.2">
      <c r="A886" s="272"/>
      <c r="B886" s="272"/>
      <c r="C886" s="272"/>
      <c r="D886" s="272"/>
      <c r="E886" s="272"/>
      <c r="F886" s="272"/>
      <c r="G886" s="272"/>
      <c r="H886" s="272"/>
      <c r="I886" s="272"/>
      <c r="J886" s="272"/>
      <c r="K886" s="272"/>
      <c r="L886" s="272"/>
      <c r="M886" s="272"/>
      <c r="N886" s="272"/>
      <c r="O886" s="272"/>
      <c r="P886" s="272"/>
      <c r="Q886" s="272"/>
      <c r="R886" s="272"/>
      <c r="S886" s="272"/>
      <c r="T886" s="272"/>
      <c r="U886" s="272"/>
      <c r="V886" s="272"/>
      <c r="W886" s="272"/>
      <c r="X886" s="272"/>
      <c r="Y886" s="272"/>
      <c r="Z886" s="272"/>
    </row>
    <row r="887" spans="1:26" ht="15.75" customHeight="1" x14ac:dyDescent="0.2">
      <c r="A887" s="272"/>
      <c r="B887" s="272"/>
      <c r="C887" s="272"/>
      <c r="D887" s="272"/>
      <c r="E887" s="272"/>
      <c r="F887" s="272"/>
      <c r="G887" s="272"/>
      <c r="H887" s="272"/>
      <c r="I887" s="272"/>
      <c r="J887" s="272"/>
      <c r="K887" s="272"/>
      <c r="L887" s="272"/>
      <c r="M887" s="272"/>
      <c r="N887" s="272"/>
      <c r="O887" s="272"/>
      <c r="P887" s="272"/>
      <c r="Q887" s="272"/>
      <c r="R887" s="272"/>
      <c r="S887" s="272"/>
      <c r="T887" s="272"/>
      <c r="U887" s="272"/>
      <c r="V887" s="272"/>
      <c r="W887" s="272"/>
      <c r="X887" s="272"/>
      <c r="Y887" s="272"/>
      <c r="Z887" s="272"/>
    </row>
    <row r="888" spans="1:26" ht="15.75" customHeight="1" x14ac:dyDescent="0.2">
      <c r="A888" s="272"/>
      <c r="B888" s="272"/>
      <c r="C888" s="272"/>
      <c r="D888" s="272"/>
      <c r="E888" s="272"/>
      <c r="F888" s="272"/>
      <c r="G888" s="272"/>
      <c r="H888" s="272"/>
      <c r="I888" s="272"/>
      <c r="J888" s="272"/>
      <c r="K888" s="272"/>
      <c r="L888" s="272"/>
      <c r="M888" s="272"/>
      <c r="N888" s="272"/>
      <c r="O888" s="272"/>
      <c r="P888" s="272"/>
      <c r="Q888" s="272"/>
      <c r="R888" s="272"/>
      <c r="S888" s="272"/>
      <c r="T888" s="272"/>
      <c r="U888" s="272"/>
      <c r="V888" s="272"/>
      <c r="W888" s="272"/>
      <c r="X888" s="272"/>
      <c r="Y888" s="272"/>
      <c r="Z888" s="272"/>
    </row>
    <row r="889" spans="1:26" ht="15.75" customHeight="1" x14ac:dyDescent="0.2">
      <c r="A889" s="272"/>
      <c r="B889" s="272"/>
      <c r="C889" s="272"/>
      <c r="D889" s="272"/>
      <c r="E889" s="272"/>
      <c r="F889" s="272"/>
      <c r="G889" s="272"/>
      <c r="H889" s="272"/>
      <c r="I889" s="272"/>
      <c r="J889" s="272"/>
      <c r="K889" s="272"/>
      <c r="L889" s="272"/>
      <c r="M889" s="272"/>
      <c r="N889" s="272"/>
      <c r="O889" s="272"/>
      <c r="P889" s="272"/>
      <c r="Q889" s="272"/>
      <c r="R889" s="272"/>
      <c r="S889" s="272"/>
      <c r="T889" s="272"/>
      <c r="U889" s="272"/>
      <c r="V889" s="272"/>
      <c r="W889" s="272"/>
      <c r="X889" s="272"/>
      <c r="Y889" s="272"/>
      <c r="Z889" s="272"/>
    </row>
    <row r="890" spans="1:26" ht="15.75" customHeight="1" x14ac:dyDescent="0.2">
      <c r="A890" s="272"/>
      <c r="B890" s="272"/>
      <c r="C890" s="272"/>
      <c r="D890" s="272"/>
      <c r="E890" s="272"/>
      <c r="F890" s="272"/>
      <c r="G890" s="272"/>
      <c r="H890" s="272"/>
      <c r="I890" s="272"/>
      <c r="J890" s="272"/>
      <c r="K890" s="272"/>
      <c r="L890" s="272"/>
      <c r="M890" s="272"/>
      <c r="N890" s="272"/>
      <c r="O890" s="272"/>
      <c r="P890" s="272"/>
      <c r="Q890" s="272"/>
      <c r="R890" s="272"/>
      <c r="S890" s="272"/>
      <c r="T890" s="272"/>
      <c r="U890" s="272"/>
      <c r="V890" s="272"/>
      <c r="W890" s="272"/>
      <c r="X890" s="272"/>
      <c r="Y890" s="272"/>
      <c r="Z890" s="272"/>
    </row>
    <row r="891" spans="1:26" ht="15.75" customHeight="1" x14ac:dyDescent="0.2">
      <c r="A891" s="272"/>
      <c r="B891" s="272"/>
      <c r="C891" s="272"/>
      <c r="D891" s="272"/>
      <c r="E891" s="272"/>
      <c r="F891" s="272"/>
      <c r="G891" s="272"/>
      <c r="H891" s="272"/>
      <c r="I891" s="272"/>
      <c r="J891" s="272"/>
      <c r="K891" s="272"/>
      <c r="L891" s="272"/>
      <c r="M891" s="272"/>
      <c r="N891" s="272"/>
      <c r="O891" s="272"/>
      <c r="P891" s="272"/>
      <c r="Q891" s="272"/>
      <c r="R891" s="272"/>
      <c r="S891" s="272"/>
      <c r="T891" s="272"/>
      <c r="U891" s="272"/>
      <c r="V891" s="272"/>
      <c r="W891" s="272"/>
      <c r="X891" s="272"/>
      <c r="Y891" s="272"/>
      <c r="Z891" s="272"/>
    </row>
    <row r="892" spans="1:26" ht="15.75" customHeight="1" x14ac:dyDescent="0.2">
      <c r="A892" s="272"/>
      <c r="B892" s="272"/>
      <c r="C892" s="272"/>
      <c r="D892" s="272"/>
      <c r="E892" s="272"/>
      <c r="F892" s="272"/>
      <c r="G892" s="272"/>
      <c r="H892" s="272"/>
      <c r="I892" s="272"/>
      <c r="J892" s="272"/>
      <c r="K892" s="272"/>
      <c r="L892" s="272"/>
      <c r="M892" s="272"/>
      <c r="N892" s="272"/>
      <c r="O892" s="272"/>
      <c r="P892" s="272"/>
      <c r="Q892" s="272"/>
      <c r="R892" s="272"/>
      <c r="S892" s="272"/>
      <c r="T892" s="272"/>
      <c r="U892" s="272"/>
      <c r="V892" s="272"/>
      <c r="W892" s="272"/>
      <c r="X892" s="272"/>
      <c r="Y892" s="272"/>
      <c r="Z892" s="272"/>
    </row>
    <row r="893" spans="1:26" ht="15.75" customHeight="1" x14ac:dyDescent="0.2">
      <c r="A893" s="272"/>
      <c r="B893" s="272"/>
      <c r="C893" s="272"/>
      <c r="D893" s="272"/>
      <c r="E893" s="272"/>
      <c r="F893" s="272"/>
      <c r="G893" s="272"/>
      <c r="H893" s="272"/>
      <c r="I893" s="272"/>
      <c r="J893" s="272"/>
      <c r="K893" s="272"/>
      <c r="L893" s="272"/>
      <c r="M893" s="272"/>
      <c r="N893" s="272"/>
      <c r="O893" s="272"/>
      <c r="P893" s="272"/>
      <c r="Q893" s="272"/>
      <c r="R893" s="272"/>
      <c r="S893" s="272"/>
      <c r="T893" s="272"/>
      <c r="U893" s="272"/>
      <c r="V893" s="272"/>
      <c r="W893" s="272"/>
      <c r="X893" s="272"/>
      <c r="Y893" s="272"/>
      <c r="Z893" s="272"/>
    </row>
    <row r="894" spans="1:26" ht="15.75" customHeight="1" x14ac:dyDescent="0.2">
      <c r="A894" s="272"/>
      <c r="B894" s="272"/>
      <c r="C894" s="272"/>
      <c r="D894" s="272"/>
      <c r="E894" s="272"/>
      <c r="F894" s="272"/>
      <c r="G894" s="272"/>
      <c r="H894" s="272"/>
      <c r="I894" s="272"/>
      <c r="J894" s="272"/>
      <c r="K894" s="272"/>
      <c r="L894" s="272"/>
      <c r="M894" s="272"/>
      <c r="N894" s="272"/>
      <c r="O894" s="272"/>
      <c r="P894" s="272"/>
      <c r="Q894" s="272"/>
      <c r="R894" s="272"/>
      <c r="S894" s="272"/>
      <c r="T894" s="272"/>
      <c r="U894" s="272"/>
      <c r="V894" s="272"/>
      <c r="W894" s="272"/>
      <c r="X894" s="272"/>
      <c r="Y894" s="272"/>
      <c r="Z894" s="272"/>
    </row>
    <row r="895" spans="1:26" ht="15.75" customHeight="1" x14ac:dyDescent="0.2">
      <c r="A895" s="272"/>
      <c r="B895" s="272"/>
      <c r="C895" s="272"/>
      <c r="D895" s="272"/>
      <c r="E895" s="272"/>
      <c r="F895" s="272"/>
      <c r="G895" s="272"/>
      <c r="H895" s="272"/>
      <c r="I895" s="272"/>
      <c r="J895" s="272"/>
      <c r="K895" s="272"/>
      <c r="L895" s="272"/>
      <c r="M895" s="272"/>
      <c r="N895" s="272"/>
      <c r="O895" s="272"/>
      <c r="P895" s="272"/>
      <c r="Q895" s="272"/>
      <c r="R895" s="272"/>
      <c r="S895" s="272"/>
      <c r="T895" s="272"/>
      <c r="U895" s="272"/>
      <c r="V895" s="272"/>
      <c r="W895" s="272"/>
      <c r="X895" s="272"/>
      <c r="Y895" s="272"/>
      <c r="Z895" s="272"/>
    </row>
    <row r="896" spans="1:26" ht="15.75" customHeight="1" x14ac:dyDescent="0.2">
      <c r="A896" s="272"/>
      <c r="B896" s="272"/>
      <c r="C896" s="272"/>
      <c r="D896" s="272"/>
      <c r="E896" s="272"/>
      <c r="F896" s="272"/>
      <c r="G896" s="272"/>
      <c r="H896" s="272"/>
      <c r="I896" s="272"/>
      <c r="J896" s="272"/>
      <c r="K896" s="272"/>
      <c r="L896" s="272"/>
      <c r="M896" s="272"/>
      <c r="N896" s="272"/>
      <c r="O896" s="272"/>
      <c r="P896" s="272"/>
      <c r="Q896" s="272"/>
      <c r="R896" s="272"/>
      <c r="S896" s="272"/>
      <c r="T896" s="272"/>
      <c r="U896" s="272"/>
      <c r="V896" s="272"/>
      <c r="W896" s="272"/>
      <c r="X896" s="272"/>
      <c r="Y896" s="272"/>
      <c r="Z896" s="272"/>
    </row>
    <row r="897" spans="1:26" ht="15.75" customHeight="1" x14ac:dyDescent="0.2">
      <c r="A897" s="272"/>
      <c r="B897" s="272"/>
      <c r="C897" s="272"/>
      <c r="D897" s="272"/>
      <c r="E897" s="272"/>
      <c r="F897" s="272"/>
      <c r="G897" s="272"/>
      <c r="H897" s="272"/>
      <c r="I897" s="272"/>
      <c r="J897" s="272"/>
      <c r="K897" s="272"/>
      <c r="L897" s="272"/>
      <c r="M897" s="272"/>
      <c r="N897" s="272"/>
      <c r="O897" s="272"/>
      <c r="P897" s="272"/>
      <c r="Q897" s="272"/>
      <c r="R897" s="272"/>
      <c r="S897" s="272"/>
      <c r="T897" s="272"/>
      <c r="U897" s="272"/>
      <c r="V897" s="272"/>
      <c r="W897" s="272"/>
      <c r="X897" s="272"/>
      <c r="Y897" s="272"/>
      <c r="Z897" s="272"/>
    </row>
    <row r="898" spans="1:26" ht="15.75" customHeight="1" x14ac:dyDescent="0.2">
      <c r="A898" s="272"/>
      <c r="B898" s="272"/>
      <c r="C898" s="272"/>
      <c r="D898" s="272"/>
      <c r="E898" s="272"/>
      <c r="F898" s="272"/>
      <c r="G898" s="272"/>
      <c r="H898" s="272"/>
      <c r="I898" s="272"/>
      <c r="J898" s="272"/>
      <c r="K898" s="272"/>
      <c r="L898" s="272"/>
      <c r="M898" s="272"/>
      <c r="N898" s="272"/>
      <c r="O898" s="272"/>
      <c r="P898" s="272"/>
      <c r="Q898" s="272"/>
      <c r="R898" s="272"/>
      <c r="S898" s="272"/>
      <c r="T898" s="272"/>
      <c r="U898" s="272"/>
      <c r="V898" s="272"/>
      <c r="W898" s="272"/>
      <c r="X898" s="272"/>
      <c r="Y898" s="272"/>
      <c r="Z898" s="272"/>
    </row>
    <row r="899" spans="1:26" ht="15.75" customHeight="1" x14ac:dyDescent="0.2">
      <c r="A899" s="272"/>
      <c r="B899" s="272"/>
      <c r="C899" s="272"/>
      <c r="D899" s="272"/>
      <c r="E899" s="272"/>
      <c r="F899" s="272"/>
      <c r="G899" s="272"/>
      <c r="H899" s="272"/>
      <c r="I899" s="272"/>
      <c r="J899" s="272"/>
      <c r="K899" s="272"/>
      <c r="L899" s="272"/>
      <c r="M899" s="272"/>
      <c r="N899" s="272"/>
      <c r="O899" s="272"/>
      <c r="P899" s="272"/>
      <c r="Q899" s="272"/>
      <c r="R899" s="272"/>
      <c r="S899" s="272"/>
      <c r="T899" s="272"/>
      <c r="U899" s="272"/>
      <c r="V899" s="272"/>
      <c r="W899" s="272"/>
      <c r="X899" s="272"/>
      <c r="Y899" s="272"/>
      <c r="Z899" s="272"/>
    </row>
    <row r="900" spans="1:26" ht="15.75" customHeight="1" x14ac:dyDescent="0.2">
      <c r="A900" s="272"/>
      <c r="B900" s="272"/>
      <c r="C900" s="272"/>
      <c r="D900" s="272"/>
      <c r="E900" s="272"/>
      <c r="F900" s="272"/>
      <c r="G900" s="272"/>
      <c r="H900" s="272"/>
      <c r="I900" s="272"/>
      <c r="J900" s="272"/>
      <c r="K900" s="272"/>
      <c r="L900" s="272"/>
      <c r="M900" s="272"/>
      <c r="N900" s="272"/>
      <c r="O900" s="272"/>
      <c r="P900" s="272"/>
      <c r="Q900" s="272"/>
      <c r="R900" s="272"/>
      <c r="S900" s="272"/>
      <c r="T900" s="272"/>
      <c r="U900" s="272"/>
      <c r="V900" s="272"/>
      <c r="W900" s="272"/>
      <c r="X900" s="272"/>
      <c r="Y900" s="272"/>
      <c r="Z900" s="272"/>
    </row>
    <row r="901" spans="1:26" ht="15.75" customHeight="1" x14ac:dyDescent="0.2">
      <c r="A901" s="272"/>
      <c r="B901" s="272"/>
      <c r="C901" s="272"/>
      <c r="D901" s="272"/>
      <c r="E901" s="272"/>
      <c r="F901" s="272"/>
      <c r="G901" s="272"/>
      <c r="H901" s="272"/>
      <c r="I901" s="272"/>
      <c r="J901" s="272"/>
      <c r="K901" s="272"/>
      <c r="L901" s="272"/>
      <c r="M901" s="272"/>
      <c r="N901" s="272"/>
      <c r="O901" s="272"/>
      <c r="P901" s="272"/>
      <c r="Q901" s="272"/>
      <c r="R901" s="272"/>
      <c r="S901" s="272"/>
      <c r="T901" s="272"/>
      <c r="U901" s="272"/>
      <c r="V901" s="272"/>
      <c r="W901" s="272"/>
      <c r="X901" s="272"/>
      <c r="Y901" s="272"/>
      <c r="Z901" s="272"/>
    </row>
    <row r="902" spans="1:26" ht="15.75" customHeight="1" x14ac:dyDescent="0.2">
      <c r="A902" s="272"/>
      <c r="B902" s="272"/>
      <c r="C902" s="272"/>
      <c r="D902" s="272"/>
      <c r="E902" s="272"/>
      <c r="F902" s="272"/>
      <c r="G902" s="272"/>
      <c r="H902" s="272"/>
      <c r="I902" s="272"/>
      <c r="J902" s="272"/>
      <c r="K902" s="272"/>
      <c r="L902" s="272"/>
      <c r="M902" s="272"/>
      <c r="N902" s="272"/>
      <c r="O902" s="272"/>
      <c r="P902" s="272"/>
      <c r="Q902" s="272"/>
      <c r="R902" s="272"/>
      <c r="S902" s="272"/>
      <c r="T902" s="272"/>
      <c r="U902" s="272"/>
      <c r="V902" s="272"/>
      <c r="W902" s="272"/>
      <c r="X902" s="272"/>
      <c r="Y902" s="272"/>
      <c r="Z902" s="272"/>
    </row>
    <row r="903" spans="1:26" ht="15.75" customHeight="1" x14ac:dyDescent="0.2">
      <c r="A903" s="272"/>
      <c r="B903" s="272"/>
      <c r="C903" s="272"/>
      <c r="D903" s="272"/>
      <c r="E903" s="272"/>
      <c r="F903" s="272"/>
      <c r="G903" s="272"/>
      <c r="H903" s="272"/>
      <c r="I903" s="272"/>
      <c r="J903" s="272"/>
      <c r="K903" s="272"/>
      <c r="L903" s="272"/>
      <c r="M903" s="272"/>
      <c r="N903" s="272"/>
      <c r="O903" s="272"/>
      <c r="P903" s="272"/>
      <c r="Q903" s="272"/>
      <c r="R903" s="272"/>
      <c r="S903" s="272"/>
      <c r="T903" s="272"/>
      <c r="U903" s="272"/>
      <c r="V903" s="272"/>
      <c r="W903" s="272"/>
      <c r="X903" s="272"/>
      <c r="Y903" s="272"/>
      <c r="Z903" s="272"/>
    </row>
    <row r="904" spans="1:26" ht="15.75" customHeight="1" x14ac:dyDescent="0.2">
      <c r="A904" s="272"/>
      <c r="B904" s="272"/>
      <c r="C904" s="272"/>
      <c r="D904" s="272"/>
      <c r="E904" s="272"/>
      <c r="F904" s="272"/>
      <c r="G904" s="272"/>
      <c r="H904" s="272"/>
      <c r="I904" s="272"/>
      <c r="J904" s="272"/>
      <c r="K904" s="272"/>
      <c r="L904" s="272"/>
      <c r="M904" s="272"/>
      <c r="N904" s="272"/>
      <c r="O904" s="272"/>
      <c r="P904" s="272"/>
      <c r="Q904" s="272"/>
      <c r="R904" s="272"/>
      <c r="S904" s="272"/>
      <c r="T904" s="272"/>
      <c r="U904" s="272"/>
      <c r="V904" s="272"/>
      <c r="W904" s="272"/>
      <c r="X904" s="272"/>
      <c r="Y904" s="272"/>
      <c r="Z904" s="272"/>
    </row>
    <row r="905" spans="1:26" ht="15.75" customHeight="1" x14ac:dyDescent="0.2">
      <c r="A905" s="272"/>
      <c r="B905" s="272"/>
      <c r="C905" s="272"/>
      <c r="D905" s="272"/>
      <c r="E905" s="272"/>
      <c r="F905" s="272"/>
      <c r="G905" s="272"/>
      <c r="H905" s="272"/>
      <c r="I905" s="272"/>
      <c r="J905" s="272"/>
      <c r="K905" s="272"/>
      <c r="L905" s="272"/>
      <c r="M905" s="272"/>
      <c r="N905" s="272"/>
      <c r="O905" s="272"/>
      <c r="P905" s="272"/>
      <c r="Q905" s="272"/>
      <c r="R905" s="272"/>
      <c r="S905" s="272"/>
      <c r="T905" s="272"/>
      <c r="U905" s="272"/>
      <c r="V905" s="272"/>
      <c r="W905" s="272"/>
      <c r="X905" s="272"/>
      <c r="Y905" s="272"/>
      <c r="Z905" s="272"/>
    </row>
    <row r="906" spans="1:26" ht="15.75" customHeight="1" x14ac:dyDescent="0.2">
      <c r="A906" s="272"/>
      <c r="B906" s="272"/>
      <c r="C906" s="272"/>
      <c r="D906" s="272"/>
      <c r="E906" s="272"/>
      <c r="F906" s="272"/>
      <c r="G906" s="272"/>
      <c r="H906" s="272"/>
      <c r="I906" s="272"/>
      <c r="J906" s="272"/>
      <c r="K906" s="272"/>
      <c r="L906" s="272"/>
      <c r="M906" s="272"/>
      <c r="N906" s="272"/>
      <c r="O906" s="272"/>
      <c r="P906" s="272"/>
      <c r="Q906" s="272"/>
      <c r="R906" s="272"/>
      <c r="S906" s="272"/>
      <c r="T906" s="272"/>
      <c r="U906" s="272"/>
      <c r="V906" s="272"/>
      <c r="W906" s="272"/>
      <c r="X906" s="272"/>
      <c r="Y906" s="272"/>
      <c r="Z906" s="272"/>
    </row>
    <row r="907" spans="1:26" ht="15.75" customHeight="1" x14ac:dyDescent="0.2">
      <c r="A907" s="272"/>
      <c r="B907" s="272"/>
      <c r="C907" s="272"/>
      <c r="D907" s="272"/>
      <c r="E907" s="272"/>
      <c r="F907" s="272"/>
      <c r="G907" s="272"/>
      <c r="H907" s="272"/>
      <c r="I907" s="272"/>
      <c r="J907" s="272"/>
      <c r="K907" s="272"/>
      <c r="L907" s="272"/>
      <c r="M907" s="272"/>
      <c r="N907" s="272"/>
      <c r="O907" s="272"/>
      <c r="P907" s="272"/>
      <c r="Q907" s="272"/>
      <c r="R907" s="272"/>
      <c r="S907" s="272"/>
      <c r="T907" s="272"/>
      <c r="U907" s="272"/>
      <c r="V907" s="272"/>
      <c r="W907" s="272"/>
      <c r="X907" s="272"/>
      <c r="Y907" s="272"/>
      <c r="Z907" s="272"/>
    </row>
    <row r="908" spans="1:26" ht="15.75" customHeight="1" x14ac:dyDescent="0.2">
      <c r="A908" s="272"/>
      <c r="B908" s="272"/>
      <c r="C908" s="272"/>
      <c r="D908" s="272"/>
      <c r="E908" s="272"/>
      <c r="F908" s="272"/>
      <c r="G908" s="272"/>
      <c r="H908" s="272"/>
      <c r="I908" s="272"/>
      <c r="J908" s="272"/>
      <c r="K908" s="272"/>
      <c r="L908" s="272"/>
      <c r="M908" s="272"/>
      <c r="N908" s="272"/>
      <c r="O908" s="272"/>
      <c r="P908" s="272"/>
      <c r="Q908" s="272"/>
      <c r="R908" s="272"/>
      <c r="S908" s="272"/>
      <c r="T908" s="272"/>
      <c r="U908" s="272"/>
      <c r="V908" s="272"/>
      <c r="W908" s="272"/>
      <c r="X908" s="272"/>
      <c r="Y908" s="272"/>
      <c r="Z908" s="272"/>
    </row>
    <row r="909" spans="1:26" ht="15.75" customHeight="1" x14ac:dyDescent="0.2">
      <c r="A909" s="272"/>
      <c r="B909" s="272"/>
      <c r="C909" s="272"/>
      <c r="D909" s="272"/>
      <c r="E909" s="272"/>
      <c r="F909" s="272"/>
      <c r="G909" s="272"/>
      <c r="H909" s="272"/>
      <c r="I909" s="272"/>
      <c r="J909" s="272"/>
      <c r="K909" s="272"/>
      <c r="L909" s="272"/>
      <c r="M909" s="272"/>
      <c r="N909" s="272"/>
      <c r="O909" s="272"/>
      <c r="P909" s="272"/>
      <c r="Q909" s="272"/>
      <c r="R909" s="272"/>
      <c r="S909" s="272"/>
      <c r="T909" s="272"/>
      <c r="U909" s="272"/>
      <c r="V909" s="272"/>
      <c r="W909" s="272"/>
      <c r="X909" s="272"/>
      <c r="Y909" s="272"/>
      <c r="Z909" s="272"/>
    </row>
    <row r="910" spans="1:26" ht="15.75" customHeight="1" x14ac:dyDescent="0.2">
      <c r="A910" s="272"/>
      <c r="B910" s="272"/>
      <c r="C910" s="272"/>
      <c r="D910" s="272"/>
      <c r="E910" s="272"/>
      <c r="F910" s="272"/>
      <c r="G910" s="272"/>
      <c r="H910" s="272"/>
      <c r="I910" s="272"/>
      <c r="J910" s="272"/>
      <c r="K910" s="272"/>
      <c r="L910" s="272"/>
      <c r="M910" s="272"/>
      <c r="N910" s="272"/>
      <c r="O910" s="272"/>
      <c r="P910" s="272"/>
      <c r="Q910" s="272"/>
      <c r="R910" s="272"/>
      <c r="S910" s="272"/>
      <c r="T910" s="272"/>
      <c r="U910" s="272"/>
      <c r="V910" s="272"/>
      <c r="W910" s="272"/>
      <c r="X910" s="272"/>
      <c r="Y910" s="272"/>
      <c r="Z910" s="272"/>
    </row>
    <row r="911" spans="1:26" ht="15.75" customHeight="1" x14ac:dyDescent="0.2">
      <c r="A911" s="272"/>
      <c r="B911" s="272"/>
      <c r="C911" s="272"/>
      <c r="D911" s="272"/>
      <c r="E911" s="272"/>
      <c r="F911" s="272"/>
      <c r="G911" s="272"/>
      <c r="H911" s="272"/>
      <c r="I911" s="272"/>
      <c r="J911" s="272"/>
      <c r="K911" s="272"/>
      <c r="L911" s="272"/>
      <c r="M911" s="272"/>
      <c r="N911" s="272"/>
      <c r="O911" s="272"/>
      <c r="P911" s="272"/>
      <c r="Q911" s="272"/>
      <c r="R911" s="272"/>
      <c r="S911" s="272"/>
      <c r="T911" s="272"/>
      <c r="U911" s="272"/>
      <c r="V911" s="272"/>
      <c r="W911" s="272"/>
      <c r="X911" s="272"/>
      <c r="Y911" s="272"/>
      <c r="Z911" s="272"/>
    </row>
    <row r="912" spans="1:26" ht="15.75" customHeight="1" x14ac:dyDescent="0.2">
      <c r="A912" s="272"/>
      <c r="B912" s="272"/>
      <c r="C912" s="272"/>
      <c r="D912" s="272"/>
      <c r="E912" s="272"/>
      <c r="F912" s="272"/>
      <c r="G912" s="272"/>
      <c r="H912" s="272"/>
      <c r="I912" s="272"/>
      <c r="J912" s="272"/>
      <c r="K912" s="272"/>
      <c r="L912" s="272"/>
      <c r="M912" s="272"/>
      <c r="N912" s="272"/>
      <c r="O912" s="272"/>
      <c r="P912" s="272"/>
      <c r="Q912" s="272"/>
      <c r="R912" s="272"/>
      <c r="S912" s="272"/>
      <c r="T912" s="272"/>
      <c r="U912" s="272"/>
      <c r="V912" s="272"/>
      <c r="W912" s="272"/>
      <c r="X912" s="272"/>
      <c r="Y912" s="272"/>
      <c r="Z912" s="272"/>
    </row>
    <row r="913" spans="1:26" ht="15.75" customHeight="1" x14ac:dyDescent="0.2">
      <c r="A913" s="272"/>
      <c r="B913" s="272"/>
      <c r="C913" s="272"/>
      <c r="D913" s="272"/>
      <c r="E913" s="272"/>
      <c r="F913" s="272"/>
      <c r="G913" s="272"/>
      <c r="H913" s="272"/>
      <c r="I913" s="272"/>
      <c r="J913" s="272"/>
      <c r="K913" s="272"/>
      <c r="L913" s="272"/>
      <c r="M913" s="272"/>
      <c r="N913" s="272"/>
      <c r="O913" s="272"/>
      <c r="P913" s="272"/>
      <c r="Q913" s="272"/>
      <c r="R913" s="272"/>
      <c r="S913" s="272"/>
      <c r="T913" s="272"/>
      <c r="U913" s="272"/>
      <c r="V913" s="272"/>
      <c r="W913" s="272"/>
      <c r="X913" s="272"/>
      <c r="Y913" s="272"/>
      <c r="Z913" s="272"/>
    </row>
    <row r="914" spans="1:26" ht="15.75" customHeight="1" x14ac:dyDescent="0.2">
      <c r="A914" s="272"/>
      <c r="B914" s="272"/>
      <c r="C914" s="272"/>
      <c r="D914" s="272"/>
      <c r="E914" s="272"/>
      <c r="F914" s="272"/>
      <c r="G914" s="272"/>
      <c r="H914" s="272"/>
      <c r="I914" s="272"/>
      <c r="J914" s="272"/>
      <c r="K914" s="272"/>
      <c r="L914" s="272"/>
      <c r="M914" s="272"/>
      <c r="N914" s="272"/>
      <c r="O914" s="272"/>
      <c r="P914" s="272"/>
      <c r="Q914" s="272"/>
      <c r="R914" s="272"/>
      <c r="S914" s="272"/>
      <c r="T914" s="272"/>
      <c r="U914" s="272"/>
      <c r="V914" s="272"/>
      <c r="W914" s="272"/>
      <c r="X914" s="272"/>
      <c r="Y914" s="272"/>
      <c r="Z914" s="272"/>
    </row>
    <row r="915" spans="1:26" ht="15.75" customHeight="1" x14ac:dyDescent="0.2">
      <c r="A915" s="272"/>
      <c r="B915" s="272"/>
      <c r="C915" s="272"/>
      <c r="D915" s="272"/>
      <c r="E915" s="272"/>
      <c r="F915" s="272"/>
      <c r="G915" s="272"/>
      <c r="H915" s="272"/>
      <c r="I915" s="272"/>
      <c r="J915" s="272"/>
      <c r="K915" s="272"/>
      <c r="L915" s="272"/>
      <c r="M915" s="272"/>
      <c r="N915" s="272"/>
      <c r="O915" s="272"/>
      <c r="P915" s="272"/>
      <c r="Q915" s="272"/>
      <c r="R915" s="272"/>
      <c r="S915" s="272"/>
      <c r="T915" s="272"/>
      <c r="U915" s="272"/>
      <c r="V915" s="272"/>
      <c r="W915" s="272"/>
      <c r="X915" s="272"/>
      <c r="Y915" s="272"/>
      <c r="Z915" s="272"/>
    </row>
    <row r="916" spans="1:26" ht="15.75" customHeight="1" x14ac:dyDescent="0.2">
      <c r="A916" s="272"/>
      <c r="B916" s="272"/>
      <c r="C916" s="272"/>
      <c r="D916" s="272"/>
      <c r="E916" s="272"/>
      <c r="F916" s="272"/>
      <c r="G916" s="272"/>
      <c r="H916" s="272"/>
      <c r="I916" s="272"/>
      <c r="J916" s="272"/>
      <c r="K916" s="272"/>
      <c r="L916" s="272"/>
      <c r="M916" s="272"/>
      <c r="N916" s="272"/>
      <c r="O916" s="272"/>
      <c r="P916" s="272"/>
      <c r="Q916" s="272"/>
      <c r="R916" s="272"/>
      <c r="S916" s="272"/>
      <c r="T916" s="272"/>
      <c r="U916" s="272"/>
      <c r="V916" s="272"/>
      <c r="W916" s="272"/>
      <c r="X916" s="272"/>
      <c r="Y916" s="272"/>
      <c r="Z916" s="272"/>
    </row>
    <row r="917" spans="1:26" ht="15.75" customHeight="1" x14ac:dyDescent="0.2">
      <c r="A917" s="272"/>
      <c r="B917" s="272"/>
      <c r="C917" s="272"/>
      <c r="D917" s="272"/>
      <c r="E917" s="272"/>
      <c r="F917" s="272"/>
      <c r="G917" s="272"/>
      <c r="H917" s="272"/>
      <c r="I917" s="272"/>
      <c r="J917" s="272"/>
      <c r="K917" s="272"/>
      <c r="L917" s="272"/>
      <c r="M917" s="272"/>
      <c r="N917" s="272"/>
      <c r="O917" s="272"/>
      <c r="P917" s="272"/>
      <c r="Q917" s="272"/>
      <c r="R917" s="272"/>
      <c r="S917" s="272"/>
      <c r="T917" s="272"/>
      <c r="U917" s="272"/>
      <c r="V917" s="272"/>
      <c r="W917" s="272"/>
      <c r="X917" s="272"/>
      <c r="Y917" s="272"/>
      <c r="Z917" s="272"/>
    </row>
    <row r="918" spans="1:26" ht="15.75" customHeight="1" x14ac:dyDescent="0.2">
      <c r="A918" s="272"/>
      <c r="B918" s="272"/>
      <c r="C918" s="272"/>
      <c r="D918" s="272"/>
      <c r="E918" s="272"/>
      <c r="F918" s="272"/>
      <c r="G918" s="272"/>
      <c r="H918" s="272"/>
      <c r="I918" s="272"/>
      <c r="J918" s="272"/>
      <c r="K918" s="272"/>
      <c r="L918" s="272"/>
      <c r="M918" s="272"/>
      <c r="N918" s="272"/>
      <c r="O918" s="272"/>
      <c r="P918" s="272"/>
      <c r="Q918" s="272"/>
      <c r="R918" s="272"/>
      <c r="S918" s="272"/>
      <c r="T918" s="272"/>
      <c r="U918" s="272"/>
      <c r="V918" s="272"/>
      <c r="W918" s="272"/>
      <c r="X918" s="272"/>
      <c r="Y918" s="272"/>
      <c r="Z918" s="272"/>
    </row>
    <row r="919" spans="1:26" ht="15.75" customHeight="1" x14ac:dyDescent="0.2">
      <c r="A919" s="272"/>
      <c r="B919" s="272"/>
      <c r="C919" s="272"/>
      <c r="D919" s="272"/>
      <c r="E919" s="272"/>
      <c r="F919" s="272"/>
      <c r="G919" s="272"/>
      <c r="H919" s="272"/>
      <c r="I919" s="272"/>
      <c r="J919" s="272"/>
      <c r="K919" s="272"/>
      <c r="L919" s="272"/>
      <c r="M919" s="272"/>
      <c r="N919" s="272"/>
      <c r="O919" s="272"/>
      <c r="P919" s="272"/>
      <c r="Q919" s="272"/>
      <c r="R919" s="272"/>
      <c r="S919" s="272"/>
      <c r="T919" s="272"/>
      <c r="U919" s="272"/>
      <c r="V919" s="272"/>
      <c r="W919" s="272"/>
      <c r="X919" s="272"/>
      <c r="Y919" s="272"/>
      <c r="Z919" s="272"/>
    </row>
    <row r="920" spans="1:26" ht="15.75" customHeight="1" x14ac:dyDescent="0.2">
      <c r="A920" s="272"/>
      <c r="B920" s="272"/>
      <c r="C920" s="272"/>
      <c r="D920" s="272"/>
      <c r="E920" s="272"/>
      <c r="F920" s="272"/>
      <c r="G920" s="272"/>
      <c r="H920" s="272"/>
      <c r="I920" s="272"/>
      <c r="J920" s="272"/>
      <c r="K920" s="272"/>
      <c r="L920" s="272"/>
      <c r="M920" s="272"/>
      <c r="N920" s="272"/>
      <c r="O920" s="272"/>
      <c r="P920" s="272"/>
      <c r="Q920" s="272"/>
      <c r="R920" s="272"/>
      <c r="S920" s="272"/>
      <c r="T920" s="272"/>
      <c r="U920" s="272"/>
      <c r="V920" s="272"/>
      <c r="W920" s="272"/>
      <c r="X920" s="272"/>
      <c r="Y920" s="272"/>
      <c r="Z920" s="272"/>
    </row>
    <row r="921" spans="1:26" ht="15.75" customHeight="1" x14ac:dyDescent="0.2">
      <c r="A921" s="272"/>
      <c r="B921" s="272"/>
      <c r="C921" s="272"/>
      <c r="D921" s="272"/>
      <c r="E921" s="272"/>
      <c r="F921" s="272"/>
      <c r="G921" s="272"/>
      <c r="H921" s="272"/>
      <c r="I921" s="272"/>
      <c r="J921" s="272"/>
      <c r="K921" s="272"/>
      <c r="L921" s="272"/>
      <c r="M921" s="272"/>
      <c r="N921" s="272"/>
      <c r="O921" s="272"/>
      <c r="P921" s="272"/>
      <c r="Q921" s="272"/>
      <c r="R921" s="272"/>
      <c r="S921" s="272"/>
      <c r="T921" s="272"/>
      <c r="U921" s="272"/>
      <c r="V921" s="272"/>
      <c r="W921" s="272"/>
      <c r="X921" s="272"/>
      <c r="Y921" s="272"/>
      <c r="Z921" s="272"/>
    </row>
    <row r="922" spans="1:26" ht="15.75" customHeight="1" x14ac:dyDescent="0.2">
      <c r="A922" s="272"/>
      <c r="B922" s="272"/>
      <c r="C922" s="272"/>
      <c r="D922" s="272"/>
      <c r="E922" s="272"/>
      <c r="F922" s="272"/>
      <c r="G922" s="272"/>
      <c r="H922" s="272"/>
      <c r="I922" s="272"/>
      <c r="J922" s="272"/>
      <c r="K922" s="272"/>
      <c r="L922" s="272"/>
      <c r="M922" s="272"/>
      <c r="N922" s="272"/>
      <c r="O922" s="272"/>
      <c r="P922" s="272"/>
      <c r="Q922" s="272"/>
      <c r="R922" s="272"/>
      <c r="S922" s="272"/>
      <c r="T922" s="272"/>
      <c r="U922" s="272"/>
      <c r="V922" s="272"/>
      <c r="W922" s="272"/>
      <c r="X922" s="272"/>
      <c r="Y922" s="272"/>
      <c r="Z922" s="272"/>
    </row>
    <row r="923" spans="1:26" ht="15.75" customHeight="1" x14ac:dyDescent="0.2">
      <c r="A923" s="272"/>
      <c r="B923" s="272"/>
      <c r="C923" s="272"/>
      <c r="D923" s="272"/>
      <c r="E923" s="272"/>
      <c r="F923" s="272"/>
      <c r="G923" s="272"/>
      <c r="H923" s="272"/>
      <c r="I923" s="272"/>
      <c r="J923" s="272"/>
      <c r="K923" s="272"/>
      <c r="L923" s="272"/>
      <c r="M923" s="272"/>
      <c r="N923" s="272"/>
      <c r="O923" s="272"/>
      <c r="P923" s="272"/>
      <c r="Q923" s="272"/>
      <c r="R923" s="272"/>
      <c r="S923" s="272"/>
      <c r="T923" s="272"/>
      <c r="U923" s="272"/>
      <c r="V923" s="272"/>
      <c r="W923" s="272"/>
      <c r="X923" s="272"/>
      <c r="Y923" s="272"/>
      <c r="Z923" s="272"/>
    </row>
    <row r="924" spans="1:26" ht="15.75" customHeight="1" x14ac:dyDescent="0.2">
      <c r="A924" s="272"/>
      <c r="B924" s="272"/>
      <c r="C924" s="272"/>
      <c r="D924" s="272"/>
      <c r="E924" s="272"/>
      <c r="F924" s="272"/>
      <c r="G924" s="272"/>
      <c r="H924" s="272"/>
      <c r="I924" s="272"/>
      <c r="J924" s="272"/>
      <c r="K924" s="272"/>
      <c r="L924" s="272"/>
      <c r="M924" s="272"/>
      <c r="N924" s="272"/>
      <c r="O924" s="272"/>
      <c r="P924" s="272"/>
      <c r="Q924" s="272"/>
      <c r="R924" s="272"/>
      <c r="S924" s="272"/>
      <c r="T924" s="272"/>
      <c r="U924" s="272"/>
      <c r="V924" s="272"/>
      <c r="W924" s="272"/>
      <c r="X924" s="272"/>
      <c r="Y924" s="272"/>
      <c r="Z924" s="272"/>
    </row>
    <row r="925" spans="1:26" ht="15.75" customHeight="1" x14ac:dyDescent="0.2">
      <c r="A925" s="272"/>
      <c r="B925" s="272"/>
      <c r="C925" s="272"/>
      <c r="D925" s="272"/>
      <c r="E925" s="272"/>
      <c r="F925" s="272"/>
      <c r="G925" s="272"/>
      <c r="H925" s="272"/>
      <c r="I925" s="272"/>
      <c r="J925" s="272"/>
      <c r="K925" s="272"/>
      <c r="L925" s="272"/>
      <c r="M925" s="272"/>
      <c r="N925" s="272"/>
      <c r="O925" s="272"/>
      <c r="P925" s="272"/>
      <c r="Q925" s="272"/>
      <c r="R925" s="272"/>
      <c r="S925" s="272"/>
      <c r="T925" s="272"/>
      <c r="U925" s="272"/>
      <c r="V925" s="272"/>
      <c r="W925" s="272"/>
      <c r="X925" s="272"/>
      <c r="Y925" s="272"/>
      <c r="Z925" s="272"/>
    </row>
    <row r="926" spans="1:26" ht="15.75" customHeight="1" x14ac:dyDescent="0.2">
      <c r="A926" s="272"/>
      <c r="B926" s="272"/>
      <c r="C926" s="272"/>
      <c r="D926" s="272"/>
      <c r="E926" s="272"/>
      <c r="F926" s="272"/>
      <c r="G926" s="272"/>
      <c r="H926" s="272"/>
      <c r="I926" s="272"/>
      <c r="J926" s="272"/>
      <c r="K926" s="272"/>
      <c r="L926" s="272"/>
      <c r="M926" s="272"/>
      <c r="N926" s="272"/>
      <c r="O926" s="272"/>
      <c r="P926" s="272"/>
      <c r="Q926" s="272"/>
      <c r="R926" s="272"/>
      <c r="S926" s="272"/>
      <c r="T926" s="272"/>
      <c r="U926" s="272"/>
      <c r="V926" s="272"/>
      <c r="W926" s="272"/>
      <c r="X926" s="272"/>
      <c r="Y926" s="272"/>
      <c r="Z926" s="272"/>
    </row>
    <row r="927" spans="1:26" ht="15.75" customHeight="1" x14ac:dyDescent="0.2">
      <c r="A927" s="272"/>
      <c r="B927" s="272"/>
      <c r="C927" s="272"/>
      <c r="D927" s="272"/>
      <c r="E927" s="272"/>
      <c r="F927" s="272"/>
      <c r="G927" s="272"/>
      <c r="H927" s="272"/>
      <c r="I927" s="272"/>
      <c r="J927" s="272"/>
      <c r="K927" s="272"/>
      <c r="L927" s="272"/>
      <c r="M927" s="272"/>
      <c r="N927" s="272"/>
      <c r="O927" s="272"/>
      <c r="P927" s="272"/>
      <c r="Q927" s="272"/>
      <c r="R927" s="272"/>
      <c r="S927" s="272"/>
      <c r="T927" s="272"/>
      <c r="U927" s="272"/>
      <c r="V927" s="272"/>
      <c r="W927" s="272"/>
      <c r="X927" s="272"/>
      <c r="Y927" s="272"/>
      <c r="Z927" s="272"/>
    </row>
    <row r="928" spans="1:26" ht="15.75" customHeight="1" x14ac:dyDescent="0.2">
      <c r="A928" s="272"/>
      <c r="B928" s="272"/>
      <c r="C928" s="272"/>
      <c r="D928" s="272"/>
      <c r="E928" s="272"/>
      <c r="F928" s="272"/>
      <c r="G928" s="272"/>
      <c r="H928" s="272"/>
      <c r="I928" s="272"/>
      <c r="J928" s="272"/>
      <c r="K928" s="272"/>
      <c r="L928" s="272"/>
      <c r="M928" s="272"/>
      <c r="N928" s="272"/>
      <c r="O928" s="272"/>
      <c r="P928" s="272"/>
      <c r="Q928" s="272"/>
      <c r="R928" s="272"/>
      <c r="S928" s="272"/>
      <c r="T928" s="272"/>
      <c r="U928" s="272"/>
      <c r="V928" s="272"/>
      <c r="W928" s="272"/>
      <c r="X928" s="272"/>
      <c r="Y928" s="272"/>
      <c r="Z928" s="272"/>
    </row>
    <row r="929" spans="1:26" ht="15.75" customHeight="1" x14ac:dyDescent="0.2">
      <c r="A929" s="272"/>
      <c r="B929" s="272"/>
      <c r="C929" s="272"/>
      <c r="D929" s="272"/>
      <c r="E929" s="272"/>
      <c r="F929" s="272"/>
      <c r="G929" s="272"/>
      <c r="H929" s="272"/>
      <c r="I929" s="272"/>
      <c r="J929" s="272"/>
      <c r="K929" s="272"/>
      <c r="L929" s="272"/>
      <c r="M929" s="272"/>
      <c r="N929" s="272"/>
      <c r="O929" s="272"/>
      <c r="P929" s="272"/>
      <c r="Q929" s="272"/>
      <c r="R929" s="272"/>
      <c r="S929" s="272"/>
      <c r="T929" s="272"/>
      <c r="U929" s="272"/>
      <c r="V929" s="272"/>
      <c r="W929" s="272"/>
      <c r="X929" s="272"/>
      <c r="Y929" s="272"/>
      <c r="Z929" s="272"/>
    </row>
    <row r="930" spans="1:26" ht="15.75" customHeight="1" x14ac:dyDescent="0.2">
      <c r="A930" s="272"/>
      <c r="B930" s="272"/>
      <c r="C930" s="272"/>
      <c r="D930" s="272"/>
      <c r="E930" s="272"/>
      <c r="F930" s="272"/>
      <c r="G930" s="272"/>
      <c r="H930" s="272"/>
      <c r="I930" s="272"/>
      <c r="J930" s="272"/>
      <c r="K930" s="272"/>
      <c r="L930" s="272"/>
      <c r="M930" s="272"/>
      <c r="N930" s="272"/>
      <c r="O930" s="272"/>
      <c r="P930" s="272"/>
      <c r="Q930" s="272"/>
      <c r="R930" s="272"/>
      <c r="S930" s="272"/>
      <c r="T930" s="272"/>
      <c r="U930" s="272"/>
      <c r="V930" s="272"/>
      <c r="W930" s="272"/>
      <c r="X930" s="272"/>
      <c r="Y930" s="272"/>
      <c r="Z930" s="272"/>
    </row>
    <row r="931" spans="1:26" ht="15.75" customHeight="1" x14ac:dyDescent="0.2">
      <c r="A931" s="272"/>
      <c r="B931" s="272"/>
      <c r="C931" s="272"/>
      <c r="D931" s="272"/>
      <c r="E931" s="272"/>
      <c r="F931" s="272"/>
      <c r="G931" s="272"/>
      <c r="H931" s="272"/>
      <c r="I931" s="272"/>
      <c r="J931" s="272"/>
      <c r="K931" s="272"/>
      <c r="L931" s="272"/>
      <c r="M931" s="272"/>
      <c r="N931" s="272"/>
      <c r="O931" s="272"/>
      <c r="P931" s="272"/>
      <c r="Q931" s="272"/>
      <c r="R931" s="272"/>
      <c r="S931" s="272"/>
      <c r="T931" s="272"/>
      <c r="U931" s="272"/>
      <c r="V931" s="272"/>
      <c r="W931" s="272"/>
      <c r="X931" s="272"/>
      <c r="Y931" s="272"/>
      <c r="Z931" s="272"/>
    </row>
    <row r="932" spans="1:26" ht="15.75" customHeight="1" x14ac:dyDescent="0.2">
      <c r="A932" s="272"/>
      <c r="B932" s="272"/>
      <c r="C932" s="272"/>
      <c r="D932" s="272"/>
      <c r="E932" s="272"/>
      <c r="F932" s="272"/>
      <c r="G932" s="272"/>
      <c r="H932" s="272"/>
      <c r="I932" s="272"/>
      <c r="J932" s="272"/>
      <c r="K932" s="272"/>
      <c r="L932" s="272"/>
      <c r="M932" s="272"/>
      <c r="N932" s="272"/>
      <c r="O932" s="272"/>
      <c r="P932" s="272"/>
      <c r="Q932" s="272"/>
      <c r="R932" s="272"/>
      <c r="S932" s="272"/>
      <c r="T932" s="272"/>
      <c r="U932" s="272"/>
      <c r="V932" s="272"/>
      <c r="W932" s="272"/>
      <c r="X932" s="272"/>
      <c r="Y932" s="272"/>
      <c r="Z932" s="272"/>
    </row>
    <row r="933" spans="1:26" ht="15.75" customHeight="1" x14ac:dyDescent="0.2">
      <c r="A933" s="272"/>
      <c r="B933" s="272"/>
      <c r="C933" s="272"/>
      <c r="D933" s="272"/>
      <c r="E933" s="272"/>
      <c r="F933" s="272"/>
      <c r="G933" s="272"/>
      <c r="H933" s="272"/>
      <c r="I933" s="272"/>
      <c r="J933" s="272"/>
      <c r="K933" s="272"/>
      <c r="L933" s="272"/>
      <c r="M933" s="272"/>
      <c r="N933" s="272"/>
      <c r="O933" s="272"/>
      <c r="P933" s="272"/>
      <c r="Q933" s="272"/>
      <c r="R933" s="272"/>
      <c r="S933" s="272"/>
      <c r="T933" s="272"/>
      <c r="U933" s="272"/>
      <c r="V933" s="272"/>
      <c r="W933" s="272"/>
      <c r="X933" s="272"/>
      <c r="Y933" s="272"/>
      <c r="Z933" s="272"/>
    </row>
    <row r="934" spans="1:26" ht="15.75" customHeight="1" x14ac:dyDescent="0.2">
      <c r="A934" s="272"/>
      <c r="B934" s="272"/>
      <c r="C934" s="272"/>
      <c r="D934" s="272"/>
      <c r="E934" s="272"/>
      <c r="F934" s="272"/>
      <c r="G934" s="272"/>
      <c r="H934" s="272"/>
      <c r="I934" s="272"/>
      <c r="J934" s="272"/>
      <c r="K934" s="272"/>
      <c r="L934" s="272"/>
      <c r="M934" s="272"/>
      <c r="N934" s="272"/>
      <c r="O934" s="272"/>
      <c r="P934" s="272"/>
      <c r="Q934" s="272"/>
      <c r="R934" s="272"/>
      <c r="S934" s="272"/>
      <c r="T934" s="272"/>
      <c r="U934" s="272"/>
      <c r="V934" s="272"/>
      <c r="W934" s="272"/>
      <c r="X934" s="272"/>
      <c r="Y934" s="272"/>
      <c r="Z934" s="272"/>
    </row>
    <row r="935" spans="1:26" ht="15.75" customHeight="1" x14ac:dyDescent="0.2">
      <c r="A935" s="272"/>
      <c r="B935" s="272"/>
      <c r="C935" s="272"/>
      <c r="D935" s="272"/>
      <c r="E935" s="272"/>
      <c r="F935" s="272"/>
      <c r="G935" s="272"/>
      <c r="H935" s="272"/>
      <c r="I935" s="272"/>
      <c r="J935" s="272"/>
      <c r="K935" s="272"/>
      <c r="L935" s="272"/>
      <c r="M935" s="272"/>
      <c r="N935" s="272"/>
      <c r="O935" s="272"/>
      <c r="P935" s="272"/>
      <c r="Q935" s="272"/>
      <c r="R935" s="272"/>
      <c r="S935" s="272"/>
      <c r="T935" s="272"/>
      <c r="U935" s="272"/>
      <c r="V935" s="272"/>
      <c r="W935" s="272"/>
      <c r="X935" s="272"/>
      <c r="Y935" s="272"/>
      <c r="Z935" s="272"/>
    </row>
    <row r="936" spans="1:26" ht="15.75" customHeight="1" x14ac:dyDescent="0.2">
      <c r="A936" s="272"/>
      <c r="B936" s="272"/>
      <c r="C936" s="272"/>
      <c r="D936" s="272"/>
      <c r="E936" s="272"/>
      <c r="F936" s="272"/>
      <c r="G936" s="272"/>
      <c r="H936" s="272"/>
      <c r="I936" s="272"/>
      <c r="J936" s="272"/>
      <c r="K936" s="272"/>
      <c r="L936" s="272"/>
      <c r="M936" s="272"/>
      <c r="N936" s="272"/>
      <c r="O936" s="272"/>
      <c r="P936" s="272"/>
      <c r="Q936" s="272"/>
      <c r="R936" s="272"/>
      <c r="S936" s="272"/>
      <c r="T936" s="272"/>
      <c r="U936" s="272"/>
      <c r="V936" s="272"/>
      <c r="W936" s="272"/>
      <c r="X936" s="272"/>
      <c r="Y936" s="272"/>
      <c r="Z936" s="272"/>
    </row>
    <row r="937" spans="1:26" ht="15.75" customHeight="1" x14ac:dyDescent="0.2">
      <c r="A937" s="272"/>
      <c r="B937" s="272"/>
      <c r="C937" s="272"/>
      <c r="D937" s="272"/>
      <c r="E937" s="272"/>
      <c r="F937" s="272"/>
      <c r="G937" s="272"/>
      <c r="H937" s="272"/>
      <c r="I937" s="272"/>
      <c r="J937" s="272"/>
      <c r="K937" s="272"/>
      <c r="L937" s="272"/>
      <c r="M937" s="272"/>
      <c r="N937" s="272"/>
      <c r="O937" s="272"/>
      <c r="P937" s="272"/>
      <c r="Q937" s="272"/>
      <c r="R937" s="272"/>
      <c r="S937" s="272"/>
      <c r="T937" s="272"/>
      <c r="U937" s="272"/>
      <c r="V937" s="272"/>
      <c r="W937" s="272"/>
      <c r="X937" s="272"/>
      <c r="Y937" s="272"/>
      <c r="Z937" s="272"/>
    </row>
    <row r="938" spans="1:26" ht="15.75" customHeight="1" x14ac:dyDescent="0.2">
      <c r="A938" s="272"/>
      <c r="B938" s="272"/>
      <c r="C938" s="272"/>
      <c r="D938" s="272"/>
      <c r="E938" s="272"/>
      <c r="F938" s="272"/>
      <c r="G938" s="272"/>
      <c r="H938" s="272"/>
      <c r="I938" s="272"/>
      <c r="J938" s="272"/>
      <c r="K938" s="272"/>
      <c r="L938" s="272"/>
      <c r="M938" s="272"/>
      <c r="N938" s="272"/>
      <c r="O938" s="272"/>
      <c r="P938" s="272"/>
      <c r="Q938" s="272"/>
      <c r="R938" s="272"/>
      <c r="S938" s="272"/>
      <c r="T938" s="272"/>
      <c r="U938" s="272"/>
      <c r="V938" s="272"/>
      <c r="W938" s="272"/>
      <c r="X938" s="272"/>
      <c r="Y938" s="272"/>
      <c r="Z938" s="272"/>
    </row>
    <row r="939" spans="1:26" ht="15.75" customHeight="1" x14ac:dyDescent="0.2">
      <c r="A939" s="272"/>
      <c r="B939" s="272"/>
      <c r="C939" s="272"/>
      <c r="D939" s="272"/>
      <c r="E939" s="272"/>
      <c r="F939" s="272"/>
      <c r="G939" s="272"/>
      <c r="H939" s="272"/>
      <c r="I939" s="272"/>
      <c r="J939" s="272"/>
      <c r="K939" s="272"/>
      <c r="L939" s="272"/>
      <c r="M939" s="272"/>
      <c r="N939" s="272"/>
      <c r="O939" s="272"/>
      <c r="P939" s="272"/>
      <c r="Q939" s="272"/>
      <c r="R939" s="272"/>
      <c r="S939" s="272"/>
      <c r="T939" s="272"/>
      <c r="U939" s="272"/>
      <c r="V939" s="272"/>
      <c r="W939" s="272"/>
      <c r="X939" s="272"/>
      <c r="Y939" s="272"/>
      <c r="Z939" s="272"/>
    </row>
    <row r="940" spans="1:26" ht="15.75" customHeight="1" x14ac:dyDescent="0.2">
      <c r="A940" s="272"/>
      <c r="B940" s="272"/>
      <c r="C940" s="272"/>
      <c r="D940" s="272"/>
      <c r="E940" s="272"/>
      <c r="F940" s="272"/>
      <c r="G940" s="272"/>
      <c r="H940" s="272"/>
      <c r="I940" s="272"/>
      <c r="J940" s="272"/>
      <c r="K940" s="272"/>
      <c r="L940" s="272"/>
      <c r="M940" s="272"/>
      <c r="N940" s="272"/>
      <c r="O940" s="272"/>
      <c r="P940" s="272"/>
      <c r="Q940" s="272"/>
      <c r="R940" s="272"/>
      <c r="S940" s="272"/>
      <c r="T940" s="272"/>
      <c r="U940" s="272"/>
      <c r="V940" s="272"/>
      <c r="W940" s="272"/>
      <c r="X940" s="272"/>
      <c r="Y940" s="272"/>
      <c r="Z940" s="272"/>
    </row>
    <row r="941" spans="1:26" ht="15.75" customHeight="1" x14ac:dyDescent="0.2">
      <c r="A941" s="272"/>
      <c r="B941" s="272"/>
      <c r="C941" s="272"/>
      <c r="D941" s="272"/>
      <c r="E941" s="272"/>
      <c r="F941" s="272"/>
      <c r="G941" s="272"/>
      <c r="H941" s="272"/>
      <c r="I941" s="272"/>
      <c r="J941" s="272"/>
      <c r="K941" s="272"/>
      <c r="L941" s="272"/>
      <c r="M941" s="272"/>
      <c r="N941" s="272"/>
      <c r="O941" s="272"/>
      <c r="P941" s="272"/>
      <c r="Q941" s="272"/>
      <c r="R941" s="272"/>
      <c r="S941" s="272"/>
      <c r="T941" s="272"/>
      <c r="U941" s="272"/>
      <c r="V941" s="272"/>
      <c r="W941" s="272"/>
      <c r="X941" s="272"/>
      <c r="Y941" s="272"/>
      <c r="Z941" s="272"/>
    </row>
    <row r="942" spans="1:26" ht="15.75" customHeight="1" x14ac:dyDescent="0.2">
      <c r="A942" s="272"/>
      <c r="B942" s="272"/>
      <c r="C942" s="272"/>
      <c r="D942" s="272"/>
      <c r="E942" s="272"/>
      <c r="F942" s="272"/>
      <c r="G942" s="272"/>
      <c r="H942" s="272"/>
      <c r="I942" s="272"/>
      <c r="J942" s="272"/>
      <c r="K942" s="272"/>
      <c r="L942" s="272"/>
      <c r="M942" s="272"/>
      <c r="N942" s="272"/>
      <c r="O942" s="272"/>
      <c r="P942" s="272"/>
      <c r="Q942" s="272"/>
      <c r="R942" s="272"/>
      <c r="S942" s="272"/>
      <c r="T942" s="272"/>
      <c r="U942" s="272"/>
      <c r="V942" s="272"/>
      <c r="W942" s="272"/>
      <c r="X942" s="272"/>
      <c r="Y942" s="272"/>
      <c r="Z942" s="272"/>
    </row>
    <row r="943" spans="1:26" ht="15.75" customHeight="1" x14ac:dyDescent="0.2">
      <c r="A943" s="272"/>
      <c r="B943" s="272"/>
      <c r="C943" s="272"/>
      <c r="D943" s="272"/>
      <c r="E943" s="272"/>
      <c r="F943" s="272"/>
      <c r="G943" s="272"/>
      <c r="H943" s="272"/>
      <c r="I943" s="272"/>
      <c r="J943" s="272"/>
      <c r="K943" s="272"/>
      <c r="L943" s="272"/>
      <c r="M943" s="272"/>
      <c r="N943" s="272"/>
      <c r="O943" s="272"/>
      <c r="P943" s="272"/>
      <c r="Q943" s="272"/>
      <c r="R943" s="272"/>
      <c r="S943" s="272"/>
      <c r="T943" s="272"/>
      <c r="U943" s="272"/>
      <c r="V943" s="272"/>
      <c r="W943" s="272"/>
      <c r="X943" s="272"/>
      <c r="Y943" s="272"/>
      <c r="Z943" s="272"/>
    </row>
    <row r="944" spans="1:26" ht="15.75" customHeight="1" x14ac:dyDescent="0.2">
      <c r="A944" s="272"/>
      <c r="B944" s="272"/>
      <c r="C944" s="272"/>
      <c r="D944" s="272"/>
      <c r="E944" s="272"/>
      <c r="F944" s="272"/>
      <c r="G944" s="272"/>
      <c r="H944" s="272"/>
      <c r="I944" s="272"/>
      <c r="J944" s="272"/>
      <c r="K944" s="272"/>
      <c r="L944" s="272"/>
      <c r="M944" s="272"/>
      <c r="N944" s="272"/>
      <c r="O944" s="272"/>
      <c r="P944" s="272"/>
      <c r="Q944" s="272"/>
      <c r="R944" s="272"/>
      <c r="S944" s="272"/>
      <c r="T944" s="272"/>
      <c r="U944" s="272"/>
      <c r="V944" s="272"/>
      <c r="W944" s="272"/>
      <c r="X944" s="272"/>
      <c r="Y944" s="272"/>
      <c r="Z944" s="272"/>
    </row>
    <row r="945" spans="1:26" ht="15.75" customHeight="1" x14ac:dyDescent="0.2">
      <c r="A945" s="272"/>
      <c r="B945" s="272"/>
      <c r="C945" s="272"/>
      <c r="D945" s="272"/>
      <c r="E945" s="272"/>
      <c r="F945" s="272"/>
      <c r="G945" s="272"/>
      <c r="H945" s="272"/>
      <c r="I945" s="272"/>
      <c r="J945" s="272"/>
      <c r="K945" s="272"/>
      <c r="L945" s="272"/>
      <c r="M945" s="272"/>
      <c r="N945" s="272"/>
      <c r="O945" s="272"/>
      <c r="P945" s="272"/>
      <c r="Q945" s="272"/>
      <c r="R945" s="272"/>
      <c r="S945" s="272"/>
      <c r="T945" s="272"/>
      <c r="U945" s="272"/>
      <c r="V945" s="272"/>
      <c r="W945" s="272"/>
      <c r="X945" s="272"/>
      <c r="Y945" s="272"/>
      <c r="Z945" s="272"/>
    </row>
    <row r="946" spans="1:26" ht="15.75" customHeight="1" x14ac:dyDescent="0.2">
      <c r="A946" s="272"/>
      <c r="B946" s="272"/>
      <c r="C946" s="272"/>
      <c r="D946" s="272"/>
      <c r="E946" s="272"/>
      <c r="F946" s="272"/>
      <c r="G946" s="272"/>
      <c r="H946" s="272"/>
      <c r="I946" s="272"/>
      <c r="J946" s="272"/>
      <c r="K946" s="272"/>
      <c r="L946" s="272"/>
      <c r="M946" s="272"/>
      <c r="N946" s="272"/>
      <c r="O946" s="272"/>
      <c r="P946" s="272"/>
      <c r="Q946" s="272"/>
      <c r="R946" s="272"/>
      <c r="S946" s="272"/>
      <c r="T946" s="272"/>
      <c r="U946" s="272"/>
      <c r="V946" s="272"/>
      <c r="W946" s="272"/>
      <c r="X946" s="272"/>
      <c r="Y946" s="272"/>
      <c r="Z946" s="272"/>
    </row>
    <row r="947" spans="1:26" ht="15.75" customHeight="1" x14ac:dyDescent="0.2">
      <c r="A947" s="272"/>
      <c r="B947" s="272"/>
      <c r="C947" s="272"/>
      <c r="D947" s="272"/>
      <c r="E947" s="272"/>
      <c r="F947" s="272"/>
      <c r="G947" s="272"/>
      <c r="H947" s="272"/>
      <c r="I947" s="272"/>
      <c r="J947" s="272"/>
      <c r="K947" s="272"/>
      <c r="L947" s="272"/>
      <c r="M947" s="272"/>
      <c r="N947" s="272"/>
      <c r="O947" s="272"/>
      <c r="P947" s="272"/>
      <c r="Q947" s="272"/>
      <c r="R947" s="272"/>
      <c r="S947" s="272"/>
      <c r="T947" s="272"/>
      <c r="U947" s="272"/>
      <c r="V947" s="272"/>
      <c r="W947" s="272"/>
      <c r="X947" s="272"/>
      <c r="Y947" s="272"/>
      <c r="Z947" s="272"/>
    </row>
    <row r="948" spans="1:26" ht="15.75" customHeight="1" x14ac:dyDescent="0.2">
      <c r="A948" s="272"/>
      <c r="B948" s="272"/>
      <c r="C948" s="272"/>
      <c r="D948" s="272"/>
      <c r="E948" s="272"/>
      <c r="F948" s="272"/>
      <c r="G948" s="272"/>
      <c r="H948" s="272"/>
      <c r="I948" s="272"/>
      <c r="J948" s="272"/>
      <c r="K948" s="272"/>
      <c r="L948" s="272"/>
      <c r="M948" s="272"/>
      <c r="N948" s="272"/>
      <c r="O948" s="272"/>
      <c r="P948" s="272"/>
      <c r="Q948" s="272"/>
      <c r="R948" s="272"/>
      <c r="S948" s="272"/>
      <c r="T948" s="272"/>
      <c r="U948" s="272"/>
      <c r="V948" s="272"/>
      <c r="W948" s="272"/>
      <c r="X948" s="272"/>
      <c r="Y948" s="272"/>
      <c r="Z948" s="272"/>
    </row>
    <row r="949" spans="1:26" ht="15.75" customHeight="1" x14ac:dyDescent="0.2">
      <c r="A949" s="272"/>
      <c r="B949" s="272"/>
      <c r="C949" s="272"/>
      <c r="D949" s="272"/>
      <c r="E949" s="272"/>
      <c r="F949" s="272"/>
      <c r="G949" s="272"/>
      <c r="H949" s="272"/>
      <c r="I949" s="272"/>
      <c r="J949" s="272"/>
      <c r="K949" s="272"/>
      <c r="L949" s="272"/>
      <c r="M949" s="272"/>
      <c r="N949" s="272"/>
      <c r="O949" s="272"/>
      <c r="P949" s="272"/>
      <c r="Q949" s="272"/>
      <c r="R949" s="272"/>
      <c r="S949" s="272"/>
      <c r="T949" s="272"/>
      <c r="U949" s="272"/>
      <c r="V949" s="272"/>
      <c r="W949" s="272"/>
      <c r="X949" s="272"/>
      <c r="Y949" s="272"/>
      <c r="Z949" s="272"/>
    </row>
    <row r="950" spans="1:26" ht="15.75" customHeight="1" x14ac:dyDescent="0.2">
      <c r="A950" s="272"/>
      <c r="B950" s="272"/>
      <c r="C950" s="272"/>
      <c r="D950" s="272"/>
      <c r="E950" s="272"/>
      <c r="F950" s="272"/>
      <c r="G950" s="272"/>
      <c r="H950" s="272"/>
      <c r="I950" s="272"/>
      <c r="J950" s="272"/>
      <c r="K950" s="272"/>
      <c r="L950" s="272"/>
      <c r="M950" s="272"/>
      <c r="N950" s="272"/>
      <c r="O950" s="272"/>
      <c r="P950" s="272"/>
      <c r="Q950" s="272"/>
      <c r="R950" s="272"/>
      <c r="S950" s="272"/>
      <c r="T950" s="272"/>
      <c r="U950" s="272"/>
      <c r="V950" s="272"/>
      <c r="W950" s="272"/>
      <c r="X950" s="272"/>
      <c r="Y950" s="272"/>
      <c r="Z950" s="272"/>
    </row>
    <row r="951" spans="1:26" ht="15.75" customHeight="1" x14ac:dyDescent="0.2">
      <c r="A951" s="272"/>
      <c r="B951" s="272"/>
      <c r="C951" s="272"/>
      <c r="D951" s="272"/>
      <c r="E951" s="272"/>
      <c r="F951" s="272"/>
      <c r="G951" s="272"/>
      <c r="H951" s="272"/>
      <c r="I951" s="272"/>
      <c r="J951" s="272"/>
      <c r="K951" s="272"/>
      <c r="L951" s="272"/>
      <c r="M951" s="272"/>
      <c r="N951" s="272"/>
      <c r="O951" s="272"/>
      <c r="P951" s="272"/>
      <c r="Q951" s="272"/>
      <c r="R951" s="272"/>
      <c r="S951" s="272"/>
      <c r="T951" s="272"/>
      <c r="U951" s="272"/>
      <c r="V951" s="272"/>
      <c r="W951" s="272"/>
      <c r="X951" s="272"/>
      <c r="Y951" s="272"/>
      <c r="Z951" s="272"/>
    </row>
    <row r="952" spans="1:26" ht="15.75" customHeight="1" x14ac:dyDescent="0.2">
      <c r="A952" s="272"/>
      <c r="B952" s="272"/>
      <c r="C952" s="272"/>
      <c r="D952" s="272"/>
      <c r="E952" s="272"/>
      <c r="F952" s="272"/>
      <c r="G952" s="272"/>
      <c r="H952" s="272"/>
      <c r="I952" s="272"/>
      <c r="J952" s="272"/>
      <c r="K952" s="272"/>
      <c r="L952" s="272"/>
      <c r="M952" s="272"/>
      <c r="N952" s="272"/>
      <c r="O952" s="272"/>
      <c r="P952" s="272"/>
      <c r="Q952" s="272"/>
      <c r="R952" s="272"/>
      <c r="S952" s="272"/>
      <c r="T952" s="272"/>
      <c r="U952" s="272"/>
      <c r="V952" s="272"/>
      <c r="W952" s="272"/>
      <c r="X952" s="272"/>
      <c r="Y952" s="272"/>
      <c r="Z952" s="272"/>
    </row>
    <row r="953" spans="1:26" ht="15.75" customHeight="1" x14ac:dyDescent="0.2">
      <c r="A953" s="272"/>
      <c r="B953" s="272"/>
      <c r="C953" s="272"/>
      <c r="D953" s="272"/>
      <c r="E953" s="272"/>
      <c r="F953" s="272"/>
      <c r="G953" s="272"/>
      <c r="H953" s="272"/>
      <c r="I953" s="272"/>
      <c r="J953" s="272"/>
      <c r="K953" s="272"/>
      <c r="L953" s="272"/>
      <c r="M953" s="272"/>
      <c r="N953" s="272"/>
      <c r="O953" s="272"/>
      <c r="P953" s="272"/>
      <c r="Q953" s="272"/>
      <c r="R953" s="272"/>
      <c r="S953" s="272"/>
      <c r="T953" s="272"/>
      <c r="U953" s="272"/>
      <c r="V953" s="272"/>
      <c r="W953" s="272"/>
      <c r="X953" s="272"/>
      <c r="Y953" s="272"/>
      <c r="Z953" s="272"/>
    </row>
    <row r="954" spans="1:26" ht="15.75" customHeight="1" x14ac:dyDescent="0.2">
      <c r="A954" s="272"/>
      <c r="B954" s="272"/>
      <c r="C954" s="272"/>
      <c r="D954" s="272"/>
      <c r="E954" s="272"/>
      <c r="F954" s="272"/>
      <c r="G954" s="272"/>
      <c r="H954" s="272"/>
      <c r="I954" s="272"/>
      <c r="J954" s="272"/>
      <c r="K954" s="272"/>
      <c r="L954" s="272"/>
      <c r="M954" s="272"/>
      <c r="N954" s="272"/>
      <c r="O954" s="272"/>
      <c r="P954" s="272"/>
      <c r="Q954" s="272"/>
      <c r="R954" s="272"/>
      <c r="S954" s="272"/>
      <c r="T954" s="272"/>
      <c r="U954" s="272"/>
      <c r="V954" s="272"/>
      <c r="W954" s="272"/>
      <c r="X954" s="272"/>
      <c r="Y954" s="272"/>
      <c r="Z954" s="272"/>
    </row>
    <row r="955" spans="1:26" ht="15.75" customHeight="1" x14ac:dyDescent="0.2">
      <c r="A955" s="272"/>
      <c r="B955" s="272"/>
      <c r="C955" s="272"/>
      <c r="D955" s="272"/>
      <c r="E955" s="272"/>
      <c r="F955" s="272"/>
      <c r="G955" s="272"/>
      <c r="H955" s="272"/>
      <c r="I955" s="272"/>
      <c r="J955" s="272"/>
      <c r="K955" s="272"/>
      <c r="L955" s="272"/>
      <c r="M955" s="272"/>
      <c r="N955" s="272"/>
      <c r="O955" s="272"/>
      <c r="P955" s="272"/>
      <c r="Q955" s="272"/>
      <c r="R955" s="272"/>
      <c r="S955" s="272"/>
      <c r="T955" s="272"/>
      <c r="U955" s="272"/>
      <c r="V955" s="272"/>
      <c r="W955" s="272"/>
      <c r="X955" s="272"/>
      <c r="Y955" s="272"/>
      <c r="Z955" s="272"/>
    </row>
    <row r="956" spans="1:26" ht="15.75" customHeight="1" x14ac:dyDescent="0.2">
      <c r="A956" s="272"/>
      <c r="B956" s="272"/>
      <c r="C956" s="272"/>
      <c r="D956" s="272"/>
      <c r="E956" s="272"/>
      <c r="F956" s="272"/>
      <c r="G956" s="272"/>
      <c r="H956" s="272"/>
      <c r="I956" s="272"/>
      <c r="J956" s="272"/>
      <c r="K956" s="272"/>
      <c r="L956" s="272"/>
      <c r="M956" s="272"/>
      <c r="N956" s="272"/>
      <c r="O956" s="272"/>
      <c r="P956" s="272"/>
      <c r="Q956" s="272"/>
      <c r="R956" s="272"/>
      <c r="S956" s="272"/>
      <c r="T956" s="272"/>
      <c r="U956" s="272"/>
      <c r="V956" s="272"/>
      <c r="W956" s="272"/>
      <c r="X956" s="272"/>
      <c r="Y956" s="272"/>
      <c r="Z956" s="272"/>
    </row>
    <row r="957" spans="1:26" ht="15.75" customHeight="1" x14ac:dyDescent="0.2">
      <c r="A957" s="272"/>
      <c r="B957" s="272"/>
      <c r="C957" s="272"/>
      <c r="D957" s="272"/>
      <c r="E957" s="272"/>
      <c r="F957" s="272"/>
      <c r="G957" s="272"/>
      <c r="H957" s="272"/>
      <c r="I957" s="272"/>
      <c r="J957" s="272"/>
      <c r="K957" s="272"/>
      <c r="L957" s="272"/>
      <c r="M957" s="272"/>
      <c r="N957" s="272"/>
      <c r="O957" s="272"/>
      <c r="P957" s="272"/>
      <c r="Q957" s="272"/>
      <c r="R957" s="272"/>
      <c r="S957" s="272"/>
      <c r="T957" s="272"/>
      <c r="U957" s="272"/>
      <c r="V957" s="272"/>
      <c r="W957" s="272"/>
      <c r="X957" s="272"/>
      <c r="Y957" s="272"/>
      <c r="Z957" s="272"/>
    </row>
    <row r="958" spans="1:26" ht="15.75" customHeight="1" x14ac:dyDescent="0.2">
      <c r="A958" s="272"/>
      <c r="B958" s="272"/>
      <c r="C958" s="272"/>
      <c r="D958" s="272"/>
      <c r="E958" s="272"/>
      <c r="F958" s="272"/>
      <c r="G958" s="272"/>
      <c r="H958" s="272"/>
      <c r="I958" s="272"/>
      <c r="J958" s="272"/>
      <c r="K958" s="272"/>
      <c r="L958" s="272"/>
      <c r="M958" s="272"/>
      <c r="N958" s="272"/>
      <c r="O958" s="272"/>
      <c r="P958" s="272"/>
      <c r="Q958" s="272"/>
      <c r="R958" s="272"/>
      <c r="S958" s="272"/>
      <c r="T958" s="272"/>
      <c r="U958" s="272"/>
      <c r="V958" s="272"/>
      <c r="W958" s="272"/>
      <c r="X958" s="272"/>
      <c r="Y958" s="272"/>
      <c r="Z958" s="272"/>
    </row>
    <row r="959" spans="1:26" ht="15.75" customHeight="1" x14ac:dyDescent="0.2">
      <c r="A959" s="272"/>
      <c r="B959" s="272"/>
      <c r="C959" s="272"/>
      <c r="D959" s="272"/>
      <c r="E959" s="272"/>
      <c r="F959" s="272"/>
      <c r="G959" s="272"/>
      <c r="H959" s="272"/>
      <c r="I959" s="272"/>
      <c r="J959" s="272"/>
      <c r="K959" s="272"/>
      <c r="L959" s="272"/>
      <c r="M959" s="272"/>
      <c r="N959" s="272"/>
      <c r="O959" s="272"/>
      <c r="P959" s="272"/>
      <c r="Q959" s="272"/>
      <c r="R959" s="272"/>
      <c r="S959" s="272"/>
      <c r="T959" s="272"/>
      <c r="U959" s="272"/>
      <c r="V959" s="272"/>
      <c r="W959" s="272"/>
      <c r="X959" s="272"/>
      <c r="Y959" s="272"/>
      <c r="Z959" s="272"/>
    </row>
    <row r="960" spans="1:26" ht="15.75" customHeight="1" x14ac:dyDescent="0.2">
      <c r="A960" s="272"/>
      <c r="B960" s="272"/>
      <c r="C960" s="272"/>
      <c r="D960" s="272"/>
      <c r="E960" s="272"/>
      <c r="F960" s="272"/>
      <c r="G960" s="272"/>
      <c r="H960" s="272"/>
      <c r="I960" s="272"/>
      <c r="J960" s="272"/>
      <c r="K960" s="272"/>
      <c r="L960" s="272"/>
      <c r="M960" s="272"/>
      <c r="N960" s="272"/>
      <c r="O960" s="272"/>
      <c r="P960" s="272"/>
      <c r="Q960" s="272"/>
      <c r="R960" s="272"/>
      <c r="S960" s="272"/>
      <c r="T960" s="272"/>
      <c r="U960" s="272"/>
      <c r="V960" s="272"/>
      <c r="W960" s="272"/>
      <c r="X960" s="272"/>
      <c r="Y960" s="272"/>
      <c r="Z960" s="272"/>
    </row>
    <row r="961" spans="1:26" ht="15.75" customHeight="1" x14ac:dyDescent="0.2">
      <c r="A961" s="272"/>
      <c r="B961" s="272"/>
      <c r="C961" s="272"/>
      <c r="D961" s="272"/>
      <c r="E961" s="272"/>
      <c r="F961" s="272"/>
      <c r="G961" s="272"/>
      <c r="H961" s="272"/>
      <c r="I961" s="272"/>
      <c r="J961" s="272"/>
      <c r="K961" s="272"/>
      <c r="L961" s="272"/>
      <c r="M961" s="272"/>
      <c r="N961" s="272"/>
      <c r="O961" s="272"/>
      <c r="P961" s="272"/>
      <c r="Q961" s="272"/>
      <c r="R961" s="272"/>
      <c r="S961" s="272"/>
      <c r="T961" s="272"/>
      <c r="U961" s="272"/>
      <c r="V961" s="272"/>
      <c r="W961" s="272"/>
      <c r="X961" s="272"/>
      <c r="Y961" s="272"/>
      <c r="Z961" s="272"/>
    </row>
    <row r="962" spans="1:26" ht="15.75" customHeight="1" x14ac:dyDescent="0.2">
      <c r="A962" s="272"/>
      <c r="B962" s="272"/>
      <c r="C962" s="272"/>
      <c r="D962" s="272"/>
      <c r="E962" s="272"/>
      <c r="F962" s="272"/>
      <c r="G962" s="272"/>
      <c r="H962" s="272"/>
      <c r="I962" s="272"/>
      <c r="J962" s="272"/>
      <c r="K962" s="272"/>
      <c r="L962" s="272"/>
      <c r="M962" s="272"/>
      <c r="N962" s="272"/>
      <c r="O962" s="272"/>
      <c r="P962" s="272"/>
      <c r="Q962" s="272"/>
      <c r="R962" s="272"/>
      <c r="S962" s="272"/>
      <c r="T962" s="272"/>
      <c r="U962" s="272"/>
      <c r="V962" s="272"/>
      <c r="W962" s="272"/>
      <c r="X962" s="272"/>
      <c r="Y962" s="272"/>
      <c r="Z962" s="272"/>
    </row>
    <row r="963" spans="1:26" ht="15.75" customHeight="1" x14ac:dyDescent="0.2">
      <c r="A963" s="272"/>
      <c r="B963" s="272"/>
      <c r="C963" s="272"/>
      <c r="D963" s="272"/>
      <c r="E963" s="272"/>
      <c r="F963" s="272"/>
      <c r="G963" s="272"/>
      <c r="H963" s="272"/>
      <c r="I963" s="272"/>
      <c r="J963" s="272"/>
      <c r="K963" s="272"/>
      <c r="L963" s="272"/>
      <c r="M963" s="272"/>
      <c r="N963" s="272"/>
      <c r="O963" s="272"/>
      <c r="P963" s="272"/>
      <c r="Q963" s="272"/>
      <c r="R963" s="272"/>
      <c r="S963" s="272"/>
      <c r="T963" s="272"/>
      <c r="U963" s="272"/>
      <c r="V963" s="272"/>
      <c r="W963" s="272"/>
      <c r="X963" s="272"/>
      <c r="Y963" s="272"/>
      <c r="Z963" s="272"/>
    </row>
    <row r="964" spans="1:26" ht="15.75" customHeight="1" x14ac:dyDescent="0.2">
      <c r="A964" s="272"/>
      <c r="B964" s="272"/>
      <c r="C964" s="272"/>
      <c r="D964" s="272"/>
      <c r="E964" s="272"/>
      <c r="F964" s="272"/>
      <c r="G964" s="272"/>
      <c r="H964" s="272"/>
      <c r="I964" s="272"/>
      <c r="J964" s="272"/>
      <c r="K964" s="272"/>
      <c r="L964" s="272"/>
      <c r="M964" s="272"/>
      <c r="N964" s="272"/>
      <c r="O964" s="272"/>
      <c r="P964" s="272"/>
      <c r="Q964" s="272"/>
      <c r="R964" s="272"/>
      <c r="S964" s="272"/>
      <c r="T964" s="272"/>
      <c r="U964" s="272"/>
      <c r="V964" s="272"/>
      <c r="W964" s="272"/>
      <c r="X964" s="272"/>
      <c r="Y964" s="272"/>
      <c r="Z964" s="272"/>
    </row>
    <row r="965" spans="1:26" ht="15.75" customHeight="1" x14ac:dyDescent="0.2">
      <c r="A965" s="272"/>
      <c r="B965" s="272"/>
      <c r="C965" s="272"/>
      <c r="D965" s="272"/>
      <c r="E965" s="272"/>
      <c r="F965" s="272"/>
      <c r="G965" s="272"/>
      <c r="H965" s="272"/>
      <c r="I965" s="272"/>
      <c r="J965" s="272"/>
      <c r="K965" s="272"/>
      <c r="L965" s="272"/>
      <c r="M965" s="272"/>
      <c r="N965" s="272"/>
      <c r="O965" s="272"/>
      <c r="P965" s="272"/>
      <c r="Q965" s="272"/>
      <c r="R965" s="272"/>
      <c r="S965" s="272"/>
      <c r="T965" s="272"/>
      <c r="U965" s="272"/>
      <c r="V965" s="272"/>
      <c r="W965" s="272"/>
      <c r="X965" s="272"/>
      <c r="Y965" s="272"/>
      <c r="Z965" s="272"/>
    </row>
    <row r="966" spans="1:26" ht="15.75" customHeight="1" x14ac:dyDescent="0.2">
      <c r="A966" s="272"/>
      <c r="B966" s="272"/>
      <c r="C966" s="272"/>
      <c r="D966" s="272"/>
      <c r="E966" s="272"/>
      <c r="F966" s="272"/>
      <c r="G966" s="272"/>
      <c r="H966" s="272"/>
      <c r="I966" s="272"/>
      <c r="J966" s="272"/>
      <c r="K966" s="272"/>
      <c r="L966" s="272"/>
      <c r="M966" s="272"/>
      <c r="N966" s="272"/>
      <c r="O966" s="272"/>
      <c r="P966" s="272"/>
      <c r="Q966" s="272"/>
      <c r="R966" s="272"/>
      <c r="S966" s="272"/>
      <c r="T966" s="272"/>
      <c r="U966" s="272"/>
      <c r="V966" s="272"/>
      <c r="W966" s="272"/>
      <c r="X966" s="272"/>
      <c r="Y966" s="272"/>
      <c r="Z966" s="272"/>
    </row>
    <row r="967" spans="1:26" ht="15.75" customHeight="1" x14ac:dyDescent="0.2">
      <c r="A967" s="272"/>
      <c r="B967" s="272"/>
      <c r="C967" s="272"/>
      <c r="D967" s="272"/>
      <c r="E967" s="272"/>
      <c r="F967" s="272"/>
      <c r="G967" s="272"/>
      <c r="H967" s="272"/>
      <c r="I967" s="272"/>
      <c r="J967" s="272"/>
      <c r="K967" s="272"/>
      <c r="L967" s="272"/>
      <c r="M967" s="272"/>
      <c r="N967" s="272"/>
      <c r="O967" s="272"/>
      <c r="P967" s="272"/>
      <c r="Q967" s="272"/>
      <c r="R967" s="272"/>
      <c r="S967" s="272"/>
      <c r="T967" s="272"/>
      <c r="U967" s="272"/>
      <c r="V967" s="272"/>
      <c r="W967" s="272"/>
      <c r="X967" s="272"/>
      <c r="Y967" s="272"/>
      <c r="Z967" s="272"/>
    </row>
    <row r="968" spans="1:26" ht="15.75" customHeight="1" x14ac:dyDescent="0.2">
      <c r="A968" s="272"/>
      <c r="B968" s="272"/>
      <c r="C968" s="272"/>
      <c r="D968" s="272"/>
      <c r="E968" s="272"/>
      <c r="F968" s="272"/>
      <c r="G968" s="272"/>
      <c r="H968" s="272"/>
      <c r="I968" s="272"/>
      <c r="J968" s="272"/>
      <c r="K968" s="272"/>
      <c r="L968" s="272"/>
      <c r="M968" s="272"/>
      <c r="N968" s="272"/>
      <c r="O968" s="272"/>
      <c r="P968" s="272"/>
      <c r="Q968" s="272"/>
      <c r="R968" s="272"/>
      <c r="S968" s="272"/>
      <c r="T968" s="272"/>
      <c r="U968" s="272"/>
      <c r="V968" s="272"/>
      <c r="W968" s="272"/>
      <c r="X968" s="272"/>
      <c r="Y968" s="272"/>
      <c r="Z968" s="272"/>
    </row>
    <row r="969" spans="1:26" ht="15.75" customHeight="1" x14ac:dyDescent="0.2">
      <c r="A969" s="272"/>
      <c r="B969" s="272"/>
      <c r="C969" s="272"/>
      <c r="D969" s="272"/>
      <c r="E969" s="272"/>
      <c r="F969" s="272"/>
      <c r="G969" s="272"/>
      <c r="H969" s="272"/>
      <c r="I969" s="272"/>
      <c r="J969" s="272"/>
      <c r="K969" s="272"/>
      <c r="L969" s="272"/>
      <c r="M969" s="272"/>
      <c r="N969" s="272"/>
      <c r="O969" s="272"/>
      <c r="P969" s="272"/>
      <c r="Q969" s="272"/>
      <c r="R969" s="272"/>
      <c r="S969" s="272"/>
      <c r="T969" s="272"/>
      <c r="U969" s="272"/>
      <c r="V969" s="272"/>
      <c r="W969" s="272"/>
      <c r="X969" s="272"/>
      <c r="Y969" s="272"/>
      <c r="Z969" s="272"/>
    </row>
    <row r="970" spans="1:26" ht="15.75" customHeight="1" x14ac:dyDescent="0.2">
      <c r="A970" s="272"/>
      <c r="B970" s="272"/>
      <c r="C970" s="272"/>
      <c r="D970" s="272"/>
      <c r="E970" s="272"/>
      <c r="F970" s="272"/>
      <c r="G970" s="272"/>
      <c r="H970" s="272"/>
      <c r="I970" s="272"/>
      <c r="J970" s="272"/>
      <c r="K970" s="272"/>
      <c r="L970" s="272"/>
      <c r="M970" s="272"/>
      <c r="N970" s="272"/>
      <c r="O970" s="272"/>
      <c r="P970" s="272"/>
      <c r="Q970" s="272"/>
      <c r="R970" s="272"/>
      <c r="S970" s="272"/>
      <c r="T970" s="272"/>
      <c r="U970" s="272"/>
      <c r="V970" s="272"/>
      <c r="W970" s="272"/>
      <c r="X970" s="272"/>
      <c r="Y970" s="272"/>
      <c r="Z970" s="272"/>
    </row>
    <row r="971" spans="1:26" ht="15.75" customHeight="1" x14ac:dyDescent="0.2">
      <c r="A971" s="272"/>
      <c r="B971" s="272"/>
      <c r="C971" s="272"/>
      <c r="D971" s="272"/>
      <c r="E971" s="272"/>
      <c r="F971" s="272"/>
      <c r="G971" s="272"/>
      <c r="H971" s="272"/>
      <c r="I971" s="272"/>
      <c r="J971" s="272"/>
      <c r="K971" s="272"/>
      <c r="L971" s="272"/>
      <c r="M971" s="272"/>
      <c r="N971" s="272"/>
      <c r="O971" s="272"/>
      <c r="P971" s="272"/>
      <c r="Q971" s="272"/>
      <c r="R971" s="272"/>
      <c r="S971" s="272"/>
      <c r="T971" s="272"/>
      <c r="U971" s="272"/>
      <c r="V971" s="272"/>
      <c r="W971" s="272"/>
      <c r="X971" s="272"/>
      <c r="Y971" s="272"/>
      <c r="Z971" s="272"/>
    </row>
    <row r="972" spans="1:26" ht="15.75" customHeight="1" x14ac:dyDescent="0.2">
      <c r="A972" s="272"/>
      <c r="B972" s="272"/>
      <c r="C972" s="272"/>
      <c r="D972" s="272"/>
      <c r="E972" s="272"/>
      <c r="F972" s="272"/>
      <c r="G972" s="272"/>
      <c r="H972" s="272"/>
      <c r="I972" s="272"/>
      <c r="J972" s="272"/>
      <c r="K972" s="272"/>
      <c r="L972" s="272"/>
      <c r="M972" s="272"/>
      <c r="N972" s="272"/>
      <c r="O972" s="272"/>
      <c r="P972" s="272"/>
      <c r="Q972" s="272"/>
      <c r="R972" s="272"/>
      <c r="S972" s="272"/>
      <c r="T972" s="272"/>
      <c r="U972" s="272"/>
      <c r="V972" s="272"/>
      <c r="W972" s="272"/>
      <c r="X972" s="272"/>
      <c r="Y972" s="272"/>
      <c r="Z972" s="272"/>
    </row>
    <row r="973" spans="1:26" ht="15.75" customHeight="1" x14ac:dyDescent="0.2">
      <c r="A973" s="272"/>
      <c r="B973" s="272"/>
      <c r="C973" s="272"/>
      <c r="D973" s="272"/>
      <c r="E973" s="272"/>
      <c r="F973" s="272"/>
      <c r="G973" s="272"/>
      <c r="H973" s="272"/>
      <c r="I973" s="272"/>
      <c r="J973" s="272"/>
      <c r="K973" s="272"/>
      <c r="L973" s="272"/>
      <c r="M973" s="272"/>
      <c r="N973" s="272"/>
      <c r="O973" s="272"/>
      <c r="P973" s="272"/>
      <c r="Q973" s="272"/>
      <c r="R973" s="272"/>
      <c r="S973" s="272"/>
      <c r="T973" s="272"/>
      <c r="U973" s="272"/>
      <c r="V973" s="272"/>
      <c r="W973" s="272"/>
      <c r="X973" s="272"/>
      <c r="Y973" s="272"/>
      <c r="Z973" s="272"/>
    </row>
    <row r="974" spans="1:26" ht="15.75" customHeight="1" x14ac:dyDescent="0.2">
      <c r="A974" s="272"/>
      <c r="B974" s="272"/>
      <c r="C974" s="272"/>
      <c r="D974" s="272"/>
      <c r="E974" s="272"/>
      <c r="F974" s="272"/>
      <c r="G974" s="272"/>
      <c r="H974" s="272"/>
      <c r="I974" s="272"/>
      <c r="J974" s="272"/>
      <c r="K974" s="272"/>
      <c r="L974" s="272"/>
      <c r="M974" s="272"/>
      <c r="N974" s="272"/>
      <c r="O974" s="272"/>
      <c r="P974" s="272"/>
      <c r="Q974" s="272"/>
      <c r="R974" s="272"/>
      <c r="S974" s="272"/>
      <c r="T974" s="272"/>
      <c r="U974" s="272"/>
      <c r="V974" s="272"/>
      <c r="W974" s="272"/>
      <c r="X974" s="272"/>
      <c r="Y974" s="272"/>
      <c r="Z974" s="272"/>
    </row>
    <row r="975" spans="1:26" ht="15.75" customHeight="1" x14ac:dyDescent="0.2">
      <c r="A975" s="272"/>
      <c r="B975" s="272"/>
      <c r="C975" s="272"/>
      <c r="D975" s="272"/>
      <c r="E975" s="272"/>
      <c r="F975" s="272"/>
      <c r="G975" s="272"/>
      <c r="H975" s="272"/>
      <c r="I975" s="272"/>
      <c r="J975" s="272"/>
      <c r="K975" s="272"/>
      <c r="L975" s="272"/>
      <c r="M975" s="272"/>
      <c r="N975" s="272"/>
      <c r="O975" s="272"/>
      <c r="P975" s="272"/>
      <c r="Q975" s="272"/>
      <c r="R975" s="272"/>
      <c r="S975" s="272"/>
      <c r="T975" s="272"/>
      <c r="U975" s="272"/>
      <c r="V975" s="272"/>
      <c r="W975" s="272"/>
      <c r="X975" s="272"/>
      <c r="Y975" s="272"/>
      <c r="Z975" s="272"/>
    </row>
    <row r="976" spans="1:26" ht="15.75" customHeight="1" x14ac:dyDescent="0.2">
      <c r="A976" s="272"/>
      <c r="B976" s="272"/>
      <c r="C976" s="272"/>
      <c r="D976" s="272"/>
      <c r="E976" s="272"/>
      <c r="F976" s="272"/>
      <c r="G976" s="272"/>
      <c r="H976" s="272"/>
      <c r="I976" s="272"/>
      <c r="J976" s="272"/>
      <c r="K976" s="272"/>
      <c r="L976" s="272"/>
      <c r="M976" s="272"/>
      <c r="N976" s="272"/>
      <c r="O976" s="272"/>
      <c r="P976" s="272"/>
      <c r="Q976" s="272"/>
      <c r="R976" s="272"/>
      <c r="S976" s="272"/>
      <c r="T976" s="272"/>
      <c r="U976" s="272"/>
      <c r="V976" s="272"/>
      <c r="W976" s="272"/>
      <c r="X976" s="272"/>
      <c r="Y976" s="272"/>
      <c r="Z976" s="272"/>
    </row>
    <row r="977" spans="1:26" ht="15.75" customHeight="1" x14ac:dyDescent="0.2">
      <c r="A977" s="272"/>
      <c r="B977" s="272"/>
      <c r="C977" s="272"/>
      <c r="D977" s="272"/>
      <c r="E977" s="272"/>
      <c r="F977" s="272"/>
      <c r="G977" s="272"/>
      <c r="H977" s="272"/>
      <c r="I977" s="272"/>
      <c r="J977" s="272"/>
      <c r="K977" s="272"/>
      <c r="L977" s="272"/>
      <c r="M977" s="272"/>
      <c r="N977" s="272"/>
      <c r="O977" s="272"/>
      <c r="P977" s="272"/>
      <c r="Q977" s="272"/>
      <c r="R977" s="272"/>
      <c r="S977" s="272"/>
      <c r="T977" s="272"/>
      <c r="U977" s="272"/>
      <c r="V977" s="272"/>
      <c r="W977" s="272"/>
      <c r="X977" s="272"/>
      <c r="Y977" s="272"/>
      <c r="Z977" s="272"/>
    </row>
    <row r="978" spans="1:26" ht="15.75" customHeight="1" x14ac:dyDescent="0.2">
      <c r="A978" s="272"/>
      <c r="B978" s="272"/>
      <c r="C978" s="272"/>
      <c r="D978" s="272"/>
      <c r="E978" s="272"/>
      <c r="F978" s="272"/>
      <c r="G978" s="272"/>
      <c r="H978" s="272"/>
      <c r="I978" s="272"/>
      <c r="J978" s="272"/>
      <c r="K978" s="272"/>
      <c r="L978" s="272"/>
      <c r="M978" s="272"/>
      <c r="N978" s="272"/>
      <c r="O978" s="272"/>
      <c r="P978" s="272"/>
      <c r="Q978" s="272"/>
      <c r="R978" s="272"/>
      <c r="S978" s="272"/>
      <c r="T978" s="272"/>
      <c r="U978" s="272"/>
      <c r="V978" s="272"/>
      <c r="W978" s="272"/>
      <c r="X978" s="272"/>
      <c r="Y978" s="272"/>
      <c r="Z978" s="272"/>
    </row>
    <row r="979" spans="1:26" ht="15.75" customHeight="1" x14ac:dyDescent="0.2">
      <c r="A979" s="272"/>
      <c r="B979" s="272"/>
      <c r="C979" s="272"/>
      <c r="D979" s="272"/>
      <c r="E979" s="272"/>
      <c r="F979" s="272"/>
      <c r="G979" s="272"/>
      <c r="H979" s="272"/>
      <c r="I979" s="272"/>
      <c r="J979" s="272"/>
      <c r="K979" s="272"/>
      <c r="L979" s="272"/>
      <c r="M979" s="272"/>
      <c r="N979" s="272"/>
      <c r="O979" s="272"/>
      <c r="P979" s="272"/>
      <c r="Q979" s="272"/>
      <c r="R979" s="272"/>
      <c r="S979" s="272"/>
      <c r="T979" s="272"/>
      <c r="U979" s="272"/>
      <c r="V979" s="272"/>
      <c r="W979" s="272"/>
      <c r="X979" s="272"/>
      <c r="Y979" s="272"/>
      <c r="Z979" s="272"/>
    </row>
    <row r="980" spans="1:26" ht="15.75" customHeight="1" x14ac:dyDescent="0.2">
      <c r="A980" s="272"/>
      <c r="B980" s="272"/>
      <c r="C980" s="272"/>
      <c r="D980" s="272"/>
      <c r="E980" s="272"/>
      <c r="F980" s="272"/>
      <c r="G980" s="272"/>
      <c r="H980" s="272"/>
      <c r="I980" s="272"/>
      <c r="J980" s="272"/>
      <c r="K980" s="272"/>
      <c r="L980" s="272"/>
      <c r="M980" s="272"/>
      <c r="N980" s="272"/>
      <c r="O980" s="272"/>
      <c r="P980" s="272"/>
      <c r="Q980" s="272"/>
      <c r="R980" s="272"/>
      <c r="S980" s="272"/>
      <c r="T980" s="272"/>
      <c r="U980" s="272"/>
      <c r="V980" s="272"/>
      <c r="W980" s="272"/>
      <c r="X980" s="272"/>
      <c r="Y980" s="272"/>
      <c r="Z980" s="272"/>
    </row>
    <row r="981" spans="1:26" ht="15.75" customHeight="1" x14ac:dyDescent="0.2">
      <c r="A981" s="272"/>
      <c r="B981" s="272"/>
      <c r="C981" s="272"/>
      <c r="D981" s="272"/>
      <c r="E981" s="272"/>
      <c r="F981" s="272"/>
      <c r="G981" s="272"/>
      <c r="H981" s="272"/>
      <c r="I981" s="272"/>
      <c r="J981" s="272"/>
      <c r="K981" s="272"/>
      <c r="L981" s="272"/>
      <c r="M981" s="272"/>
      <c r="N981" s="272"/>
      <c r="O981" s="272"/>
      <c r="P981" s="272"/>
      <c r="Q981" s="272"/>
      <c r="R981" s="272"/>
      <c r="S981" s="272"/>
      <c r="T981" s="272"/>
      <c r="U981" s="272"/>
      <c r="V981" s="272"/>
      <c r="W981" s="272"/>
      <c r="X981" s="272"/>
      <c r="Y981" s="272"/>
      <c r="Z981" s="272"/>
    </row>
    <row r="982" spans="1:26" ht="15.75" customHeight="1" x14ac:dyDescent="0.2">
      <c r="A982" s="272"/>
      <c r="B982" s="272"/>
      <c r="C982" s="272"/>
      <c r="D982" s="272"/>
      <c r="E982" s="272"/>
      <c r="F982" s="272"/>
      <c r="G982" s="272"/>
      <c r="H982" s="272"/>
      <c r="I982" s="272"/>
      <c r="J982" s="272"/>
      <c r="K982" s="272"/>
      <c r="L982" s="272"/>
      <c r="M982" s="272"/>
      <c r="N982" s="272"/>
      <c r="O982" s="272"/>
      <c r="P982" s="272"/>
      <c r="Q982" s="272"/>
      <c r="R982" s="272"/>
      <c r="S982" s="272"/>
      <c r="T982" s="272"/>
      <c r="U982" s="272"/>
      <c r="V982" s="272"/>
      <c r="W982" s="272"/>
      <c r="X982" s="272"/>
      <c r="Y982" s="272"/>
      <c r="Z982" s="272"/>
    </row>
    <row r="983" spans="1:26" ht="15.75" customHeight="1" x14ac:dyDescent="0.2">
      <c r="A983" s="272"/>
      <c r="B983" s="272"/>
      <c r="C983" s="272"/>
      <c r="D983" s="272"/>
      <c r="E983" s="272"/>
      <c r="F983" s="272"/>
      <c r="G983" s="272"/>
      <c r="H983" s="272"/>
      <c r="I983" s="272"/>
      <c r="J983" s="272"/>
      <c r="K983" s="272"/>
      <c r="L983" s="272"/>
      <c r="M983" s="272"/>
      <c r="N983" s="272"/>
      <c r="O983" s="272"/>
      <c r="P983" s="272"/>
      <c r="Q983" s="272"/>
      <c r="R983" s="272"/>
      <c r="S983" s="272"/>
      <c r="T983" s="272"/>
      <c r="U983" s="272"/>
      <c r="V983" s="272"/>
      <c r="W983" s="272"/>
      <c r="X983" s="272"/>
      <c r="Y983" s="272"/>
      <c r="Z983" s="272"/>
    </row>
    <row r="984" spans="1:26" ht="15.75" customHeight="1" x14ac:dyDescent="0.2">
      <c r="A984" s="272"/>
      <c r="B984" s="272"/>
      <c r="C984" s="272"/>
      <c r="D984" s="272"/>
      <c r="E984" s="272"/>
      <c r="F984" s="272"/>
      <c r="G984" s="272"/>
      <c r="H984" s="272"/>
      <c r="I984" s="272"/>
      <c r="J984" s="272"/>
      <c r="K984" s="272"/>
      <c r="L984" s="272"/>
      <c r="M984" s="272"/>
      <c r="N984" s="272"/>
      <c r="O984" s="272"/>
      <c r="P984" s="272"/>
      <c r="Q984" s="272"/>
      <c r="R984" s="272"/>
      <c r="S984" s="272"/>
      <c r="T984" s="272"/>
      <c r="U984" s="272"/>
      <c r="V984" s="272"/>
      <c r="W984" s="272"/>
      <c r="X984" s="272"/>
      <c r="Y984" s="272"/>
      <c r="Z984" s="272"/>
    </row>
    <row r="985" spans="1:26" ht="15.75" customHeight="1" x14ac:dyDescent="0.2">
      <c r="A985" s="272"/>
      <c r="B985" s="272"/>
      <c r="C985" s="272"/>
      <c r="D985" s="272"/>
      <c r="E985" s="272"/>
      <c r="F985" s="272"/>
      <c r="G985" s="272"/>
      <c r="H985" s="272"/>
      <c r="I985" s="272"/>
      <c r="J985" s="272"/>
      <c r="K985" s="272"/>
      <c r="L985" s="272"/>
      <c r="M985" s="272"/>
      <c r="N985" s="272"/>
      <c r="O985" s="272"/>
      <c r="P985" s="272"/>
      <c r="Q985" s="272"/>
      <c r="R985" s="272"/>
      <c r="S985" s="272"/>
      <c r="T985" s="272"/>
      <c r="U985" s="272"/>
      <c r="V985" s="272"/>
      <c r="W985" s="272"/>
      <c r="X985" s="272"/>
      <c r="Y985" s="272"/>
      <c r="Z985" s="272"/>
    </row>
    <row r="986" spans="1:26" ht="15.75" customHeight="1" x14ac:dyDescent="0.2">
      <c r="A986" s="272"/>
      <c r="B986" s="272"/>
      <c r="C986" s="272"/>
      <c r="D986" s="272"/>
      <c r="E986" s="272"/>
      <c r="F986" s="272"/>
      <c r="G986" s="272"/>
      <c r="H986" s="272"/>
      <c r="I986" s="272"/>
      <c r="J986" s="272"/>
      <c r="K986" s="272"/>
      <c r="L986" s="272"/>
      <c r="M986" s="272"/>
      <c r="N986" s="272"/>
      <c r="O986" s="272"/>
      <c r="P986" s="272"/>
      <c r="Q986" s="272"/>
      <c r="R986" s="272"/>
      <c r="S986" s="272"/>
      <c r="T986" s="272"/>
      <c r="U986" s="272"/>
      <c r="V986" s="272"/>
      <c r="W986" s="272"/>
      <c r="X986" s="272"/>
      <c r="Y986" s="272"/>
      <c r="Z986" s="272"/>
    </row>
    <row r="987" spans="1:26" ht="15.75" customHeight="1" x14ac:dyDescent="0.2">
      <c r="A987" s="272"/>
      <c r="B987" s="272"/>
      <c r="C987" s="272"/>
      <c r="D987" s="272"/>
      <c r="E987" s="272"/>
      <c r="F987" s="272"/>
      <c r="G987" s="272"/>
      <c r="H987" s="272"/>
      <c r="I987" s="272"/>
      <c r="J987" s="272"/>
      <c r="K987" s="272"/>
      <c r="L987" s="272"/>
      <c r="M987" s="272"/>
      <c r="N987" s="272"/>
      <c r="O987" s="272"/>
      <c r="P987" s="272"/>
      <c r="Q987" s="272"/>
      <c r="R987" s="272"/>
      <c r="S987" s="272"/>
      <c r="T987" s="272"/>
      <c r="U987" s="272"/>
      <c r="V987" s="272"/>
      <c r="W987" s="272"/>
      <c r="X987" s="272"/>
      <c r="Y987" s="272"/>
      <c r="Z987" s="272"/>
    </row>
    <row r="988" spans="1:26" ht="15.75" customHeight="1" x14ac:dyDescent="0.2">
      <c r="A988" s="272"/>
      <c r="B988" s="272"/>
      <c r="C988" s="272"/>
      <c r="D988" s="272"/>
      <c r="E988" s="272"/>
      <c r="F988" s="272"/>
      <c r="G988" s="272"/>
      <c r="H988" s="272"/>
      <c r="I988" s="272"/>
      <c r="J988" s="272"/>
      <c r="K988" s="272"/>
      <c r="L988" s="272"/>
      <c r="M988" s="272"/>
      <c r="N988" s="272"/>
      <c r="O988" s="272"/>
      <c r="P988" s="272"/>
      <c r="Q988" s="272"/>
      <c r="R988" s="272"/>
      <c r="S988" s="272"/>
      <c r="T988" s="272"/>
      <c r="U988" s="272"/>
      <c r="V988" s="272"/>
      <c r="W988" s="272"/>
      <c r="X988" s="272"/>
      <c r="Y988" s="272"/>
      <c r="Z988" s="272"/>
    </row>
    <row r="989" spans="1:26" ht="15.75" customHeight="1" x14ac:dyDescent="0.2">
      <c r="A989" s="272"/>
      <c r="B989" s="272"/>
      <c r="C989" s="272"/>
      <c r="D989" s="272"/>
      <c r="E989" s="272"/>
      <c r="F989" s="272"/>
      <c r="G989" s="272"/>
      <c r="H989" s="272"/>
      <c r="I989" s="272"/>
      <c r="J989" s="272"/>
      <c r="K989" s="272"/>
      <c r="L989" s="272"/>
      <c r="M989" s="272"/>
      <c r="N989" s="272"/>
      <c r="O989" s="272"/>
      <c r="P989" s="272"/>
      <c r="Q989" s="272"/>
      <c r="R989" s="272"/>
      <c r="S989" s="272"/>
      <c r="T989" s="272"/>
      <c r="U989" s="272"/>
      <c r="V989" s="272"/>
      <c r="W989" s="272"/>
      <c r="X989" s="272"/>
      <c r="Y989" s="272"/>
      <c r="Z989" s="272"/>
    </row>
    <row r="990" spans="1:26" ht="15.75" customHeight="1" x14ac:dyDescent="0.2">
      <c r="A990" s="272"/>
      <c r="B990" s="272"/>
      <c r="C990" s="272"/>
      <c r="D990" s="272"/>
      <c r="E990" s="272"/>
      <c r="F990" s="272"/>
      <c r="G990" s="272"/>
      <c r="H990" s="272"/>
      <c r="I990" s="272"/>
      <c r="J990" s="272"/>
      <c r="K990" s="272"/>
      <c r="L990" s="272"/>
      <c r="M990" s="272"/>
      <c r="N990" s="272"/>
      <c r="O990" s="272"/>
      <c r="P990" s="272"/>
      <c r="Q990" s="272"/>
      <c r="R990" s="272"/>
      <c r="S990" s="272"/>
      <c r="T990" s="272"/>
      <c r="U990" s="272"/>
      <c r="V990" s="272"/>
      <c r="W990" s="272"/>
      <c r="X990" s="272"/>
      <c r="Y990" s="272"/>
      <c r="Z990" s="272"/>
    </row>
    <row r="991" spans="1:26" ht="15.75" customHeight="1" x14ac:dyDescent="0.2">
      <c r="A991" s="272"/>
      <c r="B991" s="272"/>
      <c r="C991" s="272"/>
      <c r="D991" s="272"/>
      <c r="E991" s="272"/>
      <c r="F991" s="272"/>
      <c r="G991" s="272"/>
      <c r="H991" s="272"/>
      <c r="I991" s="272"/>
      <c r="J991" s="272"/>
      <c r="K991" s="272"/>
      <c r="L991" s="272"/>
      <c r="M991" s="272"/>
      <c r="N991" s="272"/>
      <c r="O991" s="272"/>
      <c r="P991" s="272"/>
      <c r="Q991" s="272"/>
      <c r="R991" s="272"/>
      <c r="S991" s="272"/>
      <c r="T991" s="272"/>
      <c r="U991" s="272"/>
      <c r="V991" s="272"/>
      <c r="W991" s="272"/>
      <c r="X991" s="272"/>
      <c r="Y991" s="272"/>
      <c r="Z991" s="272"/>
    </row>
    <row r="992" spans="1:26" ht="15.75" customHeight="1" x14ac:dyDescent="0.2">
      <c r="A992" s="272"/>
      <c r="B992" s="272"/>
      <c r="C992" s="272"/>
      <c r="D992" s="272"/>
      <c r="E992" s="272"/>
      <c r="F992" s="272"/>
      <c r="G992" s="272"/>
      <c r="H992" s="272"/>
      <c r="I992" s="272"/>
      <c r="J992" s="272"/>
      <c r="K992" s="272"/>
      <c r="L992" s="272"/>
      <c r="M992" s="272"/>
      <c r="N992" s="272"/>
      <c r="O992" s="272"/>
      <c r="P992" s="272"/>
      <c r="Q992" s="272"/>
      <c r="R992" s="272"/>
      <c r="S992" s="272"/>
      <c r="T992" s="272"/>
      <c r="U992" s="272"/>
      <c r="V992" s="272"/>
      <c r="W992" s="272"/>
      <c r="X992" s="272"/>
      <c r="Y992" s="272"/>
      <c r="Z992" s="272"/>
    </row>
    <row r="993" spans="1:26" ht="15.75" customHeight="1" x14ac:dyDescent="0.2">
      <c r="A993" s="272"/>
      <c r="B993" s="272"/>
      <c r="C993" s="272"/>
      <c r="D993" s="272"/>
      <c r="E993" s="272"/>
      <c r="F993" s="272"/>
      <c r="G993" s="272"/>
      <c r="H993" s="272"/>
      <c r="I993" s="272"/>
      <c r="J993" s="272"/>
      <c r="K993" s="272"/>
      <c r="L993" s="272"/>
      <c r="M993" s="272"/>
      <c r="N993" s="272"/>
      <c r="O993" s="272"/>
      <c r="P993" s="272"/>
      <c r="Q993" s="272"/>
      <c r="R993" s="272"/>
      <c r="S993" s="272"/>
      <c r="T993" s="272"/>
      <c r="U993" s="272"/>
      <c r="V993" s="272"/>
      <c r="W993" s="272"/>
      <c r="X993" s="272"/>
      <c r="Y993" s="272"/>
      <c r="Z993" s="272"/>
    </row>
    <row r="994" spans="1:26" ht="15.75" customHeight="1" x14ac:dyDescent="0.2">
      <c r="A994" s="272"/>
      <c r="B994" s="272"/>
      <c r="C994" s="272"/>
      <c r="D994" s="272"/>
      <c r="E994" s="272"/>
      <c r="F994" s="272"/>
      <c r="G994" s="272"/>
      <c r="H994" s="272"/>
      <c r="I994" s="272"/>
      <c r="J994" s="272"/>
      <c r="K994" s="272"/>
      <c r="L994" s="272"/>
      <c r="M994" s="272"/>
      <c r="N994" s="272"/>
      <c r="O994" s="272"/>
      <c r="P994" s="272"/>
      <c r="Q994" s="272"/>
      <c r="R994" s="272"/>
      <c r="S994" s="272"/>
      <c r="T994" s="272"/>
      <c r="U994" s="272"/>
      <c r="V994" s="272"/>
      <c r="W994" s="272"/>
      <c r="X994" s="272"/>
      <c r="Y994" s="272"/>
      <c r="Z994" s="272"/>
    </row>
    <row r="995" spans="1:26" ht="15.75" customHeight="1" x14ac:dyDescent="0.2">
      <c r="A995" s="272"/>
      <c r="B995" s="272"/>
      <c r="C995" s="272"/>
      <c r="D995" s="272"/>
      <c r="E995" s="272"/>
      <c r="F995" s="272"/>
      <c r="G995" s="272"/>
      <c r="H995" s="272"/>
      <c r="I995" s="272"/>
      <c r="J995" s="272"/>
      <c r="K995" s="272"/>
      <c r="L995" s="272"/>
      <c r="M995" s="272"/>
      <c r="N995" s="272"/>
      <c r="O995" s="272"/>
      <c r="P995" s="272"/>
      <c r="Q995" s="272"/>
      <c r="R995" s="272"/>
      <c r="S995" s="272"/>
      <c r="T995" s="272"/>
      <c r="U995" s="272"/>
      <c r="V995" s="272"/>
      <c r="W995" s="272"/>
      <c r="X995" s="272"/>
      <c r="Y995" s="272"/>
      <c r="Z995" s="272"/>
    </row>
    <row r="996" spans="1:26" ht="15.75" customHeight="1" x14ac:dyDescent="0.2">
      <c r="A996" s="272"/>
      <c r="B996" s="272"/>
      <c r="C996" s="272"/>
      <c r="D996" s="272"/>
      <c r="E996" s="272"/>
      <c r="F996" s="272"/>
      <c r="G996" s="272"/>
      <c r="H996" s="272"/>
      <c r="I996" s="272"/>
      <c r="J996" s="272"/>
      <c r="K996" s="272"/>
      <c r="L996" s="272"/>
      <c r="M996" s="272"/>
      <c r="N996" s="272"/>
      <c r="O996" s="272"/>
      <c r="P996" s="272"/>
      <c r="Q996" s="272"/>
      <c r="R996" s="272"/>
      <c r="S996" s="272"/>
      <c r="T996" s="272"/>
      <c r="U996" s="272"/>
      <c r="V996" s="272"/>
      <c r="W996" s="272"/>
      <c r="X996" s="272"/>
      <c r="Y996" s="272"/>
      <c r="Z996" s="272"/>
    </row>
    <row r="997" spans="1:26" ht="15.75" customHeight="1" x14ac:dyDescent="0.2">
      <c r="A997" s="272"/>
      <c r="B997" s="272"/>
      <c r="C997" s="272"/>
      <c r="D997" s="272"/>
      <c r="E997" s="272"/>
      <c r="F997" s="272"/>
      <c r="G997" s="272"/>
      <c r="H997" s="272"/>
      <c r="I997" s="272"/>
      <c r="J997" s="272"/>
      <c r="K997" s="272"/>
      <c r="L997" s="272"/>
      <c r="M997" s="272"/>
      <c r="N997" s="272"/>
      <c r="O997" s="272"/>
      <c r="P997" s="272"/>
      <c r="Q997" s="272"/>
      <c r="R997" s="272"/>
      <c r="S997" s="272"/>
      <c r="T997" s="272"/>
      <c r="U997" s="272"/>
      <c r="V997" s="272"/>
      <c r="W997" s="272"/>
      <c r="X997" s="272"/>
      <c r="Y997" s="272"/>
      <c r="Z997" s="272"/>
    </row>
    <row r="998" spans="1:26" ht="15.75" customHeight="1" x14ac:dyDescent="0.2">
      <c r="A998" s="272"/>
      <c r="B998" s="272"/>
      <c r="C998" s="272"/>
      <c r="D998" s="272"/>
      <c r="E998" s="272"/>
      <c r="F998" s="272"/>
      <c r="G998" s="272"/>
      <c r="H998" s="272"/>
      <c r="I998" s="272"/>
      <c r="J998" s="272"/>
      <c r="K998" s="272"/>
      <c r="L998" s="272"/>
      <c r="M998" s="272"/>
      <c r="N998" s="272"/>
      <c r="O998" s="272"/>
      <c r="P998" s="272"/>
      <c r="Q998" s="272"/>
      <c r="R998" s="272"/>
      <c r="S998" s="272"/>
      <c r="T998" s="272"/>
      <c r="U998" s="272"/>
      <c r="V998" s="272"/>
      <c r="W998" s="272"/>
      <c r="X998" s="272"/>
      <c r="Y998" s="272"/>
      <c r="Z998" s="272"/>
    </row>
    <row r="999" spans="1:26" ht="15.75" customHeight="1" x14ac:dyDescent="0.2">
      <c r="A999" s="272"/>
      <c r="B999" s="272"/>
      <c r="C999" s="272"/>
      <c r="D999" s="272"/>
      <c r="E999" s="272"/>
      <c r="F999" s="272"/>
      <c r="G999" s="272"/>
      <c r="H999" s="272"/>
      <c r="I999" s="272"/>
      <c r="J999" s="272"/>
      <c r="K999" s="272"/>
      <c r="L999" s="272"/>
      <c r="M999" s="272"/>
      <c r="N999" s="272"/>
      <c r="O999" s="272"/>
      <c r="P999" s="272"/>
      <c r="Q999" s="272"/>
      <c r="R999" s="272"/>
      <c r="S999" s="272"/>
      <c r="T999" s="272"/>
      <c r="U999" s="272"/>
      <c r="V999" s="272"/>
      <c r="W999" s="272"/>
      <c r="X999" s="272"/>
      <c r="Y999" s="272"/>
      <c r="Z999" s="272"/>
    </row>
    <row r="1000" spans="1:26" ht="15.75" customHeight="1" x14ac:dyDescent="0.2">
      <c r="A1000" s="272"/>
      <c r="B1000" s="272"/>
      <c r="C1000" s="272"/>
      <c r="D1000" s="272"/>
      <c r="E1000" s="272"/>
      <c r="F1000" s="272"/>
      <c r="G1000" s="272"/>
      <c r="H1000" s="272"/>
      <c r="I1000" s="272"/>
      <c r="J1000" s="272"/>
      <c r="K1000" s="272"/>
      <c r="L1000" s="272"/>
      <c r="M1000" s="272"/>
      <c r="N1000" s="272"/>
      <c r="O1000" s="272"/>
      <c r="P1000" s="272"/>
      <c r="Q1000" s="272"/>
      <c r="R1000" s="272"/>
      <c r="S1000" s="272"/>
      <c r="T1000" s="272"/>
      <c r="U1000" s="272"/>
      <c r="V1000" s="272"/>
      <c r="W1000" s="272"/>
      <c r="X1000" s="272"/>
      <c r="Y1000" s="272"/>
      <c r="Z1000" s="272"/>
    </row>
    <row r="1001" spans="1:26" ht="15.75" customHeight="1" x14ac:dyDescent="0.2">
      <c r="A1001" s="272"/>
      <c r="B1001" s="272"/>
      <c r="C1001" s="272"/>
      <c r="D1001" s="272"/>
      <c r="E1001" s="272"/>
      <c r="F1001" s="272"/>
      <c r="G1001" s="272"/>
      <c r="H1001" s="272"/>
      <c r="I1001" s="272"/>
      <c r="J1001" s="272"/>
      <c r="K1001" s="272"/>
      <c r="L1001" s="272"/>
      <c r="M1001" s="272"/>
      <c r="N1001" s="272"/>
      <c r="O1001" s="272"/>
      <c r="P1001" s="272"/>
      <c r="Q1001" s="272"/>
      <c r="R1001" s="272"/>
      <c r="S1001" s="272"/>
      <c r="T1001" s="272"/>
      <c r="U1001" s="272"/>
      <c r="V1001" s="272"/>
      <c r="W1001" s="272"/>
      <c r="X1001" s="272"/>
      <c r="Y1001" s="272"/>
      <c r="Z1001" s="272"/>
    </row>
  </sheetData>
  <mergeCells count="61">
    <mergeCell ref="K30:M30"/>
    <mergeCell ref="K31:M31"/>
    <mergeCell ref="A30:B31"/>
    <mergeCell ref="C30:D31"/>
    <mergeCell ref="E30:E31"/>
    <mergeCell ref="F30:H31"/>
    <mergeCell ref="I30:J30"/>
    <mergeCell ref="I31:J31"/>
    <mergeCell ref="H24:M24"/>
    <mergeCell ref="B25:G25"/>
    <mergeCell ref="H25:M25"/>
    <mergeCell ref="B27:G27"/>
    <mergeCell ref="H27:M27"/>
    <mergeCell ref="B26:G26"/>
    <mergeCell ref="H26:M26"/>
    <mergeCell ref="B18:G18"/>
    <mergeCell ref="H18:M18"/>
    <mergeCell ref="A19:A28"/>
    <mergeCell ref="B19:G19"/>
    <mergeCell ref="H19:M19"/>
    <mergeCell ref="B20:G20"/>
    <mergeCell ref="H20:M20"/>
    <mergeCell ref="B21:G21"/>
    <mergeCell ref="H21:M21"/>
    <mergeCell ref="B22:G22"/>
    <mergeCell ref="H22:M22"/>
    <mergeCell ref="B23:G23"/>
    <mergeCell ref="B28:G28"/>
    <mergeCell ref="H28:M28"/>
    <mergeCell ref="H23:M23"/>
    <mergeCell ref="B24:G24"/>
    <mergeCell ref="H16:M16"/>
    <mergeCell ref="B17:G17"/>
    <mergeCell ref="H17:M17"/>
    <mergeCell ref="B15:G15"/>
    <mergeCell ref="H15:M15"/>
    <mergeCell ref="A7:C7"/>
    <mergeCell ref="D7:F7"/>
    <mergeCell ref="A9:A18"/>
    <mergeCell ref="B9:G9"/>
    <mergeCell ref="H9:M9"/>
    <mergeCell ref="B10:G10"/>
    <mergeCell ref="H10:M10"/>
    <mergeCell ref="B11:G11"/>
    <mergeCell ref="H11:M11"/>
    <mergeCell ref="B12:G12"/>
    <mergeCell ref="H12:M12"/>
    <mergeCell ref="B13:G13"/>
    <mergeCell ref="H13:M13"/>
    <mergeCell ref="B14:G14"/>
    <mergeCell ref="H14:M14"/>
    <mergeCell ref="B16:G16"/>
    <mergeCell ref="A6:C6"/>
    <mergeCell ref="D6:F6"/>
    <mergeCell ref="G6:H6"/>
    <mergeCell ref="I6:M6"/>
    <mergeCell ref="D1:K4"/>
    <mergeCell ref="L1:M1"/>
    <mergeCell ref="L2:M2"/>
    <mergeCell ref="L3:M4"/>
    <mergeCell ref="B4:C4"/>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tabColor rgb="FF003300"/>
  </sheetPr>
  <dimension ref="A1:AF69"/>
  <sheetViews>
    <sheetView zoomScaleNormal="100" workbookViewId="0">
      <selection activeCell="R4" sqref="R4:AF4"/>
    </sheetView>
  </sheetViews>
  <sheetFormatPr baseColWidth="10" defaultColWidth="11.42578125" defaultRowHeight="16.5" x14ac:dyDescent="0.3"/>
  <cols>
    <col min="1" max="1" width="5.5703125" style="2" customWidth="1"/>
    <col min="2" max="3" width="16.140625" style="2" customWidth="1"/>
    <col min="4" max="4" width="21.140625" style="1" customWidth="1"/>
    <col min="5" max="5" width="15.5703125" style="1" customWidth="1"/>
    <col min="6" max="6" width="29.140625" style="3" customWidth="1"/>
    <col min="7" max="7" width="27.85546875" style="3" customWidth="1"/>
    <col min="8" max="8" width="17.85546875" style="1" customWidth="1"/>
    <col min="9" max="9" width="14.5703125" style="1" customWidth="1"/>
    <col min="10" max="10" width="0.140625" style="1" customWidth="1"/>
    <col min="11" max="11" width="14.140625" style="1" customWidth="1"/>
    <col min="12" max="12" width="16" style="1" customWidth="1"/>
    <col min="13" max="13" width="30.5703125" style="1" hidden="1" customWidth="1"/>
    <col min="14" max="14" width="15" style="1" customWidth="1"/>
    <col min="15" max="15" width="0.140625" style="1" customWidth="1"/>
    <col min="16" max="16" width="15.28515625" style="1" customWidth="1"/>
    <col min="17" max="17" width="5.85546875" style="1" customWidth="1"/>
    <col min="18" max="18" width="31" style="1" customWidth="1"/>
    <col min="19" max="19" width="15.140625" style="1" hidden="1" customWidth="1"/>
    <col min="20" max="21" width="6.85546875" style="1" customWidth="1"/>
    <col min="22" max="22" width="1.28515625" style="1" hidden="1" customWidth="1"/>
    <col min="23" max="23" width="7.140625" style="1" customWidth="1"/>
    <col min="24" max="24" width="6.7109375" style="1" customWidth="1"/>
    <col min="25" max="25" width="7.5703125" style="1" customWidth="1"/>
    <col min="26" max="26" width="7.7109375" style="1" hidden="1" customWidth="1"/>
    <col min="27" max="27" width="15.28515625" style="1" customWidth="1"/>
    <col min="28" max="28" width="7.5703125" style="1" hidden="1" customWidth="1"/>
    <col min="29" max="29" width="14.85546875" style="1" customWidth="1"/>
    <col min="30" max="30" width="7.42578125" style="1" hidden="1" customWidth="1"/>
    <col min="31" max="32" width="14.28515625" style="1" customWidth="1"/>
    <col min="33" max="16384" width="11.42578125" style="1"/>
  </cols>
  <sheetData>
    <row r="1" spans="1:32" ht="79.5" customHeight="1" x14ac:dyDescent="0.3">
      <c r="A1" s="496"/>
      <c r="B1" s="496"/>
      <c r="C1" s="496"/>
      <c r="D1" s="495" t="s">
        <v>185</v>
      </c>
      <c r="E1" s="495"/>
      <c r="F1" s="495"/>
      <c r="G1" s="495"/>
      <c r="H1" s="495"/>
      <c r="I1" s="495"/>
      <c r="J1" s="495"/>
      <c r="K1" s="495"/>
      <c r="L1" s="495"/>
      <c r="M1" s="495"/>
      <c r="N1" s="495"/>
      <c r="O1" s="495"/>
      <c r="P1" s="495"/>
      <c r="Q1" s="495"/>
      <c r="R1" s="495"/>
      <c r="S1" s="495"/>
      <c r="T1" s="495"/>
      <c r="U1" s="495"/>
      <c r="V1" s="495"/>
      <c r="W1" s="495"/>
      <c r="X1" s="495"/>
      <c r="Y1" s="495"/>
      <c r="Z1" s="495"/>
      <c r="AA1" s="495"/>
      <c r="AB1" s="495"/>
      <c r="AC1" s="495"/>
      <c r="AE1" s="489" t="s">
        <v>224</v>
      </c>
      <c r="AF1" s="489"/>
    </row>
    <row r="2" spans="1:32" ht="20.25" customHeight="1" x14ac:dyDescent="0.3">
      <c r="A2" s="497" t="s">
        <v>183</v>
      </c>
      <c r="B2" s="497"/>
      <c r="C2" s="497"/>
      <c r="D2" s="495" t="s">
        <v>225</v>
      </c>
      <c r="E2" s="495"/>
      <c r="F2" s="495"/>
      <c r="G2" s="495"/>
      <c r="H2" s="495"/>
      <c r="I2" s="495"/>
      <c r="J2" s="495"/>
      <c r="K2" s="495"/>
      <c r="L2" s="495"/>
      <c r="M2" s="495"/>
      <c r="N2" s="495"/>
      <c r="O2" s="495"/>
      <c r="P2" s="495"/>
      <c r="Q2" s="495"/>
      <c r="R2" s="495"/>
      <c r="S2" s="495"/>
      <c r="T2" s="495"/>
      <c r="U2" s="495"/>
      <c r="V2" s="495"/>
      <c r="W2" s="495"/>
      <c r="X2" s="495"/>
      <c r="Y2" s="495"/>
      <c r="Z2" s="495"/>
      <c r="AA2" s="495"/>
      <c r="AB2" s="495"/>
      <c r="AC2" s="495"/>
      <c r="AE2" s="489" t="s">
        <v>182</v>
      </c>
      <c r="AF2" s="489"/>
    </row>
    <row r="3" spans="1:32" x14ac:dyDescent="0.3">
      <c r="A3" s="496"/>
      <c r="B3" s="496"/>
      <c r="C3" s="496"/>
      <c r="D3" s="496"/>
      <c r="E3" s="496"/>
      <c r="F3" s="496"/>
      <c r="G3" s="496"/>
      <c r="H3" s="496"/>
      <c r="I3" s="496"/>
      <c r="J3" s="496"/>
      <c r="K3" s="496"/>
      <c r="L3" s="496"/>
      <c r="M3" s="496"/>
      <c r="N3" s="496"/>
      <c r="O3" s="496"/>
      <c r="P3" s="496"/>
      <c r="Q3" s="496"/>
      <c r="R3" s="496"/>
      <c r="S3" s="496"/>
      <c r="T3" s="496"/>
      <c r="U3" s="496"/>
      <c r="V3" s="496"/>
      <c r="W3" s="496"/>
      <c r="X3" s="496"/>
      <c r="Y3" s="496"/>
      <c r="Z3" s="496"/>
      <c r="AA3" s="496"/>
      <c r="AB3" s="496"/>
      <c r="AC3" s="496"/>
      <c r="AD3" s="496"/>
      <c r="AE3" s="496"/>
      <c r="AF3" s="496"/>
    </row>
    <row r="4" spans="1:32" ht="35.25" customHeight="1" x14ac:dyDescent="0.3">
      <c r="A4" s="490" t="s">
        <v>226</v>
      </c>
      <c r="B4" s="490"/>
      <c r="C4" s="490"/>
      <c r="D4" s="494" t="s">
        <v>185</v>
      </c>
      <c r="E4" s="494"/>
      <c r="F4" s="494"/>
      <c r="G4" s="494"/>
      <c r="H4" s="494"/>
      <c r="I4" s="494"/>
      <c r="J4" s="494"/>
      <c r="K4" s="494"/>
      <c r="L4" s="494"/>
      <c r="N4" s="491" t="s">
        <v>227</v>
      </c>
      <c r="O4" s="491"/>
      <c r="P4" s="491"/>
      <c r="Q4" s="491"/>
      <c r="R4" s="492">
        <v>2024</v>
      </c>
      <c r="S4" s="492"/>
      <c r="T4" s="492"/>
      <c r="U4" s="492"/>
      <c r="V4" s="492"/>
      <c r="W4" s="492"/>
      <c r="X4" s="492"/>
      <c r="Y4" s="492"/>
      <c r="Z4" s="492"/>
      <c r="AA4" s="492"/>
      <c r="AB4" s="492"/>
      <c r="AC4" s="492"/>
      <c r="AD4" s="492"/>
      <c r="AE4" s="492"/>
      <c r="AF4" s="492"/>
    </row>
    <row r="5" spans="1:32" ht="35.25" customHeight="1" x14ac:dyDescent="0.3">
      <c r="A5" s="490" t="s">
        <v>228</v>
      </c>
      <c r="B5" s="490"/>
      <c r="C5" s="490"/>
      <c r="D5" s="494" t="s">
        <v>229</v>
      </c>
      <c r="E5" s="494"/>
      <c r="F5" s="494"/>
      <c r="G5" s="494"/>
      <c r="H5" s="494"/>
      <c r="I5" s="494"/>
      <c r="J5" s="494"/>
      <c r="K5" s="494"/>
      <c r="L5" s="494"/>
      <c r="N5" s="491" t="s">
        <v>230</v>
      </c>
      <c r="O5" s="491"/>
      <c r="P5" s="491"/>
      <c r="Q5" s="491"/>
      <c r="R5" s="493" t="s">
        <v>507</v>
      </c>
      <c r="S5" s="493"/>
      <c r="T5" s="493"/>
      <c r="U5" s="493"/>
      <c r="V5" s="493"/>
      <c r="W5" s="493"/>
      <c r="X5" s="493"/>
      <c r="Y5" s="493"/>
      <c r="Z5" s="493"/>
      <c r="AA5" s="493"/>
      <c r="AB5" s="493"/>
      <c r="AC5" s="493"/>
      <c r="AD5" s="493"/>
      <c r="AE5" s="493"/>
      <c r="AF5" s="493"/>
    </row>
    <row r="6" spans="1:32" x14ac:dyDescent="0.3">
      <c r="A6" s="555"/>
      <c r="B6" s="555"/>
      <c r="C6" s="555"/>
      <c r="D6" s="555"/>
      <c r="E6" s="555"/>
      <c r="F6" s="555"/>
      <c r="G6" s="555"/>
      <c r="H6" s="555"/>
      <c r="I6" s="555"/>
      <c r="J6" s="555"/>
      <c r="K6" s="555"/>
      <c r="L6" s="555"/>
      <c r="M6" s="555"/>
      <c r="N6" s="555"/>
      <c r="O6" s="555"/>
      <c r="P6" s="555"/>
      <c r="Q6" s="555"/>
      <c r="R6" s="555"/>
      <c r="S6" s="555"/>
      <c r="T6" s="555"/>
      <c r="U6" s="555"/>
      <c r="V6" s="555"/>
      <c r="W6" s="555"/>
      <c r="X6" s="555"/>
      <c r="Y6" s="555"/>
      <c r="Z6" s="555"/>
      <c r="AA6" s="555"/>
      <c r="AB6" s="555"/>
      <c r="AC6" s="555"/>
      <c r="AD6" s="555"/>
      <c r="AE6" s="555"/>
      <c r="AF6" s="555"/>
    </row>
    <row r="7" spans="1:32" ht="51" customHeight="1" x14ac:dyDescent="0.3">
      <c r="A7" s="503" t="s">
        <v>231</v>
      </c>
      <c r="B7" s="504"/>
      <c r="C7" s="504"/>
      <c r="D7" s="504"/>
      <c r="E7" s="504"/>
      <c r="F7" s="504"/>
      <c r="G7" s="505"/>
      <c r="H7" s="500" t="s">
        <v>232</v>
      </c>
      <c r="I7" s="501"/>
      <c r="J7" s="501"/>
      <c r="K7" s="501"/>
      <c r="L7" s="501"/>
      <c r="M7" s="501"/>
      <c r="N7" s="501"/>
      <c r="O7" s="501"/>
      <c r="P7" s="502"/>
      <c r="Q7" s="498" t="s">
        <v>233</v>
      </c>
      <c r="R7" s="498"/>
      <c r="S7" s="498"/>
      <c r="T7" s="498"/>
      <c r="U7" s="498"/>
      <c r="V7" s="498"/>
      <c r="W7" s="498"/>
      <c r="X7" s="498"/>
      <c r="Y7" s="498"/>
      <c r="Z7" s="499" t="s">
        <v>234</v>
      </c>
      <c r="AA7" s="499"/>
      <c r="AB7" s="499"/>
      <c r="AC7" s="499"/>
      <c r="AD7" s="499"/>
      <c r="AE7" s="499"/>
      <c r="AF7" s="499"/>
    </row>
    <row r="8" spans="1:32" ht="16.5" customHeight="1" x14ac:dyDescent="0.3">
      <c r="A8" s="516" t="s">
        <v>235</v>
      </c>
      <c r="B8" s="511" t="s">
        <v>236</v>
      </c>
      <c r="C8" s="511" t="s">
        <v>142</v>
      </c>
      <c r="D8" s="511" t="s">
        <v>140</v>
      </c>
      <c r="E8" s="509" t="s">
        <v>237</v>
      </c>
      <c r="F8" s="511" t="s">
        <v>238</v>
      </c>
      <c r="G8" s="511" t="s">
        <v>239</v>
      </c>
      <c r="H8" s="511" t="s">
        <v>240</v>
      </c>
      <c r="I8" s="511" t="s">
        <v>241</v>
      </c>
      <c r="J8" s="513" t="s">
        <v>242</v>
      </c>
      <c r="K8" s="513" t="s">
        <v>134</v>
      </c>
      <c r="L8" s="511" t="s">
        <v>243</v>
      </c>
      <c r="M8" s="511" t="s">
        <v>244</v>
      </c>
      <c r="N8" s="511" t="s">
        <v>245</v>
      </c>
      <c r="O8" s="513" t="s">
        <v>242</v>
      </c>
      <c r="P8" s="511" t="s">
        <v>148</v>
      </c>
      <c r="Q8" s="514" t="s">
        <v>246</v>
      </c>
      <c r="R8" s="511" t="s">
        <v>150</v>
      </c>
      <c r="S8" s="511" t="s">
        <v>152</v>
      </c>
      <c r="T8" s="518" t="s">
        <v>247</v>
      </c>
      <c r="U8" s="518"/>
      <c r="V8" s="518"/>
      <c r="W8" s="518"/>
      <c r="X8" s="518"/>
      <c r="Y8" s="518"/>
      <c r="Z8" s="514" t="s">
        <v>248</v>
      </c>
      <c r="AA8" s="511" t="s">
        <v>249</v>
      </c>
      <c r="AB8" s="511" t="s">
        <v>242</v>
      </c>
      <c r="AC8" s="511" t="s">
        <v>250</v>
      </c>
      <c r="AD8" s="511" t="s">
        <v>242</v>
      </c>
      <c r="AE8" s="511" t="s">
        <v>251</v>
      </c>
      <c r="AF8" s="511" t="s">
        <v>168</v>
      </c>
    </row>
    <row r="9" spans="1:32" s="183" customFormat="1" ht="87" customHeight="1" thickBot="1" x14ac:dyDescent="0.3">
      <c r="A9" s="517"/>
      <c r="B9" s="509"/>
      <c r="C9" s="509"/>
      <c r="D9" s="509"/>
      <c r="E9" s="510"/>
      <c r="F9" s="509"/>
      <c r="G9" s="509"/>
      <c r="H9" s="509"/>
      <c r="I9" s="509"/>
      <c r="J9" s="512"/>
      <c r="K9" s="512"/>
      <c r="L9" s="509"/>
      <c r="M9" s="509"/>
      <c r="N9" s="512"/>
      <c r="O9" s="512"/>
      <c r="P9" s="509"/>
      <c r="Q9" s="515"/>
      <c r="R9" s="509"/>
      <c r="S9" s="509"/>
      <c r="T9" s="185" t="s">
        <v>252</v>
      </c>
      <c r="U9" s="185" t="s">
        <v>253</v>
      </c>
      <c r="V9" s="185" t="s">
        <v>254</v>
      </c>
      <c r="W9" s="185" t="s">
        <v>255</v>
      </c>
      <c r="X9" s="185" t="s">
        <v>256</v>
      </c>
      <c r="Y9" s="185" t="s">
        <v>257</v>
      </c>
      <c r="Z9" s="515"/>
      <c r="AA9" s="509"/>
      <c r="AB9" s="509"/>
      <c r="AC9" s="509"/>
      <c r="AD9" s="509"/>
      <c r="AE9" s="509"/>
      <c r="AF9" s="509"/>
    </row>
    <row r="10" spans="1:32" s="184" customFormat="1" ht="63" customHeight="1" x14ac:dyDescent="0.25">
      <c r="A10" s="537">
        <v>1</v>
      </c>
      <c r="B10" s="522" t="s">
        <v>103</v>
      </c>
      <c r="C10" s="522" t="s">
        <v>258</v>
      </c>
      <c r="D10" s="519" t="s">
        <v>259</v>
      </c>
      <c r="E10" s="269" t="s">
        <v>260</v>
      </c>
      <c r="F10" s="288" t="s">
        <v>261</v>
      </c>
      <c r="G10" s="288" t="s">
        <v>262</v>
      </c>
      <c r="H10" s="525">
        <v>2</v>
      </c>
      <c r="I10" s="528" t="str">
        <f>IF(H10&lt;=0,"",IF(H10&lt;=2,"Muy Baja",IF(H10&lt;=24,"Baja",IF(H10&lt;=500,"Media",IF(H10&lt;=5000,"Alta","Muy Alta")))))</f>
        <v>Muy Baja</v>
      </c>
      <c r="J10" s="534">
        <f>IF(I10="","",IF(I10="Muy Baja",0.2,IF(I10="Baja",0.4,IF(I10="Media",0.6,IF(I10="Alta",0.8,IF(I10="Muy Alta",1,))))))</f>
        <v>0.2</v>
      </c>
      <c r="K10" s="522" t="s">
        <v>263</v>
      </c>
      <c r="L10" s="531" t="s">
        <v>264</v>
      </c>
      <c r="M10" s="266" t="str">
        <f>IF(NOT(ISERROR(MATCH(L10,'Tabla Impacto'!$B$221:$B$223,0))),'Tabla Impacto'!$F$223&amp;"Por favor no seleccionar los criterios de impacto(Afectación Económica o presupuestal y Pérdida Reputacional)",L10)</f>
        <v xml:space="preserve">     El riesgo afecta la imagen de alguna área de la organización</v>
      </c>
      <c r="N10" s="528" t="str">
        <f>IF(OR(M10='Tabla Impacto'!$C$11,M10='Tabla Impacto'!$D$11),"Leve",IF(OR(M10='Tabla Impacto'!$C$12,M10='Tabla Impacto'!$D$12),"Menor",IF(OR(M10='Tabla Impacto'!$C$13,M10='Tabla Impacto'!$D$13),"Moderado",IF(OR(M10='Tabla Impacto'!$C$14,M10='Tabla Impacto'!$D$14),"Mayor",IF(OR(M10='Tabla Impacto'!$C$15,M10='Tabla Impacto'!$D$15),"Catastrófico","")))))</f>
        <v>Leve</v>
      </c>
      <c r="O10" s="534">
        <f>IF(N10="","",IF(N10="Leve",0.2,IF(N10="Menor",0.4,IF(N10="Moderado",0.6,IF(N10="Mayor",0.8,IF(N10="Catastrófico",1,))))))</f>
        <v>0.2</v>
      </c>
      <c r="P10" s="528" t="str">
        <f>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Bajo</v>
      </c>
      <c r="Q10" s="191">
        <v>1</v>
      </c>
      <c r="R10" s="288" t="s">
        <v>265</v>
      </c>
      <c r="S10" s="216" t="str">
        <f>IF(OR(T10="Preventivo",T10="Detectivo"),"Probabilidad",IF(T10="Correctivo","Impacto",""))</f>
        <v>Probabilidad</v>
      </c>
      <c r="T10" s="217" t="s">
        <v>266</v>
      </c>
      <c r="U10" s="217" t="s">
        <v>267</v>
      </c>
      <c r="V10" s="218" t="str">
        <f>IF(AND(T10="Preventivo",U10="Automático"),"50%",IF(AND(T10="Preventivo",U10="Manual"),"40%",IF(AND(T10="Detectivo",U10="Automático"),"40%",IF(AND(T10="Detectivo",U10="Manual"),"30%",IF(AND(T10="Correctivo",U10="Automático"),"35%",IF(AND(T10="Correctivo",U10="Manual"),"25%",""))))))</f>
        <v>40%</v>
      </c>
      <c r="W10" s="217" t="s">
        <v>268</v>
      </c>
      <c r="X10" s="217" t="s">
        <v>269</v>
      </c>
      <c r="Y10" s="217" t="s">
        <v>270</v>
      </c>
      <c r="Z10" s="219">
        <f>IFERROR(IF(S10="Probabilidad",(J10-(+J10*V10)),IF(S10="Impacto",J10,"")),"")</f>
        <v>0.12</v>
      </c>
      <c r="AA10" s="263" t="str">
        <f>IFERROR(IF(Z10="","",IF(Z10&lt;=0.2,"Muy Baja",IF(Z10&lt;=0.4,"Baja",IF(Z10&lt;=0.6,"Media",IF(Z10&lt;=0.8,"Alta","Muy Alta"))))),"")</f>
        <v>Muy Baja</v>
      </c>
      <c r="AB10" s="218">
        <f>+Z10</f>
        <v>0.12</v>
      </c>
      <c r="AC10" s="263" t="str">
        <f>IFERROR(IF(AD10="","",IF(AD10&lt;=0.2,"Leve",IF(AD10&lt;=0.4,"Menor",IF(AD10&lt;=0.6,"Moderado",IF(AD10&lt;=0.8,"Mayor","Catastrófico"))))),"")</f>
        <v>Leve</v>
      </c>
      <c r="AD10" s="218">
        <f>IFERROR(IF(S10="Impacto",(O10-(+O10*V10)),IF(S10="Probabilidad",O10,"")),"")</f>
        <v>0.2</v>
      </c>
      <c r="AE10" s="220" t="str">
        <f>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Bajo</v>
      </c>
      <c r="AF10" s="506" t="s">
        <v>271</v>
      </c>
    </row>
    <row r="11" spans="1:32" ht="60" customHeight="1" x14ac:dyDescent="0.3">
      <c r="A11" s="538"/>
      <c r="B11" s="523"/>
      <c r="C11" s="523"/>
      <c r="D11" s="520"/>
      <c r="E11" s="270" t="s">
        <v>260</v>
      </c>
      <c r="F11" s="286" t="s">
        <v>272</v>
      </c>
      <c r="G11" s="286" t="s">
        <v>273</v>
      </c>
      <c r="H11" s="526"/>
      <c r="I11" s="529"/>
      <c r="J11" s="535"/>
      <c r="K11" s="523"/>
      <c r="L11" s="532"/>
      <c r="M11" s="267">
        <f>IF(NOT(ISERROR(MATCH(L11,_xlfn.ANCHORARRAY(#REF!),0))),#REF!&amp;"Por favor no seleccionar los criterios de impacto",L11)</f>
        <v>0</v>
      </c>
      <c r="N11" s="529"/>
      <c r="O11" s="535"/>
      <c r="P11" s="529"/>
      <c r="Q11" s="192">
        <v>2</v>
      </c>
      <c r="R11" s="286" t="s">
        <v>274</v>
      </c>
      <c r="S11" s="222" t="str">
        <f>IF(OR(T11="Preventivo",T11="Detectivo"),"Probabilidad",IF(T11="Correctivo","Impacto",""))</f>
        <v>Probabilidad</v>
      </c>
      <c r="T11" s="223" t="s">
        <v>266</v>
      </c>
      <c r="U11" s="223" t="s">
        <v>267</v>
      </c>
      <c r="V11" s="224" t="str">
        <f t="shared" ref="V11:V16" si="0">IF(AND(T11="Preventivo",U11="Automático"),"50%",IF(AND(T11="Preventivo",U11="Manual"),"40%",IF(AND(T11="Detectivo",U11="Automático"),"40%",IF(AND(T11="Detectivo",U11="Manual"),"30%",IF(AND(T11="Correctivo",U11="Automático"),"35%",IF(AND(T11="Correctivo",U11="Manual"),"25%",""))))))</f>
        <v>40%</v>
      </c>
      <c r="W11" s="223" t="s">
        <v>268</v>
      </c>
      <c r="X11" s="223" t="s">
        <v>269</v>
      </c>
      <c r="Y11" s="223" t="s">
        <v>270</v>
      </c>
      <c r="Z11" s="225">
        <f>IFERROR(IF(AND(S10="Probabilidad",S11="Probabilidad"),(AB10-(+AB10*V11)),IF(S11="Probabilidad",(J10-(+J10*V11)),IF(S11="Impacto",AB10,""))),"")</f>
        <v>7.1999999999999995E-2</v>
      </c>
      <c r="AA11" s="264" t="str">
        <f t="shared" ref="AA11:AA64" si="1">IFERROR(IF(Z11="","",IF(Z11&lt;=0.2,"Muy Baja",IF(Z11&lt;=0.4,"Baja",IF(Z11&lt;=0.6,"Media",IF(Z11&lt;=0.8,"Alta","Muy Alta"))))),"")</f>
        <v>Muy Baja</v>
      </c>
      <c r="AB11" s="224">
        <f t="shared" ref="AB11:AB16" si="2">+Z11</f>
        <v>7.1999999999999995E-2</v>
      </c>
      <c r="AC11" s="264" t="str">
        <f t="shared" ref="AC11:AC64" si="3">IFERROR(IF(AD11="","",IF(AD11&lt;=0.2,"Leve",IF(AD11&lt;=0.4,"Menor",IF(AD11&lt;=0.6,"Moderado",IF(AD11&lt;=0.8,"Mayor","Catastrófico"))))),"")</f>
        <v>Leve</v>
      </c>
      <c r="AD11" s="224">
        <f>IFERROR(IF(AND(S10="Impacto",S11="Impacto"),(AD10-(+AD10*V11)),IF(S11="Impacto",(O10-(+O10*V11)),IF(S11="Probabilidad",AD10,""))),"")</f>
        <v>0.2</v>
      </c>
      <c r="AE11" s="226" t="str">
        <f t="shared" ref="AE11:AE16" si="4">IFERROR(IF(OR(AND(AA11="Muy Baja",AC11="Leve"),AND(AA11="Muy Baja",AC11="Menor"),AND(AA11="Baja",AC11="Leve")),"Bajo",IF(OR(AND(AA11="Muy baja",AC11="Moderado"),AND(AA11="Baja",AC11="Menor"),AND(AA11="Baja",AC11="Moderado"),AND(AA11="Media",AC11="Leve"),AND(AA11="Media",AC11="Menor"),AND(AA11="Media",AC11="Moderado"),AND(AA11="Alta",AC11="Leve"),AND(AA11="Alta",AC11="Menor")),"Moderado",IF(OR(AND(AA11="Muy Baja",AC11="Mayor"),AND(AA11="Baja",AC11="Mayor"),AND(AA11="Media",AC11="Mayor"),AND(AA11="Alta",AC11="Moderado"),AND(AA11="Alta",AC11="Mayor"),AND(AA11="Muy Alta",AC11="Leve"),AND(AA11="Muy Alta",AC11="Menor"),AND(AA11="Muy Alta",AC11="Moderado"),AND(AA11="Muy Alta",AC11="Mayor")),"Alto",IF(OR(AND(AA11="Muy Baja",AC11="Catastrófico"),AND(AA11="Baja",AC11="Catastrófico"),AND(AA11="Media",AC11="Catastrófico"),AND(AA11="Alta",AC11="Catastrófico"),AND(AA11="Muy Alta",AC11="Catastrófico")),"Extremo","")))),"")</f>
        <v>Bajo</v>
      </c>
      <c r="AF11" s="507"/>
    </row>
    <row r="12" spans="1:32" ht="72.75" customHeight="1" x14ac:dyDescent="0.3">
      <c r="A12" s="538"/>
      <c r="B12" s="523"/>
      <c r="C12" s="523"/>
      <c r="D12" s="520"/>
      <c r="E12" s="270" t="s">
        <v>260</v>
      </c>
      <c r="F12" s="286" t="s">
        <v>275</v>
      </c>
      <c r="G12" s="286" t="s">
        <v>276</v>
      </c>
      <c r="H12" s="526"/>
      <c r="I12" s="529"/>
      <c r="J12" s="535"/>
      <c r="K12" s="523"/>
      <c r="L12" s="532"/>
      <c r="M12" s="267">
        <f>IF(NOT(ISERROR(MATCH(L12,_xlfn.ANCHORARRAY(#REF!),0))),#REF!&amp;"Por favor no seleccionar los criterios de impacto",L12)</f>
        <v>0</v>
      </c>
      <c r="N12" s="529"/>
      <c r="O12" s="535"/>
      <c r="P12" s="529"/>
      <c r="Q12" s="192">
        <v>3</v>
      </c>
      <c r="R12" s="286"/>
      <c r="S12" s="222" t="str">
        <f>IF(OR(T12="Preventivo",T12="Detectivo"),"Probabilidad",IF(T12="Correctivo","Impacto",""))</f>
        <v/>
      </c>
      <c r="T12" s="223"/>
      <c r="U12" s="223"/>
      <c r="V12" s="224" t="str">
        <f t="shared" si="0"/>
        <v/>
      </c>
      <c r="W12" s="223"/>
      <c r="X12" s="223"/>
      <c r="Y12" s="223"/>
      <c r="Z12" s="225" t="str">
        <f>IFERROR(IF(AND(S11="Probabilidad",S12="Probabilidad"),(AB11-(+AB11*V12)),IF(AND(S11="Impacto",S12="Probabilidad"),(AB10-(+AB10*V12)),IF(S12="Impacto",AB11,""))),"")</f>
        <v/>
      </c>
      <c r="AA12" s="264" t="str">
        <f t="shared" si="1"/>
        <v/>
      </c>
      <c r="AB12" s="224" t="str">
        <f t="shared" si="2"/>
        <v/>
      </c>
      <c r="AC12" s="264" t="str">
        <f t="shared" si="3"/>
        <v/>
      </c>
      <c r="AD12" s="224" t="str">
        <f>IFERROR(IF(AND(S11="Impacto",S12="Impacto"),(AD11-(+AD11*V12)),IF(AND(S11="Probabilidad",S12="Impacto"),(AD10-(+AD10*V12)),IF(S12="Probabilidad",AD11,""))),"")</f>
        <v/>
      </c>
      <c r="AE12" s="226" t="str">
        <f t="shared" si="4"/>
        <v/>
      </c>
      <c r="AF12" s="507"/>
    </row>
    <row r="13" spans="1:32" ht="83.25" customHeight="1" x14ac:dyDescent="0.3">
      <c r="A13" s="538"/>
      <c r="B13" s="523"/>
      <c r="C13" s="523"/>
      <c r="D13" s="520"/>
      <c r="E13" s="270"/>
      <c r="F13" s="286"/>
      <c r="G13" s="286" t="s">
        <v>277</v>
      </c>
      <c r="H13" s="526"/>
      <c r="I13" s="529"/>
      <c r="J13" s="535"/>
      <c r="K13" s="523"/>
      <c r="L13" s="532"/>
      <c r="M13" s="267">
        <f>IF(NOT(ISERROR(MATCH(L13,_xlfn.ANCHORARRAY(#REF!),0))),#REF!&amp;"Por favor no seleccionar los criterios de impacto",L13)</f>
        <v>0</v>
      </c>
      <c r="N13" s="529"/>
      <c r="O13" s="535"/>
      <c r="P13" s="529"/>
      <c r="Q13" s="192">
        <v>4</v>
      </c>
      <c r="R13" s="286"/>
      <c r="S13" s="222" t="str">
        <f t="shared" ref="S13:S16" si="5">IF(OR(T13="Preventivo",T13="Detectivo"),"Probabilidad",IF(T13="Correctivo","Impacto",""))</f>
        <v/>
      </c>
      <c r="T13" s="223"/>
      <c r="U13" s="223"/>
      <c r="V13" s="224" t="str">
        <f t="shared" si="0"/>
        <v/>
      </c>
      <c r="W13" s="223"/>
      <c r="X13" s="223"/>
      <c r="Y13" s="223"/>
      <c r="Z13" s="225" t="str">
        <f t="shared" ref="Z13" si="6">IFERROR(IF(AND(S12="Probabilidad",S13="Probabilidad"),(AB12-(+AB12*V13)),IF(AND(S12="Impacto",S13="Probabilidad"),(AB11-(+AB11*V13)),IF(S13="Impacto",AB12,""))),"")</f>
        <v/>
      </c>
      <c r="AA13" s="264" t="str">
        <f t="shared" si="1"/>
        <v/>
      </c>
      <c r="AB13" s="224" t="str">
        <f t="shared" si="2"/>
        <v/>
      </c>
      <c r="AC13" s="264" t="str">
        <f t="shared" si="3"/>
        <v/>
      </c>
      <c r="AD13" s="224" t="str">
        <f t="shared" ref="AD13" si="7">IFERROR(IF(AND(S12="Impacto",S13="Impacto"),(AD12-(+AD12*V13)),IF(AND(S12="Probabilidad",S13="Impacto"),(AD11-(+AD11*V13)),IF(S13="Probabilidad",AD12,""))),"")</f>
        <v/>
      </c>
      <c r="AE13" s="226" t="str">
        <f>IFERROR(IF(OR(AND(AA13="Muy Baja",AC13="Leve"),AND(AA13="Muy Baja",AC13="Menor"),AND(AA13="Baja",AC13="Leve")),"Bajo",IF(OR(AND(AA13="Muy baja",AC13="Moderado"),AND(AA13="Baja",AC13="Menor"),AND(AA13="Baja",AC13="Moderado"),AND(AA13="Media",AC13="Leve"),AND(AA13="Media",AC13="Menor"),AND(AA13="Media",AC13="Moderado"),AND(AA13="Alta",AC13="Leve"),AND(AA13="Alta",AC13="Menor")),"Moderado",IF(OR(AND(AA13="Muy Baja",AC13="Mayor"),AND(AA13="Baja",AC13="Mayor"),AND(AA13="Media",AC13="Mayor"),AND(AA13="Alta",AC13="Moderado"),AND(AA13="Alta",AC13="Mayor"),AND(AA13="Muy Alta",AC13="Leve"),AND(AA13="Muy Alta",AC13="Menor"),AND(AA13="Muy Alta",AC13="Moderado"),AND(AA13="Muy Alta",AC13="Mayor")),"Alto",IF(OR(AND(AA13="Muy Baja",AC13="Catastrófico"),AND(AA13="Baja",AC13="Catastrófico"),AND(AA13="Media",AC13="Catastrófico"),AND(AA13="Alta",AC13="Catastrófico"),AND(AA13="Muy Alta",AC13="Catastrófico")),"Extremo","")))),"")</f>
        <v/>
      </c>
      <c r="AF13" s="507"/>
    </row>
    <row r="14" spans="1:32" ht="16.5" customHeight="1" x14ac:dyDescent="0.3">
      <c r="A14" s="538"/>
      <c r="B14" s="523"/>
      <c r="C14" s="523"/>
      <c r="D14" s="520"/>
      <c r="E14" s="270"/>
      <c r="F14" s="286"/>
      <c r="G14" s="286"/>
      <c r="H14" s="526"/>
      <c r="I14" s="529"/>
      <c r="J14" s="535"/>
      <c r="K14" s="523"/>
      <c r="L14" s="532"/>
      <c r="M14" s="267"/>
      <c r="N14" s="529"/>
      <c r="O14" s="535"/>
      <c r="P14" s="529"/>
      <c r="Q14" s="192">
        <v>5</v>
      </c>
      <c r="R14" s="286"/>
      <c r="S14" s="222"/>
      <c r="T14" s="223"/>
      <c r="U14" s="223"/>
      <c r="V14" s="224"/>
      <c r="W14" s="223"/>
      <c r="X14" s="223"/>
      <c r="Y14" s="223"/>
      <c r="Z14" s="225"/>
      <c r="AA14" s="264"/>
      <c r="AB14" s="224"/>
      <c r="AC14" s="264"/>
      <c r="AD14" s="224"/>
      <c r="AE14" s="226"/>
      <c r="AF14" s="507"/>
    </row>
    <row r="15" spans="1:32" ht="14.25" customHeight="1" x14ac:dyDescent="0.3">
      <c r="A15" s="538"/>
      <c r="B15" s="523"/>
      <c r="C15" s="523"/>
      <c r="D15" s="520"/>
      <c r="E15" s="270"/>
      <c r="F15" s="286"/>
      <c r="G15" s="286"/>
      <c r="H15" s="526"/>
      <c r="I15" s="529"/>
      <c r="J15" s="535"/>
      <c r="K15" s="523"/>
      <c r="L15" s="532"/>
      <c r="M15" s="267">
        <f>IF(NOT(ISERROR(MATCH(L15,_xlfn.ANCHORARRAY(#REF!),0))),#REF!&amp;"Por favor no seleccionar los criterios de impacto",L15)</f>
        <v>0</v>
      </c>
      <c r="N15" s="529"/>
      <c r="O15" s="535"/>
      <c r="P15" s="529"/>
      <c r="Q15" s="192">
        <v>6</v>
      </c>
      <c r="R15" s="286"/>
      <c r="S15" s="222" t="str">
        <f t="shared" si="5"/>
        <v/>
      </c>
      <c r="T15" s="223"/>
      <c r="U15" s="223"/>
      <c r="V15" s="224" t="str">
        <f t="shared" si="0"/>
        <v/>
      </c>
      <c r="W15" s="223"/>
      <c r="X15" s="223"/>
      <c r="Y15" s="223"/>
      <c r="Z15" s="225" t="str">
        <f>IFERROR(IF(AND(S13="Probabilidad",S15="Probabilidad"),(AB13-(+AB13*V15)),IF(AND(S13="Impacto",S15="Probabilidad"),(AB12-(+AB12*V15)),IF(S15="Impacto",AB13,""))),"")</f>
        <v/>
      </c>
      <c r="AA15" s="264" t="str">
        <f t="shared" si="1"/>
        <v/>
      </c>
      <c r="AB15" s="224" t="str">
        <f t="shared" si="2"/>
        <v/>
      </c>
      <c r="AC15" s="264" t="str">
        <f t="shared" si="3"/>
        <v/>
      </c>
      <c r="AD15" s="224" t="str">
        <f>IFERROR(IF(AND(S13="Impacto",S15="Impacto"),(AD13-(+AD13*V15)),IF(AND(S13="Probabilidad",S15="Impacto"),(AD12-(+AD12*V15)),IF(S15="Probabilidad",AD13,""))),"")</f>
        <v/>
      </c>
      <c r="AE15" s="226" t="str">
        <f t="shared" si="4"/>
        <v/>
      </c>
      <c r="AF15" s="507"/>
    </row>
    <row r="16" spans="1:32" ht="19.5" customHeight="1" x14ac:dyDescent="0.3">
      <c r="A16" s="539"/>
      <c r="B16" s="524"/>
      <c r="C16" s="524"/>
      <c r="D16" s="521"/>
      <c r="E16" s="271"/>
      <c r="F16" s="289"/>
      <c r="G16" s="289"/>
      <c r="H16" s="527"/>
      <c r="I16" s="530"/>
      <c r="J16" s="536"/>
      <c r="K16" s="524"/>
      <c r="L16" s="533"/>
      <c r="M16" s="268">
        <f>IF(NOT(ISERROR(MATCH(L16,_xlfn.ANCHORARRAY(#REF!),0))),J23&amp;"Por favor no seleccionar los criterios de impacto",L16)</f>
        <v>0</v>
      </c>
      <c r="N16" s="530"/>
      <c r="O16" s="536"/>
      <c r="P16" s="530"/>
      <c r="Q16" s="193">
        <v>7</v>
      </c>
      <c r="R16" s="289"/>
      <c r="S16" s="228" t="str">
        <f t="shared" si="5"/>
        <v/>
      </c>
      <c r="T16" s="229"/>
      <c r="U16" s="229"/>
      <c r="V16" s="230" t="str">
        <f t="shared" si="0"/>
        <v/>
      </c>
      <c r="W16" s="229"/>
      <c r="X16" s="229"/>
      <c r="Y16" s="229"/>
      <c r="Z16" s="231" t="str">
        <f>IFERROR(IF(AND(S15="Probabilidad",S16="Probabilidad"),(AB15-(+AB15*V16)),IF(AND(S15="Impacto",S16="Probabilidad"),(AB13-(+AB13*V16)),IF(S16="Impacto",AB15,""))),"")</f>
        <v/>
      </c>
      <c r="AA16" s="265" t="str">
        <f t="shared" si="1"/>
        <v/>
      </c>
      <c r="AB16" s="230" t="str">
        <f t="shared" si="2"/>
        <v/>
      </c>
      <c r="AC16" s="265" t="str">
        <f t="shared" si="3"/>
        <v/>
      </c>
      <c r="AD16" s="230" t="str">
        <f>IFERROR(IF(AND(S15="Impacto",S16="Impacto"),(AD15-(+AD15*V16)),IF(AND(S15="Probabilidad",S16="Impacto"),(AD13-(+AD13*V16)),IF(S16="Probabilidad",AD15,""))),"")</f>
        <v/>
      </c>
      <c r="AE16" s="232" t="str">
        <f t="shared" si="4"/>
        <v/>
      </c>
      <c r="AF16" s="508"/>
    </row>
    <row r="17" spans="1:32" ht="57.75" customHeight="1" x14ac:dyDescent="0.3">
      <c r="A17" s="537">
        <v>2</v>
      </c>
      <c r="B17" s="522" t="s">
        <v>103</v>
      </c>
      <c r="C17" s="522" t="s">
        <v>258</v>
      </c>
      <c r="D17" s="519" t="s">
        <v>278</v>
      </c>
      <c r="E17" s="269" t="s">
        <v>260</v>
      </c>
      <c r="F17" s="288" t="s">
        <v>279</v>
      </c>
      <c r="G17" s="288" t="s">
        <v>280</v>
      </c>
      <c r="H17" s="525">
        <v>3</v>
      </c>
      <c r="I17" s="528" t="str">
        <f>IF(H17&lt;=0,"",IF(H17&lt;=2,"Muy Baja",IF(H17&lt;=24,"Baja",IF(H17&lt;=500,"Media",IF(H17&lt;=5000,"Alta","Muy Alta")))))</f>
        <v>Baja</v>
      </c>
      <c r="J17" s="534">
        <f>IF(I17="","",IF(I17="Muy Baja",0.2,IF(I17="Baja",0.4,IF(I17="Media",0.6,IF(I17="Alta",0.8,IF(I17="Muy Alta",1,))))))</f>
        <v>0.4</v>
      </c>
      <c r="K17" s="522" t="s">
        <v>263</v>
      </c>
      <c r="L17" s="531" t="s">
        <v>281</v>
      </c>
      <c r="M17" s="266" t="str">
        <f>IF(NOT(ISERROR(MATCH(L17,'Tabla Impacto'!$B$221:$B$223,0))),'Tabla Impacto'!$F$223&amp;"Por favor no seleccionar los criterios de impacto(Afectación Económica o presupuestal y Pérdida Reputacional)",L17)</f>
        <v xml:space="preserve">     El riesgo afecta la imagen de la entidad con algunos usuarios de relevancia frente al logro de los objetivos</v>
      </c>
      <c r="N17" s="528" t="str">
        <f>IF(OR(M17='Tabla Impacto'!$C$11,M17='Tabla Impacto'!$D$11),"Leve",IF(OR(M17='Tabla Impacto'!$C$12,M17='Tabla Impacto'!$D$12),"Menor",IF(OR(M17='Tabla Impacto'!$C$13,M17='Tabla Impacto'!$D$13),"Moderado",IF(OR(M17='Tabla Impacto'!$C$14,M17='Tabla Impacto'!$D$14),"Mayor",IF(OR(M17='Tabla Impacto'!$C$15,M17='Tabla Impacto'!$D$15),"Catastrófico","")))))</f>
        <v>Moderado</v>
      </c>
      <c r="O17" s="534">
        <f>IF(N17="","",IF(N17="Leve",0.2,IF(N17="Menor",0.4,IF(N17="Moderado",0.6,IF(N17="Mayor",0.8,IF(N17="Catastrófico",1,))))))</f>
        <v>0.6</v>
      </c>
      <c r="P17" s="528" t="str">
        <f>IF(OR(AND(I17="Muy Baja",N17="Leve"),AND(I17="Muy Baja",N17="Menor"),AND(I17="Baja",N17="Leve")),"Bajo",IF(OR(AND(I17="Muy baja",N17="Moderado"),AND(I17="Baja",N17="Menor"),AND(I17="Baja",N17="Moderado"),AND(I17="Media",N17="Leve"),AND(I17="Media",N17="Menor"),AND(I17="Media",N17="Moderado"),AND(I17="Alta",N17="Leve"),AND(I17="Alta",N17="Menor")),"Moderado",IF(OR(AND(I17="Muy Baja",N17="Mayor"),AND(I17="Baja",N17="Mayor"),AND(I17="Media",N17="Mayor"),AND(I17="Alta",N17="Moderado"),AND(I17="Alta",N17="Mayor"),AND(I17="Muy Alta",N17="Leve"),AND(I17="Muy Alta",N17="Menor"),AND(I17="Muy Alta",N17="Moderado"),AND(I17="Muy Alta",N17="Mayor")),"Alto",IF(OR(AND(I17="Muy Baja",N17="Catastrófico"),AND(I17="Baja",N17="Catastrófico"),AND(I17="Media",N17="Catastrófico"),AND(I17="Alta",N17="Catastrófico"),AND(I17="Muy Alta",N17="Catastrófico")),"Extremo",""))))</f>
        <v>Moderado</v>
      </c>
      <c r="Q17" s="191">
        <v>1</v>
      </c>
      <c r="R17" s="288" t="s">
        <v>282</v>
      </c>
      <c r="S17" s="216" t="str">
        <f>IF(OR(T17="Preventivo",T17="Detectivo"),"Probabilidad",IF(T17="Correctivo","Impacto",""))</f>
        <v>Probabilidad</v>
      </c>
      <c r="T17" s="217" t="s">
        <v>266</v>
      </c>
      <c r="U17" s="217" t="s">
        <v>267</v>
      </c>
      <c r="V17" s="234" t="str">
        <f>IF(AND(T17="Preventivo",U17="Automático"),"50%",IF(AND(T17="Preventivo",U17="Manual"),"40%",IF(AND(T17="Detectivo",U17="Automático"),"40%",IF(AND(T17="Detectivo",U17="Manual"),"30%",IF(AND(T17="Correctivo",U17="Automático"),"35%",IF(AND(T17="Correctivo",U17="Manual"),"25%",""))))))</f>
        <v>40%</v>
      </c>
      <c r="W17" s="217" t="s">
        <v>268</v>
      </c>
      <c r="X17" s="217" t="s">
        <v>269</v>
      </c>
      <c r="Y17" s="217" t="s">
        <v>270</v>
      </c>
      <c r="Z17" s="237">
        <f>IFERROR(IF(S17="Probabilidad",(J17-(+J17*V17)),IF(S17="Impacto",J17,"")),"")</f>
        <v>0.24</v>
      </c>
      <c r="AA17" s="263" t="str">
        <f>IFERROR(IF(Z17="","",IF(Z17&lt;=0.2,"Muy Baja",IF(Z17&lt;=0.4,"Baja",IF(Z17&lt;=0.6,"Media",IF(Z17&lt;=0.8,"Alta","Muy Alta"))))),"")</f>
        <v>Baja</v>
      </c>
      <c r="AB17" s="218">
        <f>+Z17</f>
        <v>0.24</v>
      </c>
      <c r="AC17" s="263" t="str">
        <f>IFERROR(IF(AD17="","",IF(AD17&lt;=0.2,"Leve",IF(AD17&lt;=0.4,"Menor",IF(AD17&lt;=0.6,"Moderado",IF(AD17&lt;=0.8,"Mayor","Catastrófico"))))),"")</f>
        <v>Moderado</v>
      </c>
      <c r="AD17" s="218">
        <f>IFERROR(IF(S17="Impacto",(O17-(+O17*V17)),IF(S17="Probabilidad",O17,"")),"")</f>
        <v>0.6</v>
      </c>
      <c r="AE17" s="220" t="str">
        <f>IFERROR(IF(OR(AND(AA17="Muy Baja",AC17="Leve"),AND(AA17="Muy Baja",AC17="Menor"),AND(AA17="Baja",AC17="Leve")),"Bajo",IF(OR(AND(AA17="Muy baja",AC17="Moderado"),AND(AA17="Baja",AC17="Menor"),AND(AA17="Baja",AC17="Moderado"),AND(AA17="Media",AC17="Leve"),AND(AA17="Media",AC17="Menor"),AND(AA17="Media",AC17="Moderado"),AND(AA17="Alta",AC17="Leve"),AND(AA17="Alta",AC17="Menor")),"Moderado",IF(OR(AND(AA17="Muy Baja",AC17="Mayor"),AND(AA17="Baja",AC17="Mayor"),AND(AA17="Media",AC17="Mayor"),AND(AA17="Alta",AC17="Moderado"),AND(AA17="Alta",AC17="Mayor"),AND(AA17="Muy Alta",AC17="Leve"),AND(AA17="Muy Alta",AC17="Menor"),AND(AA17="Muy Alta",AC17="Moderado"),AND(AA17="Muy Alta",AC17="Mayor")),"Alto",IF(OR(AND(AA17="Muy Baja",AC17="Catastrófico"),AND(AA17="Baja",AC17="Catastrófico"),AND(AA17="Media",AC17="Catastrófico"),AND(AA17="Alta",AC17="Catastrófico"),AND(AA17="Muy Alta",AC17="Catastrófico")),"Extremo","")))),"")</f>
        <v>Moderado</v>
      </c>
      <c r="AF17" s="506" t="s">
        <v>271</v>
      </c>
    </row>
    <row r="18" spans="1:32" ht="64.5" x14ac:dyDescent="0.3">
      <c r="A18" s="538"/>
      <c r="B18" s="523"/>
      <c r="C18" s="523"/>
      <c r="D18" s="520"/>
      <c r="E18" s="270" t="s">
        <v>260</v>
      </c>
      <c r="F18" s="286" t="s">
        <v>283</v>
      </c>
      <c r="G18" s="286" t="s">
        <v>284</v>
      </c>
      <c r="H18" s="526"/>
      <c r="I18" s="529"/>
      <c r="J18" s="535"/>
      <c r="K18" s="523"/>
      <c r="L18" s="532"/>
      <c r="M18" s="267">
        <f>IF(NOT(ISERROR(MATCH(L18,_xlfn.ANCHORARRAY(D23),0))),J25&amp;"Por favor no seleccionar los criterios de impacto",L18)</f>
        <v>0</v>
      </c>
      <c r="N18" s="529"/>
      <c r="O18" s="535"/>
      <c r="P18" s="529"/>
      <c r="Q18" s="192">
        <v>2</v>
      </c>
      <c r="R18" s="286" t="s">
        <v>285</v>
      </c>
      <c r="S18" s="222" t="str">
        <f>IF(OR(T18="Preventivo",T18="Detectivo"),"Probabilidad",IF(T18="Correctivo","Impacto",""))</f>
        <v>Probabilidad</v>
      </c>
      <c r="T18" s="223" t="s">
        <v>266</v>
      </c>
      <c r="U18" s="223" t="s">
        <v>267</v>
      </c>
      <c r="V18" s="235" t="str">
        <f t="shared" ref="V18:V22" si="8">IF(AND(T18="Preventivo",U18="Automático"),"50%",IF(AND(T18="Preventivo",U18="Manual"),"40%",IF(AND(T18="Detectivo",U18="Automático"),"40%",IF(AND(T18="Detectivo",U18="Manual"),"30%",IF(AND(T18="Correctivo",U18="Automático"),"35%",IF(AND(T18="Correctivo",U18="Manual"),"25%",""))))))</f>
        <v>40%</v>
      </c>
      <c r="W18" s="223" t="s">
        <v>268</v>
      </c>
      <c r="X18" s="223" t="s">
        <v>269</v>
      </c>
      <c r="Y18" s="223" t="s">
        <v>270</v>
      </c>
      <c r="Z18" s="238">
        <f>IFERROR(IF(AND(S17="Probabilidad",S18="Probabilidad"),(AB17-(+AB17*V18)),IF(S18="Probabilidad",(J17-(+J17*V18)),IF(S18="Impacto",AB17,""))),"")</f>
        <v>0.14399999999999999</v>
      </c>
      <c r="AA18" s="264" t="str">
        <f t="shared" ref="AA18:AA20" si="9">IFERROR(IF(Z18="","",IF(Z18&lt;=0.2,"Muy Baja",IF(Z18&lt;=0.4,"Baja",IF(Z18&lt;=0.6,"Media",IF(Z18&lt;=0.8,"Alta","Muy Alta"))))),"")</f>
        <v>Muy Baja</v>
      </c>
      <c r="AB18" s="224">
        <f t="shared" ref="AB18:AB22" si="10">+Z18</f>
        <v>0.14399999999999999</v>
      </c>
      <c r="AC18" s="264" t="str">
        <f t="shared" ref="AC18:AC22" si="11">IFERROR(IF(AD18="","",IF(AD18&lt;=0.2,"Leve",IF(AD18&lt;=0.4,"Menor",IF(AD18&lt;=0.6,"Moderado",IF(AD18&lt;=0.8,"Mayor","Catastrófico"))))),"")</f>
        <v>Moderado</v>
      </c>
      <c r="AD18" s="224">
        <f>IFERROR(IF(AND(S17="Impacto",S18="Impacto"),(AD17-(+AD17*V18)),IF(S18="Impacto",(O17-(+O17*V18)),IF(S18="Probabilidad",AD17,""))),"")</f>
        <v>0.6</v>
      </c>
      <c r="AE18" s="226" t="str">
        <f t="shared" ref="AE18:AE19" si="12">IFERROR(IF(OR(AND(AA18="Muy Baja",AC18="Leve"),AND(AA18="Muy Baja",AC18="Menor"),AND(AA18="Baja",AC18="Leve")),"Bajo",IF(OR(AND(AA18="Muy baja",AC18="Moderado"),AND(AA18="Baja",AC18="Menor"),AND(AA18="Baja",AC18="Moderado"),AND(AA18="Media",AC18="Leve"),AND(AA18="Media",AC18="Menor"),AND(AA18="Media",AC18="Moderado"),AND(AA18="Alta",AC18="Leve"),AND(AA18="Alta",AC18="Menor")),"Moderado",IF(OR(AND(AA18="Muy Baja",AC18="Mayor"),AND(AA18="Baja",AC18="Mayor"),AND(AA18="Media",AC18="Mayor"),AND(AA18="Alta",AC18="Moderado"),AND(AA18="Alta",AC18="Mayor"),AND(AA18="Muy Alta",AC18="Leve"),AND(AA18="Muy Alta",AC18="Menor"),AND(AA18="Muy Alta",AC18="Moderado"),AND(AA18="Muy Alta",AC18="Mayor")),"Alto",IF(OR(AND(AA18="Muy Baja",AC18="Catastrófico"),AND(AA18="Baja",AC18="Catastrófico"),AND(AA18="Media",AC18="Catastrófico"),AND(AA18="Alta",AC18="Catastrófico"),AND(AA18="Muy Alta",AC18="Catastrófico")),"Extremo","")))),"")</f>
        <v>Moderado</v>
      </c>
      <c r="AF18" s="507"/>
    </row>
    <row r="19" spans="1:32" ht="74.25" customHeight="1" x14ac:dyDescent="0.3">
      <c r="A19" s="538"/>
      <c r="B19" s="523"/>
      <c r="C19" s="523"/>
      <c r="D19" s="520"/>
      <c r="E19" s="270" t="s">
        <v>260</v>
      </c>
      <c r="F19" s="286" t="s">
        <v>286</v>
      </c>
      <c r="G19" s="286" t="s">
        <v>287</v>
      </c>
      <c r="H19" s="526"/>
      <c r="I19" s="529"/>
      <c r="J19" s="535"/>
      <c r="K19" s="523"/>
      <c r="L19" s="532"/>
      <c r="M19" s="267">
        <f>IF(NOT(ISERROR(MATCH(L19,_xlfn.ANCHORARRAY(D24),0))),J26&amp;"Por favor no seleccionar los criterios de impacto",L19)</f>
        <v>0</v>
      </c>
      <c r="N19" s="529"/>
      <c r="O19" s="535"/>
      <c r="P19" s="529"/>
      <c r="Q19" s="192">
        <v>3</v>
      </c>
      <c r="R19" s="286" t="s">
        <v>288</v>
      </c>
      <c r="S19" s="222" t="str">
        <f>IF(OR(T19="Preventivo",T19="Detectivo"),"Probabilidad",IF(T19="Correctivo","Impacto",""))</f>
        <v>Probabilidad</v>
      </c>
      <c r="T19" s="223" t="s">
        <v>266</v>
      </c>
      <c r="U19" s="223" t="s">
        <v>289</v>
      </c>
      <c r="V19" s="235" t="str">
        <f t="shared" si="8"/>
        <v>50%</v>
      </c>
      <c r="W19" s="223" t="s">
        <v>290</v>
      </c>
      <c r="X19" s="223" t="s">
        <v>269</v>
      </c>
      <c r="Y19" s="223" t="s">
        <v>270</v>
      </c>
      <c r="Z19" s="238">
        <f>IFERROR(IF(AND(S18="Probabilidad",S19="Probabilidad"),(AB18-(+AB18*V19)),IF(AND(S18="Impacto",S19="Probabilidad"),(AB17-(+AB17*V19)),IF(S19="Impacto",AB18,""))),"")</f>
        <v>7.1999999999999995E-2</v>
      </c>
      <c r="AA19" s="264" t="str">
        <f t="shared" si="9"/>
        <v>Muy Baja</v>
      </c>
      <c r="AB19" s="224">
        <f t="shared" si="10"/>
        <v>7.1999999999999995E-2</v>
      </c>
      <c r="AC19" s="264" t="str">
        <f t="shared" si="11"/>
        <v>Moderado</v>
      </c>
      <c r="AD19" s="224">
        <f>IFERROR(IF(AND(S18="Impacto",S19="Impacto"),(AD18-(+AD18*V19)),IF(AND(S18="Probabilidad",S19="Impacto"),(AD17-(+AD17*V19)),IF(S19="Probabilidad",AD18,""))),"")</f>
        <v>0.6</v>
      </c>
      <c r="AE19" s="226" t="str">
        <f t="shared" si="12"/>
        <v>Moderado</v>
      </c>
      <c r="AF19" s="507"/>
    </row>
    <row r="20" spans="1:32" ht="72" customHeight="1" x14ac:dyDescent="0.3">
      <c r="A20" s="538"/>
      <c r="B20" s="523"/>
      <c r="C20" s="523"/>
      <c r="D20" s="520"/>
      <c r="E20" s="270"/>
      <c r="F20" s="339" t="s">
        <v>291</v>
      </c>
      <c r="G20" s="339" t="s">
        <v>292</v>
      </c>
      <c r="H20" s="526"/>
      <c r="I20" s="529"/>
      <c r="J20" s="535"/>
      <c r="K20" s="523"/>
      <c r="L20" s="532"/>
      <c r="M20" s="267">
        <f>IF(NOT(ISERROR(MATCH(L20,_xlfn.ANCHORARRAY(D25),0))),J27&amp;"Por favor no seleccionar los criterios de impacto",L20)</f>
        <v>0</v>
      </c>
      <c r="N20" s="529"/>
      <c r="O20" s="535"/>
      <c r="P20" s="529"/>
      <c r="Q20" s="192">
        <v>4</v>
      </c>
      <c r="R20" s="286" t="s">
        <v>293</v>
      </c>
      <c r="S20" s="222" t="str">
        <f t="shared" ref="S20:S22" si="13">IF(OR(T20="Preventivo",T20="Detectivo"),"Probabilidad",IF(T20="Correctivo","Impacto",""))</f>
        <v>Probabilidad</v>
      </c>
      <c r="T20" s="223" t="s">
        <v>266</v>
      </c>
      <c r="U20" s="223" t="s">
        <v>267</v>
      </c>
      <c r="V20" s="235" t="str">
        <f t="shared" si="8"/>
        <v>40%</v>
      </c>
      <c r="W20" s="223" t="s">
        <v>290</v>
      </c>
      <c r="X20" s="223" t="s">
        <v>269</v>
      </c>
      <c r="Y20" s="223" t="s">
        <v>270</v>
      </c>
      <c r="Z20" s="238">
        <f t="shared" ref="Z20:Z22" si="14">IFERROR(IF(AND(S19="Probabilidad",S20="Probabilidad"),(AB19-(+AB19*V20)),IF(AND(S19="Impacto",S20="Probabilidad"),(AB18-(+AB18*V20)),IF(S20="Impacto",AB19,""))),"")</f>
        <v>4.3199999999999995E-2</v>
      </c>
      <c r="AA20" s="264" t="str">
        <f t="shared" si="9"/>
        <v>Muy Baja</v>
      </c>
      <c r="AB20" s="224">
        <f t="shared" si="10"/>
        <v>4.3199999999999995E-2</v>
      </c>
      <c r="AC20" s="264" t="str">
        <f t="shared" si="11"/>
        <v>Moderado</v>
      </c>
      <c r="AD20" s="224">
        <f t="shared" ref="AD20:AD22" si="15">IFERROR(IF(AND(S19="Impacto",S20="Impacto"),(AD19-(+AD19*V20)),IF(AND(S19="Probabilidad",S20="Impacto"),(AD18-(+AD18*V20)),IF(S20="Probabilidad",AD19,""))),"")</f>
        <v>0.6</v>
      </c>
      <c r="AE20" s="226" t="str">
        <f>IFERROR(IF(OR(AND(AA20="Muy Baja",AC20="Leve"),AND(AA20="Muy Baja",AC20="Menor"),AND(AA20="Baja",AC20="Leve")),"Bajo",IF(OR(AND(AA20="Muy baja",AC20="Moderado"),AND(AA20="Baja",AC20="Menor"),AND(AA20="Baja",AC20="Moderado"),AND(AA20="Media",AC20="Leve"),AND(AA20="Media",AC20="Menor"),AND(AA20="Media",AC20="Moderado"),AND(AA20="Alta",AC20="Leve"),AND(AA20="Alta",AC20="Menor")),"Moderado",IF(OR(AND(AA20="Muy Baja",AC20="Mayor"),AND(AA20="Baja",AC20="Mayor"),AND(AA20="Media",AC20="Mayor"),AND(AA20="Alta",AC20="Moderado"),AND(AA20="Alta",AC20="Mayor"),AND(AA20="Muy Alta",AC20="Leve"),AND(AA20="Muy Alta",AC20="Menor"),AND(AA20="Muy Alta",AC20="Moderado"),AND(AA20="Muy Alta",AC20="Mayor")),"Alto",IF(OR(AND(AA20="Muy Baja",AC20="Catastrófico"),AND(AA20="Baja",AC20="Catastrófico"),AND(AA20="Media",AC20="Catastrófico"),AND(AA20="Alta",AC20="Catastrófico"),AND(AA20="Muy Alta",AC20="Catastrófico")),"Extremo","")))),"")</f>
        <v>Moderado</v>
      </c>
      <c r="AF20" s="507"/>
    </row>
    <row r="21" spans="1:32" ht="120" customHeight="1" x14ac:dyDescent="0.3">
      <c r="A21" s="538"/>
      <c r="B21" s="523"/>
      <c r="C21" s="523"/>
      <c r="D21" s="520"/>
      <c r="E21" s="270"/>
      <c r="F21" s="294"/>
      <c r="G21" s="286" t="s">
        <v>294</v>
      </c>
      <c r="H21" s="526"/>
      <c r="I21" s="529"/>
      <c r="J21" s="535"/>
      <c r="K21" s="523"/>
      <c r="L21" s="532"/>
      <c r="M21" s="267">
        <f>IF(NOT(ISERROR(MATCH(L21,_xlfn.ANCHORARRAY(D26),0))),J28&amp;"Por favor no seleccionar los criterios de impacto",L21)</f>
        <v>0</v>
      </c>
      <c r="N21" s="529"/>
      <c r="O21" s="535"/>
      <c r="P21" s="529"/>
      <c r="Q21" s="192">
        <v>5</v>
      </c>
      <c r="R21" s="286" t="s">
        <v>295</v>
      </c>
      <c r="S21" s="222" t="str">
        <f t="shared" si="13"/>
        <v>Probabilidad</v>
      </c>
      <c r="T21" s="223" t="s">
        <v>266</v>
      </c>
      <c r="U21" s="223" t="s">
        <v>267</v>
      </c>
      <c r="V21" s="235" t="str">
        <f t="shared" si="8"/>
        <v>40%</v>
      </c>
      <c r="W21" s="223" t="s">
        <v>268</v>
      </c>
      <c r="X21" s="223" t="s">
        <v>269</v>
      </c>
      <c r="Y21" s="223" t="s">
        <v>270</v>
      </c>
      <c r="Z21" s="238">
        <f t="shared" si="14"/>
        <v>2.5919999999999995E-2</v>
      </c>
      <c r="AA21" s="264" t="str">
        <f>IFERROR(IF(Z21="","",IF(Z21&lt;=0.2,"Muy Baja",IF(Z21&lt;=0.4,"Baja",IF(Z21&lt;=0.6,"Media",IF(Z21&lt;=0.8,"Alta","Muy Alta"))))),"")</f>
        <v>Muy Baja</v>
      </c>
      <c r="AB21" s="224">
        <f t="shared" si="10"/>
        <v>2.5919999999999995E-2</v>
      </c>
      <c r="AC21" s="264" t="str">
        <f t="shared" si="11"/>
        <v>Moderado</v>
      </c>
      <c r="AD21" s="224">
        <f t="shared" si="15"/>
        <v>0.6</v>
      </c>
      <c r="AE21" s="226" t="str">
        <f t="shared" ref="AE21:AE22" si="16">IFERROR(IF(OR(AND(AA21="Muy Baja",AC21="Leve"),AND(AA21="Muy Baja",AC21="Menor"),AND(AA21="Baja",AC21="Leve")),"Bajo",IF(OR(AND(AA21="Muy baja",AC21="Moderado"),AND(AA21="Baja",AC21="Menor"),AND(AA21="Baja",AC21="Moderado"),AND(AA21="Media",AC21="Leve"),AND(AA21="Media",AC21="Menor"),AND(AA21="Media",AC21="Moderado"),AND(AA21="Alta",AC21="Leve"),AND(AA21="Alta",AC21="Menor")),"Moderado",IF(OR(AND(AA21="Muy Baja",AC21="Mayor"),AND(AA21="Baja",AC21="Mayor"),AND(AA21="Media",AC21="Mayor"),AND(AA21="Alta",AC21="Moderado"),AND(AA21="Alta",AC21="Mayor"),AND(AA21="Muy Alta",AC21="Leve"),AND(AA21="Muy Alta",AC21="Menor"),AND(AA21="Muy Alta",AC21="Moderado"),AND(AA21="Muy Alta",AC21="Mayor")),"Alto",IF(OR(AND(AA21="Muy Baja",AC21="Catastrófico"),AND(AA21="Baja",AC21="Catastrófico"),AND(AA21="Media",AC21="Catastrófico"),AND(AA21="Alta",AC21="Catastrófico"),AND(AA21="Muy Alta",AC21="Catastrófico")),"Extremo","")))),"")</f>
        <v>Moderado</v>
      </c>
      <c r="AF21" s="507"/>
    </row>
    <row r="22" spans="1:32" ht="44.25" customHeight="1" thickBot="1" x14ac:dyDescent="0.35">
      <c r="A22" s="539"/>
      <c r="B22" s="524"/>
      <c r="C22" s="524"/>
      <c r="D22" s="521"/>
      <c r="E22" s="271"/>
      <c r="F22" s="295"/>
      <c r="G22" s="289" t="s">
        <v>296</v>
      </c>
      <c r="H22" s="527"/>
      <c r="I22" s="530"/>
      <c r="J22" s="536"/>
      <c r="K22" s="524"/>
      <c r="L22" s="533"/>
      <c r="M22" s="268">
        <f>IF(NOT(ISERROR(MATCH(L22,_xlfn.ANCHORARRAY(D27),0))),J29&amp;"Por favor no seleccionar los criterios de impacto",L22)</f>
        <v>0</v>
      </c>
      <c r="N22" s="530"/>
      <c r="O22" s="536"/>
      <c r="P22" s="530"/>
      <c r="Q22" s="193">
        <v>6</v>
      </c>
      <c r="R22" s="289"/>
      <c r="S22" s="228" t="str">
        <f t="shared" si="13"/>
        <v/>
      </c>
      <c r="T22" s="229"/>
      <c r="U22" s="229"/>
      <c r="V22" s="236" t="str">
        <f t="shared" si="8"/>
        <v/>
      </c>
      <c r="W22" s="229"/>
      <c r="X22" s="229"/>
      <c r="Y22" s="229"/>
      <c r="Z22" s="239" t="str">
        <f t="shared" si="14"/>
        <v/>
      </c>
      <c r="AA22" s="265" t="str">
        <f t="shared" ref="AA22" si="17">IFERROR(IF(Z22="","",IF(Z22&lt;=0.2,"Muy Baja",IF(Z22&lt;=0.4,"Baja",IF(Z22&lt;=0.6,"Media",IF(Z22&lt;=0.8,"Alta","Muy Alta"))))),"")</f>
        <v/>
      </c>
      <c r="AB22" s="230" t="str">
        <f t="shared" si="10"/>
        <v/>
      </c>
      <c r="AC22" s="265" t="str">
        <f t="shared" si="11"/>
        <v/>
      </c>
      <c r="AD22" s="230" t="str">
        <f t="shared" si="15"/>
        <v/>
      </c>
      <c r="AE22" s="232" t="str">
        <f t="shared" si="16"/>
        <v/>
      </c>
      <c r="AF22" s="508"/>
    </row>
    <row r="23" spans="1:32" ht="82.5" x14ac:dyDescent="0.3">
      <c r="A23" s="537">
        <v>3</v>
      </c>
      <c r="B23" s="522" t="s">
        <v>103</v>
      </c>
      <c r="C23" s="522" t="s">
        <v>258</v>
      </c>
      <c r="D23" s="519" t="s">
        <v>297</v>
      </c>
      <c r="E23" s="269" t="s">
        <v>260</v>
      </c>
      <c r="F23" s="288" t="s">
        <v>298</v>
      </c>
      <c r="G23" s="288" t="s">
        <v>299</v>
      </c>
      <c r="H23" s="525">
        <v>25</v>
      </c>
      <c r="I23" s="528" t="str">
        <f>IF(H23&lt;=0,"",IF(H23&lt;=2,"Muy Baja",IF(H23&lt;=24,"Baja",IF(H23&lt;=500,"Media",IF(H23&lt;=5000,"Alta","Muy Alta")))))</f>
        <v>Media</v>
      </c>
      <c r="J23" s="534">
        <f>IF(I23="","",IF(I23="Muy Baja",0.2,IF(I23="Baja",0.4,IF(I23="Media",0.6,IF(I23="Alta",0.8,IF(I23="Muy Alta",1,))))))</f>
        <v>0.6</v>
      </c>
      <c r="K23" s="522" t="s">
        <v>263</v>
      </c>
      <c r="L23" s="531" t="s">
        <v>300</v>
      </c>
      <c r="M23" s="266" t="str">
        <f>IF(NOT(ISERROR(MATCH(L23,'Tabla Impacto'!$B$221:$B$223,0))),'Tabla Impacto'!$F$223&amp;"Por favor no seleccionar los criterios de impacto(Afectación Económica o presupuestal y Pérdida Reputacional)",L23)</f>
        <v xml:space="preserve">     El riesgo afecta la imagen de de la entidad con efecto publicitario sostenido a nivel de sector administrativo, nivel departamental o municipal</v>
      </c>
      <c r="N23" s="528" t="str">
        <f>IF(OR(M23='Tabla Impacto'!$C$11,M23='Tabla Impacto'!$D$11),"Leve",IF(OR(M23='Tabla Impacto'!$C$12,M23='Tabla Impacto'!$D$12),"Menor",IF(OR(M23='Tabla Impacto'!$C$13,M23='Tabla Impacto'!$D$13),"Moderado",IF(OR(M23='Tabla Impacto'!$C$14,M23='Tabla Impacto'!$D$14),"Mayor",IF(OR(M23='Tabla Impacto'!$C$15,M23='Tabla Impacto'!$D$15),"Catastrófico","")))))</f>
        <v>Mayor</v>
      </c>
      <c r="O23" s="534">
        <f>IF(N23="","",IF(N23="Leve",0.2,IF(N23="Menor",0.4,IF(N23="Moderado",0.6,IF(N23="Mayor",0.8,IF(N23="Catastrófico",1,))))))</f>
        <v>0.8</v>
      </c>
      <c r="P23" s="528" t="str">
        <f>IF(OR(AND(I23="Muy Baja",N23="Leve"),AND(I23="Muy Baja",N23="Menor"),AND(I23="Baja",N23="Leve")),"Bajo",IF(OR(AND(I23="Muy baja",N23="Moderado"),AND(I23="Baja",N23="Menor"),AND(I23="Baja",N23="Moderado"),AND(I23="Media",N23="Leve"),AND(I23="Media",N23="Menor"),AND(I23="Media",N23="Moderado"),AND(I23="Alta",N23="Leve"),AND(I23="Alta",N23="Menor")),"Moderado",IF(OR(AND(I23="Muy Baja",N23="Mayor"),AND(I23="Baja",N23="Mayor"),AND(I23="Media",N23="Mayor"),AND(I23="Alta",N23="Moderado"),AND(I23="Alta",N23="Mayor"),AND(I23="Muy Alta",N23="Leve"),AND(I23="Muy Alta",N23="Menor"),AND(I23="Muy Alta",N23="Moderado"),AND(I23="Muy Alta",N23="Mayor")),"Alto",IF(OR(AND(I23="Muy Baja",N23="Catastrófico"),AND(I23="Baja",N23="Catastrófico"),AND(I23="Media",N23="Catastrófico"),AND(I23="Alta",N23="Catastrófico"),AND(I23="Muy Alta",N23="Catastrófico")),"Extremo",""))))</f>
        <v>Alto</v>
      </c>
      <c r="Q23" s="191">
        <v>1</v>
      </c>
      <c r="R23" s="288" t="s">
        <v>301</v>
      </c>
      <c r="S23" s="216" t="str">
        <f>IF(OR(T23="Preventivo",T23="Detectivo"),"Probabilidad",IF(T23="Correctivo","Impacto",""))</f>
        <v>Probabilidad</v>
      </c>
      <c r="T23" s="217" t="s">
        <v>266</v>
      </c>
      <c r="U23" s="217" t="s">
        <v>267</v>
      </c>
      <c r="V23" s="234"/>
      <c r="W23" s="217" t="s">
        <v>268</v>
      </c>
      <c r="X23" s="217" t="s">
        <v>269</v>
      </c>
      <c r="Y23" s="217" t="s">
        <v>270</v>
      </c>
      <c r="Z23" s="237">
        <f>IFERROR(IF(S23="Probabilidad",(J23-(+J23*V23)),IF(S23="Impacto",J23,"")),"")</f>
        <v>0.6</v>
      </c>
      <c r="AA23" s="263" t="str">
        <f>IFERROR(IF(Z23="","",IF(Z23&lt;=0.2,"Muy Baja",IF(Z23&lt;=0.4,"Baja",IF(Z23&lt;=0.6,"Media",IF(Z23&lt;=0.8,"Alta","Muy Alta"))))),"")</f>
        <v>Media</v>
      </c>
      <c r="AB23" s="218">
        <f>+Z23</f>
        <v>0.6</v>
      </c>
      <c r="AC23" s="263" t="str">
        <f>IFERROR(IF(AD23="","",IF(AD23&lt;=0.2,"Leve",IF(AD23&lt;=0.4,"Menor",IF(AD23&lt;=0.6,"Moderado",IF(AD23&lt;=0.8,"Mayor","Catastrófico"))))),"")</f>
        <v>Mayor</v>
      </c>
      <c r="AD23" s="218">
        <f>IFERROR(IF(S23="Impacto",(O23-(+O23*V23)),IF(S23="Probabilidad",O23,"")),"")</f>
        <v>0.8</v>
      </c>
      <c r="AE23" s="220" t="str">
        <f>IFERROR(IF(OR(AND(AA23="Muy Baja",AC23="Leve"),AND(AA23="Muy Baja",AC23="Menor"),AND(AA23="Baja",AC23="Leve")),"Bajo",IF(OR(AND(AA23="Muy baja",AC23="Moderado"),AND(AA23="Baja",AC23="Menor"),AND(AA23="Baja",AC23="Moderado"),AND(AA23="Media",AC23="Leve"),AND(AA23="Media",AC23="Menor"),AND(AA23="Media",AC23="Moderado"),AND(AA23="Alta",AC23="Leve"),AND(AA23="Alta",AC23="Menor")),"Moderado",IF(OR(AND(AA23="Muy Baja",AC23="Mayor"),AND(AA23="Baja",AC23="Mayor"),AND(AA23="Media",AC23="Mayor"),AND(AA23="Alta",AC23="Moderado"),AND(AA23="Alta",AC23="Mayor"),AND(AA23="Muy Alta",AC23="Leve"),AND(AA23="Muy Alta",AC23="Menor"),AND(AA23="Muy Alta",AC23="Moderado"),AND(AA23="Muy Alta",AC23="Mayor")),"Alto",IF(OR(AND(AA23="Muy Baja",AC23="Catastrófico"),AND(AA23="Baja",AC23="Catastrófico"),AND(AA23="Media",AC23="Catastrófico"),AND(AA23="Alta",AC23="Catastrófico"),AND(AA23="Muy Alta",AC23="Catastrófico")),"Extremo","")))),"")</f>
        <v>Alto</v>
      </c>
      <c r="AF23" s="506" t="s">
        <v>271</v>
      </c>
    </row>
    <row r="24" spans="1:32" ht="49.5" x14ac:dyDescent="0.3">
      <c r="A24" s="538"/>
      <c r="B24" s="523"/>
      <c r="C24" s="523"/>
      <c r="D24" s="520"/>
      <c r="E24" s="270" t="s">
        <v>260</v>
      </c>
      <c r="F24" s="286" t="s">
        <v>302</v>
      </c>
      <c r="G24" s="286" t="s">
        <v>303</v>
      </c>
      <c r="H24" s="526"/>
      <c r="I24" s="529"/>
      <c r="J24" s="535"/>
      <c r="K24" s="523"/>
      <c r="L24" s="532"/>
      <c r="M24" s="267">
        <f>IF(NOT(ISERROR(MATCH(L24,_xlfn.ANCHORARRAY(D35),0))),J37&amp;"Por favor no seleccionar los criterios de impacto",L24)</f>
        <v>0</v>
      </c>
      <c r="N24" s="529"/>
      <c r="O24" s="535"/>
      <c r="P24" s="529"/>
      <c r="Q24" s="192">
        <v>2</v>
      </c>
      <c r="R24" s="294"/>
      <c r="S24" s="222"/>
      <c r="T24" s="223"/>
      <c r="U24" s="223"/>
      <c r="V24" s="235"/>
      <c r="W24" s="223"/>
      <c r="X24" s="223"/>
      <c r="Y24" s="223"/>
      <c r="Z24" s="238" t="str">
        <f>IFERROR(IF(AND(S23="Probabilidad",S24="Probabilidad"),(AB23-(+AB23*V24)),IF(S24="Probabilidad",(J23-(+J23*V24)),IF(S24="Impacto",AB23,""))),"")</f>
        <v/>
      </c>
      <c r="AA24" s="264" t="str">
        <f t="shared" ref="AA24:AA28" si="18">IFERROR(IF(Z24="","",IF(Z24&lt;=0.2,"Muy Baja",IF(Z24&lt;=0.4,"Baja",IF(Z24&lt;=0.6,"Media",IF(Z24&lt;=0.8,"Alta","Muy Alta"))))),"")</f>
        <v/>
      </c>
      <c r="AB24" s="224" t="str">
        <f t="shared" ref="AB24:AB28" si="19">+Z24</f>
        <v/>
      </c>
      <c r="AC24" s="264" t="str">
        <f t="shared" ref="AC24:AC28" si="20">IFERROR(IF(AD24="","",IF(AD24&lt;=0.2,"Leve",IF(AD24&lt;=0.4,"Menor",IF(AD24&lt;=0.6,"Moderado",IF(AD24&lt;=0.8,"Mayor","Catastrófico"))))),"")</f>
        <v/>
      </c>
      <c r="AD24" s="224" t="str">
        <f>IFERROR(IF(AND(S23="Impacto",S24="Impacto"),(AD23-(+AD23*V24)),IF(S24="Impacto",(O23-(+O23*V24)),IF(S24="Probabilidad",AD23,""))),"")</f>
        <v/>
      </c>
      <c r="AE24" s="226" t="str">
        <f t="shared" ref="AE24:AE25" si="21">IFERROR(IF(OR(AND(AA24="Muy Baja",AC24="Leve"),AND(AA24="Muy Baja",AC24="Menor"),AND(AA24="Baja",AC24="Leve")),"Bajo",IF(OR(AND(AA24="Muy baja",AC24="Moderado"),AND(AA24="Baja",AC24="Menor"),AND(AA24="Baja",AC24="Moderado"),AND(AA24="Media",AC24="Leve"),AND(AA24="Media",AC24="Menor"),AND(AA24="Media",AC24="Moderado"),AND(AA24="Alta",AC24="Leve"),AND(AA24="Alta",AC24="Menor")),"Moderado",IF(OR(AND(AA24="Muy Baja",AC24="Mayor"),AND(AA24="Baja",AC24="Mayor"),AND(AA24="Media",AC24="Mayor"),AND(AA24="Alta",AC24="Moderado"),AND(AA24="Alta",AC24="Mayor"),AND(AA24="Muy Alta",AC24="Leve"),AND(AA24="Muy Alta",AC24="Menor"),AND(AA24="Muy Alta",AC24="Moderado"),AND(AA24="Muy Alta",AC24="Mayor")),"Alto",IF(OR(AND(AA24="Muy Baja",AC24="Catastrófico"),AND(AA24="Baja",AC24="Catastrófico"),AND(AA24="Media",AC24="Catastrófico"),AND(AA24="Alta",AC24="Catastrófico"),AND(AA24="Muy Alta",AC24="Catastrófico")),"Extremo","")))),"")</f>
        <v/>
      </c>
      <c r="AF24" s="507"/>
    </row>
    <row r="25" spans="1:32" ht="45.75" customHeight="1" x14ac:dyDescent="0.3">
      <c r="A25" s="538"/>
      <c r="B25" s="523"/>
      <c r="C25" s="523"/>
      <c r="D25" s="520"/>
      <c r="E25" s="270"/>
      <c r="F25" s="294"/>
      <c r="G25" s="286" t="s">
        <v>304</v>
      </c>
      <c r="H25" s="526"/>
      <c r="I25" s="529"/>
      <c r="J25" s="535"/>
      <c r="K25" s="523"/>
      <c r="L25" s="532"/>
      <c r="M25" s="267">
        <f>IF(NOT(ISERROR(MATCH(L25,_xlfn.ANCHORARRAY(D36),0))),J38&amp;"Por favor no seleccionar los criterios de impacto",L25)</f>
        <v>0</v>
      </c>
      <c r="N25" s="529"/>
      <c r="O25" s="535"/>
      <c r="P25" s="529"/>
      <c r="Q25" s="192">
        <v>3</v>
      </c>
      <c r="R25" s="294"/>
      <c r="S25" s="222"/>
      <c r="T25" s="223"/>
      <c r="U25" s="223"/>
      <c r="V25" s="235"/>
      <c r="W25" s="223"/>
      <c r="X25" s="223"/>
      <c r="Y25" s="223"/>
      <c r="Z25" s="238" t="str">
        <f>IFERROR(IF(AND(S24="Probabilidad",S25="Probabilidad"),(AB24-(+AB24*V25)),IF(AND(S24="Impacto",S25="Probabilidad"),(AB23-(+AB23*V25)),IF(S25="Impacto",AB24,""))),"")</f>
        <v/>
      </c>
      <c r="AA25" s="264" t="str">
        <f t="shared" si="18"/>
        <v/>
      </c>
      <c r="AB25" s="224" t="str">
        <f t="shared" si="19"/>
        <v/>
      </c>
      <c r="AC25" s="264" t="str">
        <f t="shared" si="20"/>
        <v/>
      </c>
      <c r="AD25" s="224" t="str">
        <f>IFERROR(IF(AND(S24="Impacto",S25="Impacto"),(AD24-(+AD24*V25)),IF(AND(S24="Probabilidad",S25="Impacto"),(AD23-(+AD23*V25)),IF(S25="Probabilidad",AD24,""))),"")</f>
        <v/>
      </c>
      <c r="AE25" s="226" t="str">
        <f t="shared" si="21"/>
        <v/>
      </c>
      <c r="AF25" s="507"/>
    </row>
    <row r="26" spans="1:32" ht="44.25" customHeight="1" x14ac:dyDescent="0.3">
      <c r="A26" s="538"/>
      <c r="B26" s="523"/>
      <c r="C26" s="523"/>
      <c r="D26" s="520"/>
      <c r="E26" s="270"/>
      <c r="F26" s="294"/>
      <c r="G26" s="286" t="s">
        <v>305</v>
      </c>
      <c r="H26" s="526"/>
      <c r="I26" s="529"/>
      <c r="J26" s="535"/>
      <c r="K26" s="523"/>
      <c r="L26" s="532"/>
      <c r="M26" s="267">
        <f>IF(NOT(ISERROR(MATCH(L26,_xlfn.ANCHORARRAY(D37),0))),J39&amp;"Por favor no seleccionar los criterios de impacto",L26)</f>
        <v>0</v>
      </c>
      <c r="N26" s="529"/>
      <c r="O26" s="535"/>
      <c r="P26" s="529"/>
      <c r="Q26" s="192">
        <v>4</v>
      </c>
      <c r="R26" s="286"/>
      <c r="S26" s="222" t="str">
        <f t="shared" ref="S26:S28" si="22">IF(OR(T26="Preventivo",T26="Detectivo"),"Probabilidad",IF(T26="Correctivo","Impacto",""))</f>
        <v/>
      </c>
      <c r="T26" s="223"/>
      <c r="U26" s="223"/>
      <c r="V26" s="235"/>
      <c r="W26" s="223"/>
      <c r="X26" s="223"/>
      <c r="Y26" s="223"/>
      <c r="Z26" s="238"/>
      <c r="AA26" s="264" t="str">
        <f t="shared" si="18"/>
        <v/>
      </c>
      <c r="AB26" s="224">
        <f t="shared" si="19"/>
        <v>0</v>
      </c>
      <c r="AC26" s="264" t="str">
        <f t="shared" si="20"/>
        <v/>
      </c>
      <c r="AD26" s="224" t="str">
        <f t="shared" ref="AD26:AD28" si="23">IFERROR(IF(AND(S25="Impacto",S26="Impacto"),(AD25-(+AD25*V26)),IF(AND(S25="Probabilidad",S26="Impacto"),(AD24-(+AD24*V26)),IF(S26="Probabilidad",AD25,""))),"")</f>
        <v/>
      </c>
      <c r="AE26" s="226" t="str">
        <f>IFERROR(IF(OR(AND(AA26="Muy Baja",AC26="Leve"),AND(AA26="Muy Baja",AC26="Menor"),AND(AA26="Baja",AC26="Leve")),"Bajo",IF(OR(AND(AA26="Muy baja",AC26="Moderado"),AND(AA26="Baja",AC26="Menor"),AND(AA26="Baja",AC26="Moderado"),AND(AA26="Media",AC26="Leve"),AND(AA26="Media",AC26="Menor"),AND(AA26="Media",AC26="Moderado"),AND(AA26="Alta",AC26="Leve"),AND(AA26="Alta",AC26="Menor")),"Moderado",IF(OR(AND(AA26="Muy Baja",AC26="Mayor"),AND(AA26="Baja",AC26="Mayor"),AND(AA26="Media",AC26="Mayor"),AND(AA26="Alta",AC26="Moderado"),AND(AA26="Alta",AC26="Mayor"),AND(AA26="Muy Alta",AC26="Leve"),AND(AA26="Muy Alta",AC26="Menor"),AND(AA26="Muy Alta",AC26="Moderado"),AND(AA26="Muy Alta",AC26="Mayor")),"Alto",IF(OR(AND(AA26="Muy Baja",AC26="Catastrófico"),AND(AA26="Baja",AC26="Catastrófico"),AND(AA26="Media",AC26="Catastrófico"),AND(AA26="Alta",AC26="Catastrófico"),AND(AA26="Muy Alta",AC26="Catastrófico")),"Extremo","")))),"")</f>
        <v/>
      </c>
      <c r="AF26" s="507"/>
    </row>
    <row r="27" spans="1:32" ht="49.5" customHeight="1" x14ac:dyDescent="0.3">
      <c r="A27" s="538"/>
      <c r="B27" s="523"/>
      <c r="C27" s="523"/>
      <c r="D27" s="520"/>
      <c r="E27" s="270"/>
      <c r="F27" s="294"/>
      <c r="G27" s="294"/>
      <c r="H27" s="526"/>
      <c r="I27" s="529"/>
      <c r="J27" s="535"/>
      <c r="K27" s="523"/>
      <c r="L27" s="532"/>
      <c r="M27" s="267">
        <f>IF(NOT(ISERROR(MATCH(L27,_xlfn.ANCHORARRAY(D38),0))),J40&amp;"Por favor no seleccionar los criterios de impacto",L27)</f>
        <v>0</v>
      </c>
      <c r="N27" s="529"/>
      <c r="O27" s="535"/>
      <c r="P27" s="529"/>
      <c r="Q27" s="192">
        <v>5</v>
      </c>
      <c r="R27" s="286"/>
      <c r="S27" s="222" t="str">
        <f t="shared" si="22"/>
        <v/>
      </c>
      <c r="T27" s="223"/>
      <c r="U27" s="223"/>
      <c r="V27" s="235"/>
      <c r="W27" s="223"/>
      <c r="X27" s="223"/>
      <c r="Y27" s="223"/>
      <c r="Z27" s="238"/>
      <c r="AA27" s="264" t="str">
        <f t="shared" si="18"/>
        <v/>
      </c>
      <c r="AB27" s="224">
        <f t="shared" si="19"/>
        <v>0</v>
      </c>
      <c r="AC27" s="264" t="str">
        <f t="shared" si="20"/>
        <v/>
      </c>
      <c r="AD27" s="224" t="str">
        <f t="shared" si="23"/>
        <v/>
      </c>
      <c r="AE27" s="226" t="str">
        <f t="shared" ref="AE27:AE28" si="24">IFERROR(IF(OR(AND(AA27="Muy Baja",AC27="Leve"),AND(AA27="Muy Baja",AC27="Menor"),AND(AA27="Baja",AC27="Leve")),"Bajo",IF(OR(AND(AA27="Muy baja",AC27="Moderado"),AND(AA27="Baja",AC27="Menor"),AND(AA27="Baja",AC27="Moderado"),AND(AA27="Media",AC27="Leve"),AND(AA27="Media",AC27="Menor"),AND(AA27="Media",AC27="Moderado"),AND(AA27="Alta",AC27="Leve"),AND(AA27="Alta",AC27="Menor")),"Moderado",IF(OR(AND(AA27="Muy Baja",AC27="Mayor"),AND(AA27="Baja",AC27="Mayor"),AND(AA27="Media",AC27="Mayor"),AND(AA27="Alta",AC27="Moderado"),AND(AA27="Alta",AC27="Mayor"),AND(AA27="Muy Alta",AC27="Leve"),AND(AA27="Muy Alta",AC27="Menor"),AND(AA27="Muy Alta",AC27="Moderado"),AND(AA27="Muy Alta",AC27="Mayor")),"Alto",IF(OR(AND(AA27="Muy Baja",AC27="Catastrófico"),AND(AA27="Baja",AC27="Catastrófico"),AND(AA27="Media",AC27="Catastrófico"),AND(AA27="Alta",AC27="Catastrófico"),AND(AA27="Muy Alta",AC27="Catastrófico")),"Extremo","")))),"")</f>
        <v/>
      </c>
      <c r="AF27" s="507"/>
    </row>
    <row r="28" spans="1:32" ht="44.25" customHeight="1" thickBot="1" x14ac:dyDescent="0.35">
      <c r="A28" s="539"/>
      <c r="B28" s="524"/>
      <c r="C28" s="524"/>
      <c r="D28" s="521"/>
      <c r="E28" s="271"/>
      <c r="F28" s="295"/>
      <c r="G28" s="289"/>
      <c r="H28" s="527"/>
      <c r="I28" s="530"/>
      <c r="J28" s="536"/>
      <c r="K28" s="524"/>
      <c r="L28" s="533"/>
      <c r="M28" s="268">
        <f>IF(NOT(ISERROR(MATCH(L28,_xlfn.ANCHORARRAY(D39),0))),J41&amp;"Por favor no seleccionar los criterios de impacto",L28)</f>
        <v>0</v>
      </c>
      <c r="N28" s="530"/>
      <c r="O28" s="536"/>
      <c r="P28" s="530"/>
      <c r="Q28" s="193">
        <v>6</v>
      </c>
      <c r="R28" s="289"/>
      <c r="S28" s="228" t="str">
        <f t="shared" si="22"/>
        <v/>
      </c>
      <c r="T28" s="229"/>
      <c r="U28" s="229"/>
      <c r="V28" s="236"/>
      <c r="W28" s="229"/>
      <c r="X28" s="229"/>
      <c r="Y28" s="229"/>
      <c r="Z28" s="239"/>
      <c r="AA28" s="265" t="str">
        <f t="shared" si="18"/>
        <v/>
      </c>
      <c r="AB28" s="230">
        <f t="shared" si="19"/>
        <v>0</v>
      </c>
      <c r="AC28" s="265" t="str">
        <f t="shared" si="20"/>
        <v/>
      </c>
      <c r="AD28" s="230" t="str">
        <f t="shared" si="23"/>
        <v/>
      </c>
      <c r="AE28" s="232" t="str">
        <f t="shared" si="24"/>
        <v/>
      </c>
      <c r="AF28" s="508"/>
    </row>
    <row r="29" spans="1:32" ht="126" customHeight="1" x14ac:dyDescent="0.3">
      <c r="A29" s="537">
        <v>4</v>
      </c>
      <c r="B29" s="522" t="s">
        <v>113</v>
      </c>
      <c r="C29" s="556" t="s">
        <v>306</v>
      </c>
      <c r="D29" s="556" t="s">
        <v>307</v>
      </c>
      <c r="E29" s="327" t="s">
        <v>260</v>
      </c>
      <c r="F29" s="328" t="s">
        <v>308</v>
      </c>
      <c r="G29" s="328" t="s">
        <v>309</v>
      </c>
      <c r="H29" s="562">
        <v>2</v>
      </c>
      <c r="I29" s="540" t="str">
        <f>IF(H29&lt;=0,"",IF(H29&lt;=2,"Muy Baja",IF(H29&lt;=24,"Baja",IF(H29&lt;=500,"Media",IF(H29&lt;=5000,"Alta","Muy Alta")))))</f>
        <v>Muy Baja</v>
      </c>
      <c r="J29" s="543">
        <f>IF(I29="","",IF(I29="Muy Baja",0.2,IF(I29="Baja",0.4,IF(I29="Media",0.6,IF(I29="Alta",0.8,IF(I29="Muy Alta",1,))))))</f>
        <v>0.2</v>
      </c>
      <c r="K29" s="559" t="s">
        <v>263</v>
      </c>
      <c r="L29" s="546" t="s">
        <v>310</v>
      </c>
      <c r="M29" s="266" t="str">
        <f>IF(NOT(ISERROR(MATCH(L29,'Tabla Impacto'!$B$221:$B$223,0))),'Tabla Impacto'!$F$223&amp;"Por favor no seleccionar los criterios de impacto(Afectación Económica o presupuestal y Pérdida Reputacional)",L29)</f>
        <v xml:space="preserve">     El riesgo afecta la imagen de la entidad internamente, de conocimiento general, nivel interno, de junta dircetiva y accionistas y/o de provedores</v>
      </c>
      <c r="N29" s="540" t="str">
        <f>IF(OR(M29='Tabla Impacto'!$C$11,M29='Tabla Impacto'!$D$11),"Leve",IF(OR(M29='Tabla Impacto'!$C$12,M29='Tabla Impacto'!$D$12),"Menor",IF(OR(M29='Tabla Impacto'!$C$13,M29='Tabla Impacto'!$D$13),"Moderado",IF(OR(M29='Tabla Impacto'!$C$14,M29='Tabla Impacto'!$D$14),"Mayor",IF(OR(M29='Tabla Impacto'!$C$15,M29='Tabla Impacto'!$D$15),"Catastrófico","")))))</f>
        <v>Menor</v>
      </c>
      <c r="O29" s="543">
        <f>IF(N29="","",IF(N29="Leve",0.2,IF(N29="Menor",0.4,IF(N29="Moderado",0.6,IF(N29="Mayor",0.8,IF(N29="Catastrófico",1,))))))</f>
        <v>0.4</v>
      </c>
      <c r="P29" s="540" t="str">
        <f>IF(OR(AND(I29="Muy Baja",N29="Leve"),AND(I29="Muy Baja",N29="Menor"),AND(I29="Baja",N29="Leve")),"Bajo",IF(OR(AND(I29="Muy baja",N29="Moderado"),AND(I29="Baja",N29="Menor"),AND(I29="Baja",N29="Moderado"),AND(I29="Media",N29="Leve"),AND(I29="Media",N29="Menor"),AND(I29="Media",N29="Moderado"),AND(I29="Alta",N29="Leve"),AND(I29="Alta",N29="Menor")),"Moderado",IF(OR(AND(I29="Muy Baja",N29="Mayor"),AND(I29="Baja",N29="Mayor"),AND(I29="Media",N29="Mayor"),AND(I29="Alta",N29="Moderado"),AND(I29="Alta",N29="Mayor"),AND(I29="Muy Alta",N29="Leve"),AND(I29="Muy Alta",N29="Menor"),AND(I29="Muy Alta",N29="Moderado"),AND(I29="Muy Alta",N29="Mayor")),"Alto",IF(OR(AND(I29="Muy Baja",N29="Catastrófico"),AND(I29="Baja",N29="Catastrófico"),AND(I29="Media",N29="Catastrófico"),AND(I29="Alta",N29="Catastrófico"),AND(I29="Muy Alta",N29="Catastrófico")),"Extremo",""))))</f>
        <v>Bajo</v>
      </c>
      <c r="Q29" s="191">
        <v>1</v>
      </c>
      <c r="R29" s="288" t="s">
        <v>311</v>
      </c>
      <c r="S29" s="216" t="str">
        <f>IF(OR(T29="Preventivo",T29="Detectivo"),"Probabilidad",IF(T29="Correctivo","Impacto",""))</f>
        <v>Probabilidad</v>
      </c>
      <c r="T29" s="217" t="s">
        <v>266</v>
      </c>
      <c r="U29" s="217" t="s">
        <v>267</v>
      </c>
      <c r="V29" s="234" t="str">
        <f>IF(AND(T29="Preventivo",U29="Automático"),"50%",IF(AND(T29="Preventivo",U29="Manual"),"40%",IF(AND(T29="Detectivo",U29="Automático"),"40%",IF(AND(T29="Detectivo",U29="Manual"),"30%",IF(AND(T29="Correctivo",U29="Automático"),"35%",IF(AND(T29="Correctivo",U29="Manual"),"25%",""))))))</f>
        <v>40%</v>
      </c>
      <c r="W29" s="217" t="s">
        <v>290</v>
      </c>
      <c r="X29" s="217" t="s">
        <v>269</v>
      </c>
      <c r="Y29" s="217" t="s">
        <v>270</v>
      </c>
      <c r="Z29" s="237">
        <f>IFERROR(IF(S29="Probabilidad",(J29-(+J29*V29)),IF(S29="Impacto",J29,"")),"")</f>
        <v>0.12</v>
      </c>
      <c r="AA29" s="263" t="str">
        <f>IFERROR(IF(Z29="","",IF(Z29&lt;=0.2,"Muy Baja",IF(Z29&lt;=0.4,"Baja",IF(Z29&lt;=0.6,"Media",IF(Z29&lt;=0.8,"Alta","Muy Alta"))))),"")</f>
        <v>Muy Baja</v>
      </c>
      <c r="AB29" s="218">
        <f>+Z29</f>
        <v>0.12</v>
      </c>
      <c r="AC29" s="263" t="str">
        <f>IFERROR(IF(AD29="","",IF(AD29&lt;=0.2,"Leve",IF(AD29&lt;=0.4,"Menor",IF(AD29&lt;=0.6,"Moderado",IF(AD29&lt;=0.8,"Mayor","Catastrófico"))))),"")</f>
        <v>Menor</v>
      </c>
      <c r="AD29" s="218">
        <f>IFERROR(IF(S29="Impacto",(O29-(+O29*V29)),IF(S29="Probabilidad",O29,"")),"")</f>
        <v>0.4</v>
      </c>
      <c r="AE29" s="220" t="str">
        <f>IFERROR(IF(OR(AND(AA29="Muy Baja",AC29="Leve"),AND(AA29="Muy Baja",AC29="Menor"),AND(AA29="Baja",AC29="Leve")),"Bajo",IF(OR(AND(AA29="Muy baja",AC29="Moderado"),AND(AA29="Baja",AC29="Menor"),AND(AA29="Baja",AC29="Moderado"),AND(AA29="Media",AC29="Leve"),AND(AA29="Media",AC29="Menor"),AND(AA29="Media",AC29="Moderado"),AND(AA29="Alta",AC29="Leve"),AND(AA29="Alta",AC29="Menor")),"Moderado",IF(OR(AND(AA29="Muy Baja",AC29="Mayor"),AND(AA29="Baja",AC29="Mayor"),AND(AA29="Media",AC29="Mayor"),AND(AA29="Alta",AC29="Moderado"),AND(AA29="Alta",AC29="Mayor"),AND(AA29="Muy Alta",AC29="Leve"),AND(AA29="Muy Alta",AC29="Menor"),AND(AA29="Muy Alta",AC29="Moderado"),AND(AA29="Muy Alta",AC29="Mayor")),"Alto",IF(OR(AND(AA29="Muy Baja",AC29="Catastrófico"),AND(AA29="Baja",AC29="Catastrófico"),AND(AA29="Media",AC29="Catastrófico"),AND(AA29="Alta",AC29="Catastrófico"),AND(AA29="Muy Alta",AC29="Catastrófico")),"Extremo","")))),"")</f>
        <v>Bajo</v>
      </c>
      <c r="AF29" s="506" t="s">
        <v>271</v>
      </c>
    </row>
    <row r="30" spans="1:32" ht="82.5" x14ac:dyDescent="0.3">
      <c r="A30" s="538"/>
      <c r="B30" s="523"/>
      <c r="C30" s="557"/>
      <c r="D30" s="557"/>
      <c r="E30" s="329" t="s">
        <v>260</v>
      </c>
      <c r="F30" s="330" t="s">
        <v>312</v>
      </c>
      <c r="G30" s="330" t="s">
        <v>313</v>
      </c>
      <c r="H30" s="563"/>
      <c r="I30" s="541"/>
      <c r="J30" s="544"/>
      <c r="K30" s="560"/>
      <c r="L30" s="547"/>
      <c r="M30" s="267">
        <f>IF(NOT(ISERROR(MATCH(L30,_xlfn.ANCHORARRAY(D41),0))),J43&amp;"Por favor no seleccionar los criterios de impacto",L30)</f>
        <v>0</v>
      </c>
      <c r="N30" s="541"/>
      <c r="O30" s="544"/>
      <c r="P30" s="541"/>
      <c r="Q30" s="192">
        <v>2</v>
      </c>
      <c r="R30" s="294"/>
      <c r="S30" s="222"/>
      <c r="T30" s="223"/>
      <c r="U30" s="223"/>
      <c r="V30" s="235"/>
      <c r="W30" s="223"/>
      <c r="X30" s="223"/>
      <c r="Y30" s="223"/>
      <c r="Z30" s="238" t="str">
        <f>IFERROR(IF(AND(S29="Probabilidad",S30="Probabilidad"),(AB29-(+AB29*V30)),IF(S30="Probabilidad",(J29-(+J29*V30)),IF(S30="Impacto",AB29,""))),"")</f>
        <v/>
      </c>
      <c r="AA30" s="264" t="str">
        <f t="shared" si="1"/>
        <v/>
      </c>
      <c r="AB30" s="224" t="str">
        <f t="shared" ref="AB30:AB34" si="25">+Z30</f>
        <v/>
      </c>
      <c r="AC30" s="264" t="str">
        <f t="shared" si="3"/>
        <v/>
      </c>
      <c r="AD30" s="224" t="str">
        <f>IFERROR(IF(AND(S29="Impacto",S30="Impacto"),(AD29-(+AD29*V30)),IF(S30="Impacto",(O29-(+O29*V30)),IF(S30="Probabilidad",AD29,""))),"")</f>
        <v/>
      </c>
      <c r="AE30" s="226" t="str">
        <f t="shared" ref="AE30:AE31" si="26">IFERROR(IF(OR(AND(AA30="Muy Baja",AC30="Leve"),AND(AA30="Muy Baja",AC30="Menor"),AND(AA30="Baja",AC30="Leve")),"Bajo",IF(OR(AND(AA30="Muy baja",AC30="Moderado"),AND(AA30="Baja",AC30="Menor"),AND(AA30="Baja",AC30="Moderado"),AND(AA30="Media",AC30="Leve"),AND(AA30="Media",AC30="Menor"),AND(AA30="Media",AC30="Moderado"),AND(AA30="Alta",AC30="Leve"),AND(AA30="Alta",AC30="Menor")),"Moderado",IF(OR(AND(AA30="Muy Baja",AC30="Mayor"),AND(AA30="Baja",AC30="Mayor"),AND(AA30="Media",AC30="Mayor"),AND(AA30="Alta",AC30="Moderado"),AND(AA30="Alta",AC30="Mayor"),AND(AA30="Muy Alta",AC30="Leve"),AND(AA30="Muy Alta",AC30="Menor"),AND(AA30="Muy Alta",AC30="Moderado"),AND(AA30="Muy Alta",AC30="Mayor")),"Alto",IF(OR(AND(AA30="Muy Baja",AC30="Catastrófico"),AND(AA30="Baja",AC30="Catastrófico"),AND(AA30="Media",AC30="Catastrófico"),AND(AA30="Alta",AC30="Catastrófico"),AND(AA30="Muy Alta",AC30="Catastrófico")),"Extremo","")))),"")</f>
        <v/>
      </c>
      <c r="AF30" s="507"/>
    </row>
    <row r="31" spans="1:32" ht="44.25" customHeight="1" x14ac:dyDescent="0.3">
      <c r="A31" s="538"/>
      <c r="B31" s="523"/>
      <c r="C31" s="557"/>
      <c r="D31" s="557"/>
      <c r="E31" s="329"/>
      <c r="F31" s="331"/>
      <c r="G31" s="330" t="s">
        <v>314</v>
      </c>
      <c r="H31" s="563"/>
      <c r="I31" s="541"/>
      <c r="J31" s="544"/>
      <c r="K31" s="560"/>
      <c r="L31" s="547"/>
      <c r="M31" s="267">
        <f>IF(NOT(ISERROR(MATCH(L31,_xlfn.ANCHORARRAY(D42),0))),J44&amp;"Por favor no seleccionar los criterios de impacto",L31)</f>
        <v>0</v>
      </c>
      <c r="N31" s="541"/>
      <c r="O31" s="544"/>
      <c r="P31" s="541"/>
      <c r="Q31" s="192">
        <v>3</v>
      </c>
      <c r="R31" s="294"/>
      <c r="S31" s="222"/>
      <c r="T31" s="223"/>
      <c r="U31" s="223"/>
      <c r="V31" s="235"/>
      <c r="W31" s="223"/>
      <c r="X31" s="223"/>
      <c r="Y31" s="223"/>
      <c r="Z31" s="238" t="str">
        <f>IFERROR(IF(AND(S30="Probabilidad",S31="Probabilidad"),(AB30-(+AB30*V31)),IF(AND(S30="Impacto",S31="Probabilidad"),(AB29-(+AB29*V31)),IF(S31="Impacto",AB30,""))),"")</f>
        <v/>
      </c>
      <c r="AA31" s="264" t="str">
        <f t="shared" si="1"/>
        <v/>
      </c>
      <c r="AB31" s="224" t="str">
        <f t="shared" si="25"/>
        <v/>
      </c>
      <c r="AC31" s="264" t="str">
        <f t="shared" si="3"/>
        <v/>
      </c>
      <c r="AD31" s="224" t="str">
        <f>IFERROR(IF(AND(S30="Impacto",S31="Impacto"),(AD30-(+AD30*V31)),IF(AND(S30="Probabilidad",S31="Impacto"),(AD29-(+AD29*V31)),IF(S31="Probabilidad",AD30,""))),"")</f>
        <v/>
      </c>
      <c r="AE31" s="226" t="str">
        <f t="shared" si="26"/>
        <v/>
      </c>
      <c r="AF31" s="507"/>
    </row>
    <row r="32" spans="1:32" ht="44.25" customHeight="1" x14ac:dyDescent="0.3">
      <c r="A32" s="538"/>
      <c r="B32" s="523"/>
      <c r="C32" s="557"/>
      <c r="D32" s="557"/>
      <c r="E32" s="329"/>
      <c r="F32" s="331"/>
      <c r="G32" s="330"/>
      <c r="H32" s="563"/>
      <c r="I32" s="541"/>
      <c r="J32" s="544"/>
      <c r="K32" s="560"/>
      <c r="L32" s="547"/>
      <c r="M32" s="267">
        <f>IF(NOT(ISERROR(MATCH(L32,_xlfn.ANCHORARRAY(D43),0))),J45&amp;"Por favor no seleccionar los criterios de impacto",L32)</f>
        <v>0</v>
      </c>
      <c r="N32" s="541"/>
      <c r="O32" s="544"/>
      <c r="P32" s="541"/>
      <c r="Q32" s="192">
        <v>4</v>
      </c>
      <c r="R32" s="286"/>
      <c r="S32" s="222" t="str">
        <f t="shared" ref="S32:S34" si="27">IF(OR(T32="Preventivo",T32="Detectivo"),"Probabilidad",IF(T32="Correctivo","Impacto",""))</f>
        <v/>
      </c>
      <c r="T32" s="223"/>
      <c r="U32" s="223"/>
      <c r="V32" s="235" t="str">
        <f t="shared" ref="V32:V34" si="28">IF(AND(T32="Preventivo",U32="Automático"),"50%",IF(AND(T32="Preventivo",U32="Manual"),"40%",IF(AND(T32="Detectivo",U32="Automático"),"40%",IF(AND(T32="Detectivo",U32="Manual"),"30%",IF(AND(T32="Correctivo",U32="Automático"),"35%",IF(AND(T32="Correctivo",U32="Manual"),"25%",""))))))</f>
        <v/>
      </c>
      <c r="W32" s="223"/>
      <c r="X32" s="223"/>
      <c r="Y32" s="223"/>
      <c r="Z32" s="238" t="str">
        <f t="shared" ref="Z32:Z34" si="29">IFERROR(IF(AND(S31="Probabilidad",S32="Probabilidad"),(AB31-(+AB31*V32)),IF(AND(S31="Impacto",S32="Probabilidad"),(AB30-(+AB30*V32)),IF(S32="Impacto",AB31,""))),"")</f>
        <v/>
      </c>
      <c r="AA32" s="264" t="str">
        <f t="shared" si="1"/>
        <v/>
      </c>
      <c r="AB32" s="224" t="str">
        <f t="shared" si="25"/>
        <v/>
      </c>
      <c r="AC32" s="264" t="str">
        <f t="shared" si="3"/>
        <v/>
      </c>
      <c r="AD32" s="224" t="str">
        <f t="shared" ref="AD32:AD34" si="30">IFERROR(IF(AND(S31="Impacto",S32="Impacto"),(AD31-(+AD31*V32)),IF(AND(S31="Probabilidad",S32="Impacto"),(AD30-(+AD30*V32)),IF(S32="Probabilidad",AD31,""))),"")</f>
        <v/>
      </c>
      <c r="AE32" s="226" t="str">
        <f>IFERROR(IF(OR(AND(AA32="Muy Baja",AC32="Leve"),AND(AA32="Muy Baja",AC32="Menor"),AND(AA32="Baja",AC32="Leve")),"Bajo",IF(OR(AND(AA32="Muy baja",AC32="Moderado"),AND(AA32="Baja",AC32="Menor"),AND(AA32="Baja",AC32="Moderado"),AND(AA32="Media",AC32="Leve"),AND(AA32="Media",AC32="Menor"),AND(AA32="Media",AC32="Moderado"),AND(AA32="Alta",AC32="Leve"),AND(AA32="Alta",AC32="Menor")),"Moderado",IF(OR(AND(AA32="Muy Baja",AC32="Mayor"),AND(AA32="Baja",AC32="Mayor"),AND(AA32="Media",AC32="Mayor"),AND(AA32="Alta",AC32="Moderado"),AND(AA32="Alta",AC32="Mayor"),AND(AA32="Muy Alta",AC32="Leve"),AND(AA32="Muy Alta",AC32="Menor"),AND(AA32="Muy Alta",AC32="Moderado"),AND(AA32="Muy Alta",AC32="Mayor")),"Alto",IF(OR(AND(AA32="Muy Baja",AC32="Catastrófico"),AND(AA32="Baja",AC32="Catastrófico"),AND(AA32="Media",AC32="Catastrófico"),AND(AA32="Alta",AC32="Catastrófico"),AND(AA32="Muy Alta",AC32="Catastrófico")),"Extremo","")))),"")</f>
        <v/>
      </c>
      <c r="AF32" s="507"/>
    </row>
    <row r="33" spans="1:32" ht="44.25" customHeight="1" x14ac:dyDescent="0.3">
      <c r="A33" s="538"/>
      <c r="B33" s="523"/>
      <c r="C33" s="557"/>
      <c r="D33" s="557"/>
      <c r="E33" s="329"/>
      <c r="F33" s="331"/>
      <c r="G33" s="330"/>
      <c r="H33" s="563"/>
      <c r="I33" s="541"/>
      <c r="J33" s="544"/>
      <c r="K33" s="560"/>
      <c r="L33" s="547"/>
      <c r="M33" s="267">
        <f>IF(NOT(ISERROR(MATCH(L33,_xlfn.ANCHORARRAY(D44),0))),J46&amp;"Por favor no seleccionar los criterios de impacto",L33)</f>
        <v>0</v>
      </c>
      <c r="N33" s="541"/>
      <c r="O33" s="544"/>
      <c r="P33" s="541"/>
      <c r="Q33" s="192">
        <v>5</v>
      </c>
      <c r="R33" s="286"/>
      <c r="S33" s="222" t="str">
        <f t="shared" si="27"/>
        <v/>
      </c>
      <c r="T33" s="223"/>
      <c r="U33" s="223"/>
      <c r="V33" s="235" t="str">
        <f t="shared" si="28"/>
        <v/>
      </c>
      <c r="W33" s="223"/>
      <c r="X33" s="223"/>
      <c r="Y33" s="223"/>
      <c r="Z33" s="238" t="str">
        <f t="shared" si="29"/>
        <v/>
      </c>
      <c r="AA33" s="264" t="str">
        <f t="shared" si="1"/>
        <v/>
      </c>
      <c r="AB33" s="224" t="str">
        <f t="shared" si="25"/>
        <v/>
      </c>
      <c r="AC33" s="264" t="str">
        <f t="shared" si="3"/>
        <v/>
      </c>
      <c r="AD33" s="224" t="str">
        <f t="shared" si="30"/>
        <v/>
      </c>
      <c r="AE33" s="226" t="str">
        <f t="shared" ref="AE33:AE34" si="31">IFERROR(IF(OR(AND(AA33="Muy Baja",AC33="Leve"),AND(AA33="Muy Baja",AC33="Menor"),AND(AA33="Baja",AC33="Leve")),"Bajo",IF(OR(AND(AA33="Muy baja",AC33="Moderado"),AND(AA33="Baja",AC33="Menor"),AND(AA33="Baja",AC33="Moderado"),AND(AA33="Media",AC33="Leve"),AND(AA33="Media",AC33="Menor"),AND(AA33="Media",AC33="Moderado"),AND(AA33="Alta",AC33="Leve"),AND(AA33="Alta",AC33="Menor")),"Moderado",IF(OR(AND(AA33="Muy Baja",AC33="Mayor"),AND(AA33="Baja",AC33="Mayor"),AND(AA33="Media",AC33="Mayor"),AND(AA33="Alta",AC33="Moderado"),AND(AA33="Alta",AC33="Mayor"),AND(AA33="Muy Alta",AC33="Leve"),AND(AA33="Muy Alta",AC33="Menor"),AND(AA33="Muy Alta",AC33="Moderado"),AND(AA33="Muy Alta",AC33="Mayor")),"Alto",IF(OR(AND(AA33="Muy Baja",AC33="Catastrófico"),AND(AA33="Baja",AC33="Catastrófico"),AND(AA33="Media",AC33="Catastrófico"),AND(AA33="Alta",AC33="Catastrófico"),AND(AA33="Muy Alta",AC33="Catastrófico")),"Extremo","")))),"")</f>
        <v/>
      </c>
      <c r="AF33" s="507"/>
    </row>
    <row r="34" spans="1:32" ht="44.25" customHeight="1" thickBot="1" x14ac:dyDescent="0.35">
      <c r="A34" s="539"/>
      <c r="B34" s="524"/>
      <c r="C34" s="558"/>
      <c r="D34" s="558"/>
      <c r="E34" s="332"/>
      <c r="F34" s="331"/>
      <c r="G34" s="333"/>
      <c r="H34" s="564"/>
      <c r="I34" s="542"/>
      <c r="J34" s="545"/>
      <c r="K34" s="561"/>
      <c r="L34" s="548"/>
      <c r="M34" s="268">
        <f>IF(NOT(ISERROR(MATCH(L34,_xlfn.ANCHORARRAY(D45),0))),J47&amp;"Por favor no seleccionar los criterios de impacto",L34)</f>
        <v>0</v>
      </c>
      <c r="N34" s="542"/>
      <c r="O34" s="545"/>
      <c r="P34" s="542"/>
      <c r="Q34" s="193">
        <v>6</v>
      </c>
      <c r="R34" s="289"/>
      <c r="S34" s="228" t="str">
        <f t="shared" si="27"/>
        <v/>
      </c>
      <c r="T34" s="229"/>
      <c r="U34" s="229"/>
      <c r="V34" s="236" t="str">
        <f t="shared" si="28"/>
        <v/>
      </c>
      <c r="W34" s="229"/>
      <c r="X34" s="229"/>
      <c r="Y34" s="229"/>
      <c r="Z34" s="239" t="str">
        <f t="shared" si="29"/>
        <v/>
      </c>
      <c r="AA34" s="265" t="str">
        <f t="shared" si="1"/>
        <v/>
      </c>
      <c r="AB34" s="230" t="str">
        <f t="shared" si="25"/>
        <v/>
      </c>
      <c r="AC34" s="265" t="str">
        <f t="shared" si="3"/>
        <v/>
      </c>
      <c r="AD34" s="230" t="str">
        <f t="shared" si="30"/>
        <v/>
      </c>
      <c r="AE34" s="232" t="str">
        <f t="shared" si="31"/>
        <v/>
      </c>
      <c r="AF34" s="508"/>
    </row>
    <row r="35" spans="1:32" ht="48" customHeight="1" x14ac:dyDescent="0.3">
      <c r="A35" s="537">
        <v>6</v>
      </c>
      <c r="B35" s="522"/>
      <c r="C35" s="522"/>
      <c r="D35" s="519"/>
      <c r="E35" s="269"/>
      <c r="F35" s="288"/>
      <c r="G35" s="288"/>
      <c r="H35" s="525"/>
      <c r="I35" s="528" t="str">
        <f>IF(H35&lt;=0,"",IF(H35&lt;=2,"Muy Baja",IF(H35&lt;=24,"Baja",IF(H35&lt;=500,"Media",IF(H35&lt;=5000,"Alta","Muy Alta")))))</f>
        <v/>
      </c>
      <c r="J35" s="534" t="str">
        <f>IF(I35="","",IF(I35="Muy Baja",0.2,IF(I35="Baja",0.4,IF(I35="Media",0.6,IF(I35="Alta",0.8,IF(I35="Muy Alta",1,))))))</f>
        <v/>
      </c>
      <c r="K35" s="522"/>
      <c r="L35" s="531"/>
      <c r="M35" s="266">
        <f>IF(NOT(ISERROR(MATCH(L35,'Tabla Impacto'!$B$221:$B$223,0))),'Tabla Impacto'!$F$223&amp;"Por favor no seleccionar los criterios de impacto(Afectación Económica o presupuestal y Pérdida Reputacional)",L35)</f>
        <v>0</v>
      </c>
      <c r="N35" s="528" t="str">
        <f>IF(OR(M35='Tabla Impacto'!$C$11,M35='Tabla Impacto'!$D$11),"Leve",IF(OR(M35='Tabla Impacto'!$C$12,M35='Tabla Impacto'!$D$12),"Menor",IF(OR(M35='Tabla Impacto'!$C$13,M35='Tabla Impacto'!$D$13),"Moderado",IF(OR(M35='Tabla Impacto'!$C$14,M35='Tabla Impacto'!$D$14),"Mayor",IF(OR(M35='Tabla Impacto'!$C$15,M35='Tabla Impacto'!$D$15),"Catastrófico","")))))</f>
        <v/>
      </c>
      <c r="O35" s="534" t="str">
        <f>IF(N35="","",IF(N35="Leve",0.2,IF(N35="Menor",0.4,IF(N35="Moderado",0.6,IF(N35="Mayor",0.8,IF(N35="Catastrófico",1,))))))</f>
        <v/>
      </c>
      <c r="P35" s="528" t="str">
        <f>IF(OR(AND(I35="Muy Baja",N35="Leve"),AND(I35="Muy Baja",N35="Menor"),AND(I35="Baja",N35="Leve")),"Bajo",IF(OR(AND(I35="Muy baja",N35="Moderado"),AND(I35="Baja",N35="Menor"),AND(I35="Baja",N35="Moderado"),AND(I35="Media",N35="Leve"),AND(I35="Media",N35="Menor"),AND(I35="Media",N35="Moderado"),AND(I35="Alta",N35="Leve"),AND(I35="Alta",N35="Menor")),"Moderado",IF(OR(AND(I35="Muy Baja",N35="Mayor"),AND(I35="Baja",N35="Mayor"),AND(I35="Media",N35="Mayor"),AND(I35="Alta",N35="Moderado"),AND(I35="Alta",N35="Mayor"),AND(I35="Muy Alta",N35="Leve"),AND(I35="Muy Alta",N35="Menor"),AND(I35="Muy Alta",N35="Moderado"),AND(I35="Muy Alta",N35="Mayor")),"Alto",IF(OR(AND(I35="Muy Baja",N35="Catastrófico"),AND(I35="Baja",N35="Catastrófico"),AND(I35="Media",N35="Catastrófico"),AND(I35="Alta",N35="Catastrófico"),AND(I35="Muy Alta",N35="Catastrófico")),"Extremo",""))))</f>
        <v/>
      </c>
      <c r="Q35" s="191">
        <v>1</v>
      </c>
      <c r="R35" s="288"/>
      <c r="S35" s="216"/>
      <c r="T35" s="217"/>
      <c r="U35" s="217"/>
      <c r="V35" s="234"/>
      <c r="W35" s="217"/>
      <c r="X35" s="217"/>
      <c r="Y35" s="217"/>
      <c r="Z35" s="237" t="str">
        <f>IFERROR(IF(S35="Probabilidad",(J35-(+J35*V35)),IF(S35="Impacto",J35,"")),"")</f>
        <v/>
      </c>
      <c r="AA35" s="263" t="str">
        <f>IFERROR(IF(Z35="","",IF(Z35&lt;=0.2,"Muy Baja",IF(Z35&lt;=0.4,"Baja",IF(Z35&lt;=0.6,"Media",IF(Z35&lt;=0.8,"Alta","Muy Alta"))))),"")</f>
        <v/>
      </c>
      <c r="AB35" s="218" t="str">
        <f>+Z35</f>
        <v/>
      </c>
      <c r="AC35" s="263" t="str">
        <f>IFERROR(IF(AD35="","",IF(AD35&lt;=0.2,"Leve",IF(AD35&lt;=0.4,"Menor",IF(AD35&lt;=0.6,"Moderado",IF(AD35&lt;=0.8,"Mayor","Catastrófico"))))),"")</f>
        <v/>
      </c>
      <c r="AD35" s="218" t="str">
        <f>IFERROR(IF(S35="Impacto",(O35-(+O35*V35)),IF(S35="Probabilidad",O35,"")),"")</f>
        <v/>
      </c>
      <c r="AE35" s="220" t="str">
        <f>IFERROR(IF(OR(AND(AA35="Muy Baja",AC35="Leve"),AND(AA35="Muy Baja",AC35="Menor"),AND(AA35="Baja",AC35="Leve")),"Bajo",IF(OR(AND(AA35="Muy baja",AC35="Moderado"),AND(AA35="Baja",AC35="Menor"),AND(AA35="Baja",AC35="Moderado"),AND(AA35="Media",AC35="Leve"),AND(AA35="Media",AC35="Menor"),AND(AA35="Media",AC35="Moderado"),AND(AA35="Alta",AC35="Leve"),AND(AA35="Alta",AC35="Menor")),"Moderado",IF(OR(AND(AA35="Muy Baja",AC35="Mayor"),AND(AA35="Baja",AC35="Mayor"),AND(AA35="Media",AC35="Mayor"),AND(AA35="Alta",AC35="Moderado"),AND(AA35="Alta",AC35="Mayor"),AND(AA35="Muy Alta",AC35="Leve"),AND(AA35="Muy Alta",AC35="Menor"),AND(AA35="Muy Alta",AC35="Moderado"),AND(AA35="Muy Alta",AC35="Mayor")),"Alto",IF(OR(AND(AA35="Muy Baja",AC35="Catastrófico"),AND(AA35="Baja",AC35="Catastrófico"),AND(AA35="Media",AC35="Catastrófico"),AND(AA35="Alta",AC35="Catastrófico"),AND(AA35="Muy Alta",AC35="Catastrófico")),"Extremo","")))),"")</f>
        <v/>
      </c>
      <c r="AF35" s="506"/>
    </row>
    <row r="36" spans="1:32" ht="48" customHeight="1" x14ac:dyDescent="0.3">
      <c r="A36" s="538"/>
      <c r="B36" s="523"/>
      <c r="C36" s="523"/>
      <c r="D36" s="520"/>
      <c r="E36" s="270"/>
      <c r="F36" s="286"/>
      <c r="G36" s="286"/>
      <c r="H36" s="526"/>
      <c r="I36" s="529"/>
      <c r="J36" s="535"/>
      <c r="K36" s="523"/>
      <c r="L36" s="532"/>
      <c r="M36" s="267">
        <f>IF(NOT(ISERROR(MATCH(L36,_xlfn.ANCHORARRAY(D47),0))),J49&amp;"Por favor no seleccionar los criterios de impacto",L36)</f>
        <v>0</v>
      </c>
      <c r="N36" s="529"/>
      <c r="O36" s="535"/>
      <c r="P36" s="529"/>
      <c r="Q36" s="192">
        <v>2</v>
      </c>
      <c r="R36" s="294"/>
      <c r="S36" s="222"/>
      <c r="T36" s="223"/>
      <c r="U36" s="223"/>
      <c r="V36" s="235"/>
      <c r="W36" s="223"/>
      <c r="X36" s="223"/>
      <c r="Y36" s="223"/>
      <c r="Z36" s="238" t="str">
        <f>IFERROR(IF(AND(S35="Probabilidad",S36="Probabilidad"),(AB35-(+AB35*V36)),IF(S36="Probabilidad",(J35-(+J35*V36)),IF(S36="Impacto",AB35,""))),"")</f>
        <v/>
      </c>
      <c r="AA36" s="264" t="str">
        <f t="shared" si="1"/>
        <v/>
      </c>
      <c r="AB36" s="224" t="str">
        <f t="shared" ref="AB36:AB40" si="32">+Z36</f>
        <v/>
      </c>
      <c r="AC36" s="264" t="str">
        <f t="shared" si="3"/>
        <v/>
      </c>
      <c r="AD36" s="224" t="str">
        <f>IFERROR(IF(AND(S35="Impacto",S36="Impacto"),(AD35-(+AD35*V36)),IF(S36="Impacto",(O35-(+O35*V36)),IF(S36="Probabilidad",AD35,""))),"")</f>
        <v/>
      </c>
      <c r="AE36" s="226" t="str">
        <f t="shared" ref="AE36:AE37" si="33">IFERROR(IF(OR(AND(AA36="Muy Baja",AC36="Leve"),AND(AA36="Muy Baja",AC36="Menor"),AND(AA36="Baja",AC36="Leve")),"Bajo",IF(OR(AND(AA36="Muy baja",AC36="Moderado"),AND(AA36="Baja",AC36="Menor"),AND(AA36="Baja",AC36="Moderado"),AND(AA36="Media",AC36="Leve"),AND(AA36="Media",AC36="Menor"),AND(AA36="Media",AC36="Moderado"),AND(AA36="Alta",AC36="Leve"),AND(AA36="Alta",AC36="Menor")),"Moderado",IF(OR(AND(AA36="Muy Baja",AC36="Mayor"),AND(AA36="Baja",AC36="Mayor"),AND(AA36="Media",AC36="Mayor"),AND(AA36="Alta",AC36="Moderado"),AND(AA36="Alta",AC36="Mayor"),AND(AA36="Muy Alta",AC36="Leve"),AND(AA36="Muy Alta",AC36="Menor"),AND(AA36="Muy Alta",AC36="Moderado"),AND(AA36="Muy Alta",AC36="Mayor")),"Alto",IF(OR(AND(AA36="Muy Baja",AC36="Catastrófico"),AND(AA36="Baja",AC36="Catastrófico"),AND(AA36="Media",AC36="Catastrófico"),AND(AA36="Alta",AC36="Catastrófico"),AND(AA36="Muy Alta",AC36="Catastrófico")),"Extremo","")))),"")</f>
        <v/>
      </c>
      <c r="AF36" s="507"/>
    </row>
    <row r="37" spans="1:32" ht="48" customHeight="1" x14ac:dyDescent="0.3">
      <c r="A37" s="538"/>
      <c r="B37" s="523"/>
      <c r="C37" s="523"/>
      <c r="D37" s="520"/>
      <c r="E37" s="270"/>
      <c r="F37" s="294"/>
      <c r="G37" s="286"/>
      <c r="H37" s="526"/>
      <c r="I37" s="529"/>
      <c r="J37" s="535"/>
      <c r="K37" s="523"/>
      <c r="L37" s="532"/>
      <c r="M37" s="267">
        <f>IF(NOT(ISERROR(MATCH(L37,_xlfn.ANCHORARRAY(D48),0))),J50&amp;"Por favor no seleccionar los criterios de impacto",L37)</f>
        <v>0</v>
      </c>
      <c r="N37" s="529"/>
      <c r="O37" s="535"/>
      <c r="P37" s="529"/>
      <c r="Q37" s="192">
        <v>3</v>
      </c>
      <c r="R37" s="294"/>
      <c r="S37" s="222"/>
      <c r="T37" s="223"/>
      <c r="U37" s="223"/>
      <c r="V37" s="235"/>
      <c r="W37" s="223"/>
      <c r="X37" s="223"/>
      <c r="Y37" s="223"/>
      <c r="Z37" s="238" t="str">
        <f>IFERROR(IF(AND(S36="Probabilidad",S37="Probabilidad"),(AB36-(+AB36*V37)),IF(AND(S36="Impacto",S37="Probabilidad"),(AB35-(+AB35*V37)),IF(S37="Impacto",AB36,""))),"")</f>
        <v/>
      </c>
      <c r="AA37" s="264" t="str">
        <f t="shared" si="1"/>
        <v/>
      </c>
      <c r="AB37" s="224" t="str">
        <f t="shared" si="32"/>
        <v/>
      </c>
      <c r="AC37" s="264" t="str">
        <f t="shared" si="3"/>
        <v/>
      </c>
      <c r="AD37" s="224" t="str">
        <f>IFERROR(IF(AND(S36="Impacto",S37="Impacto"),(AD36-(+AD36*V37)),IF(AND(S36="Probabilidad",S37="Impacto"),(AD35-(+AD35*V37)),IF(S37="Probabilidad",AD36,""))),"")</f>
        <v/>
      </c>
      <c r="AE37" s="226" t="str">
        <f t="shared" si="33"/>
        <v/>
      </c>
      <c r="AF37" s="507"/>
    </row>
    <row r="38" spans="1:32" ht="48" customHeight="1" x14ac:dyDescent="0.3">
      <c r="A38" s="538"/>
      <c r="B38" s="523"/>
      <c r="C38" s="523"/>
      <c r="D38" s="520"/>
      <c r="E38" s="270"/>
      <c r="F38" s="294"/>
      <c r="G38" s="286"/>
      <c r="H38" s="526"/>
      <c r="I38" s="529"/>
      <c r="J38" s="535"/>
      <c r="K38" s="523"/>
      <c r="L38" s="532"/>
      <c r="M38" s="267">
        <f>IF(NOT(ISERROR(MATCH(L38,_xlfn.ANCHORARRAY(D49),0))),J51&amp;"Por favor no seleccionar los criterios de impacto",L38)</f>
        <v>0</v>
      </c>
      <c r="N38" s="529"/>
      <c r="O38" s="535"/>
      <c r="P38" s="529"/>
      <c r="Q38" s="192">
        <v>4</v>
      </c>
      <c r="R38" s="286"/>
      <c r="S38" s="222" t="str">
        <f t="shared" ref="S38:S40" si="34">IF(OR(T38="Preventivo",T38="Detectivo"),"Probabilidad",IF(T38="Correctivo","Impacto",""))</f>
        <v/>
      </c>
      <c r="T38" s="223"/>
      <c r="U38" s="223"/>
      <c r="V38" s="235" t="str">
        <f t="shared" ref="V38:V40" si="35">IF(AND(T38="Preventivo",U38="Automático"),"50%",IF(AND(T38="Preventivo",U38="Manual"),"40%",IF(AND(T38="Detectivo",U38="Automático"),"40%",IF(AND(T38="Detectivo",U38="Manual"),"30%",IF(AND(T38="Correctivo",U38="Automático"),"35%",IF(AND(T38="Correctivo",U38="Manual"),"25%",""))))))</f>
        <v/>
      </c>
      <c r="W38" s="223"/>
      <c r="X38" s="223"/>
      <c r="Y38" s="223"/>
      <c r="Z38" s="238" t="str">
        <f t="shared" ref="Z38:Z40" si="36">IFERROR(IF(AND(S37="Probabilidad",S38="Probabilidad"),(AB37-(+AB37*V38)),IF(AND(S37="Impacto",S38="Probabilidad"),(AB36-(+AB36*V38)),IF(S38="Impacto",AB37,""))),"")</f>
        <v/>
      </c>
      <c r="AA38" s="264" t="str">
        <f t="shared" si="1"/>
        <v/>
      </c>
      <c r="AB38" s="224" t="str">
        <f t="shared" si="32"/>
        <v/>
      </c>
      <c r="AC38" s="264" t="str">
        <f t="shared" si="3"/>
        <v/>
      </c>
      <c r="AD38" s="224" t="str">
        <f t="shared" ref="AD38:AD40" si="37">IFERROR(IF(AND(S37="Impacto",S38="Impacto"),(AD37-(+AD37*V38)),IF(AND(S37="Probabilidad",S38="Impacto"),(AD36-(+AD36*V38)),IF(S38="Probabilidad",AD37,""))),"")</f>
        <v/>
      </c>
      <c r="AE38" s="226" t="str">
        <f>IFERROR(IF(OR(AND(AA38="Muy Baja",AC38="Leve"),AND(AA38="Muy Baja",AC38="Menor"),AND(AA38="Baja",AC38="Leve")),"Bajo",IF(OR(AND(AA38="Muy baja",AC38="Moderado"),AND(AA38="Baja",AC38="Menor"),AND(AA38="Baja",AC38="Moderado"),AND(AA38="Media",AC38="Leve"),AND(AA38="Media",AC38="Menor"),AND(AA38="Media",AC38="Moderado"),AND(AA38="Alta",AC38="Leve"),AND(AA38="Alta",AC38="Menor")),"Moderado",IF(OR(AND(AA38="Muy Baja",AC38="Mayor"),AND(AA38="Baja",AC38="Mayor"),AND(AA38="Media",AC38="Mayor"),AND(AA38="Alta",AC38="Moderado"),AND(AA38="Alta",AC38="Mayor"),AND(AA38="Muy Alta",AC38="Leve"),AND(AA38="Muy Alta",AC38="Menor"),AND(AA38="Muy Alta",AC38="Moderado"),AND(AA38="Muy Alta",AC38="Mayor")),"Alto",IF(OR(AND(AA38="Muy Baja",AC38="Catastrófico"),AND(AA38="Baja",AC38="Catastrófico"),AND(AA38="Media",AC38="Catastrófico"),AND(AA38="Alta",AC38="Catastrófico"),AND(AA38="Muy Alta",AC38="Catastrófico")),"Extremo","")))),"")</f>
        <v/>
      </c>
      <c r="AF38" s="507"/>
    </row>
    <row r="39" spans="1:32" ht="48" customHeight="1" x14ac:dyDescent="0.3">
      <c r="A39" s="538"/>
      <c r="B39" s="523"/>
      <c r="C39" s="523"/>
      <c r="D39" s="520"/>
      <c r="E39" s="270"/>
      <c r="F39" s="294"/>
      <c r="G39" s="286"/>
      <c r="H39" s="526"/>
      <c r="I39" s="529"/>
      <c r="J39" s="535"/>
      <c r="K39" s="523"/>
      <c r="L39" s="532"/>
      <c r="M39" s="267">
        <f>IF(NOT(ISERROR(MATCH(L39,_xlfn.ANCHORARRAY(D50),0))),J52&amp;"Por favor no seleccionar los criterios de impacto",L39)</f>
        <v>0</v>
      </c>
      <c r="N39" s="529"/>
      <c r="O39" s="535"/>
      <c r="P39" s="529"/>
      <c r="Q39" s="192">
        <v>5</v>
      </c>
      <c r="R39" s="286"/>
      <c r="S39" s="222" t="str">
        <f t="shared" si="34"/>
        <v/>
      </c>
      <c r="T39" s="223"/>
      <c r="U39" s="223"/>
      <c r="V39" s="235" t="str">
        <f t="shared" si="35"/>
        <v/>
      </c>
      <c r="W39" s="223"/>
      <c r="X39" s="223"/>
      <c r="Y39" s="223"/>
      <c r="Z39" s="238" t="str">
        <f t="shared" si="36"/>
        <v/>
      </c>
      <c r="AA39" s="264" t="str">
        <f t="shared" si="1"/>
        <v/>
      </c>
      <c r="AB39" s="224" t="str">
        <f t="shared" si="32"/>
        <v/>
      </c>
      <c r="AC39" s="264" t="str">
        <f t="shared" si="3"/>
        <v/>
      </c>
      <c r="AD39" s="224" t="str">
        <f t="shared" si="37"/>
        <v/>
      </c>
      <c r="AE39" s="226" t="str">
        <f t="shared" ref="AE39" si="38">IFERROR(IF(OR(AND(AA39="Muy Baja",AC39="Leve"),AND(AA39="Muy Baja",AC39="Menor"),AND(AA39="Baja",AC39="Leve")),"Bajo",IF(OR(AND(AA39="Muy baja",AC39="Moderado"),AND(AA39="Baja",AC39="Menor"),AND(AA39="Baja",AC39="Moderado"),AND(AA39="Media",AC39="Leve"),AND(AA39="Media",AC39="Menor"),AND(AA39="Media",AC39="Moderado"),AND(AA39="Alta",AC39="Leve"),AND(AA39="Alta",AC39="Menor")),"Moderado",IF(OR(AND(AA39="Muy Baja",AC39="Mayor"),AND(AA39="Baja",AC39="Mayor"),AND(AA39="Media",AC39="Mayor"),AND(AA39="Alta",AC39="Moderado"),AND(AA39="Alta",AC39="Mayor"),AND(AA39="Muy Alta",AC39="Leve"),AND(AA39="Muy Alta",AC39="Menor"),AND(AA39="Muy Alta",AC39="Moderado"),AND(AA39="Muy Alta",AC39="Mayor")),"Alto",IF(OR(AND(AA39="Muy Baja",AC39="Catastrófico"),AND(AA39="Baja",AC39="Catastrófico"),AND(AA39="Media",AC39="Catastrófico"),AND(AA39="Alta",AC39="Catastrófico"),AND(AA39="Muy Alta",AC39="Catastrófico")),"Extremo","")))),"")</f>
        <v/>
      </c>
      <c r="AF39" s="507"/>
    </row>
    <row r="40" spans="1:32" ht="48" customHeight="1" thickBot="1" x14ac:dyDescent="0.35">
      <c r="A40" s="539"/>
      <c r="B40" s="524"/>
      <c r="C40" s="524"/>
      <c r="D40" s="521"/>
      <c r="E40" s="271"/>
      <c r="F40" s="294"/>
      <c r="G40" s="289"/>
      <c r="H40" s="527"/>
      <c r="I40" s="530"/>
      <c r="J40" s="536"/>
      <c r="K40" s="524"/>
      <c r="L40" s="533"/>
      <c r="M40" s="268">
        <f>IF(NOT(ISERROR(MATCH(L40,_xlfn.ANCHORARRAY(D51),0))),J53&amp;"Por favor no seleccionar los criterios de impacto",L40)</f>
        <v>0</v>
      </c>
      <c r="N40" s="530"/>
      <c r="O40" s="536"/>
      <c r="P40" s="530"/>
      <c r="Q40" s="193">
        <v>6</v>
      </c>
      <c r="R40" s="289"/>
      <c r="S40" s="228" t="str">
        <f t="shared" si="34"/>
        <v/>
      </c>
      <c r="T40" s="229"/>
      <c r="U40" s="229"/>
      <c r="V40" s="236" t="str">
        <f t="shared" si="35"/>
        <v/>
      </c>
      <c r="W40" s="229"/>
      <c r="X40" s="229"/>
      <c r="Y40" s="229"/>
      <c r="Z40" s="239" t="str">
        <f t="shared" si="36"/>
        <v/>
      </c>
      <c r="AA40" s="265" t="str">
        <f t="shared" si="1"/>
        <v/>
      </c>
      <c r="AB40" s="230" t="str">
        <f t="shared" si="32"/>
        <v/>
      </c>
      <c r="AC40" s="265" t="str">
        <f>IFERROR(IF(AD40="","",IF(AD40&lt;=0.2,"Leve",IF(AD40&lt;=0.4,"Menor",IF(AD40&lt;=0.6,"Moderado",IF(AD40&lt;=0.8,"Mayor","Catastrófico"))))),"")</f>
        <v/>
      </c>
      <c r="AD40" s="230" t="str">
        <f t="shared" si="37"/>
        <v/>
      </c>
      <c r="AE40" s="232" t="str">
        <f>IFERROR(IF(OR(AND(AA40="Muy Baja",AC40="Leve"),AND(AA40="Muy Baja",AC40="Menor"),AND(AA40="Baja",AC40="Leve")),"Bajo",IF(OR(AND(AA40="Muy baja",AC40="Moderado"),AND(AA40="Baja",AC40="Menor"),AND(AA40="Baja",AC40="Moderado"),AND(AA40="Media",AC40="Leve"),AND(AA40="Media",AC40="Menor"),AND(AA40="Media",AC40="Moderado"),AND(AA40="Alta",AC40="Leve"),AND(AA40="Alta",AC40="Menor")),"Moderado",IF(OR(AND(AA40="Muy Baja",AC40="Mayor"),AND(AA40="Baja",AC40="Mayor"),AND(AA40="Media",AC40="Mayor"),AND(AA40="Alta",AC40="Moderado"),AND(AA40="Alta",AC40="Mayor"),AND(AA40="Muy Alta",AC40="Leve"),AND(AA40="Muy Alta",AC40="Menor"),AND(AA40="Muy Alta",AC40="Moderado"),AND(AA40="Muy Alta",AC40="Mayor")),"Alto",IF(OR(AND(AA40="Muy Baja",AC40="Catastrófico"),AND(AA40="Baja",AC40="Catastrófico"),AND(AA40="Media",AC40="Catastrófico"),AND(AA40="Alta",AC40="Catastrófico"),AND(AA40="Muy Alta",AC40="Catastrófico")),"Extremo","")))),"")</f>
        <v/>
      </c>
      <c r="AF40" s="508"/>
    </row>
    <row r="41" spans="1:32" ht="54" customHeight="1" x14ac:dyDescent="0.3">
      <c r="A41" s="537">
        <v>7</v>
      </c>
      <c r="B41" s="522"/>
      <c r="C41" s="522"/>
      <c r="D41" s="552"/>
      <c r="E41" s="296"/>
      <c r="F41" s="297"/>
      <c r="G41" s="297"/>
      <c r="H41" s="525"/>
      <c r="I41" s="528"/>
      <c r="J41" s="534"/>
      <c r="K41" s="522"/>
      <c r="L41" s="531"/>
      <c r="M41" s="266"/>
      <c r="N41" s="528"/>
      <c r="O41" s="534"/>
      <c r="P41" s="528"/>
      <c r="Q41" s="191"/>
      <c r="R41" s="297"/>
      <c r="S41" s="216"/>
      <c r="T41" s="217"/>
      <c r="U41" s="217"/>
      <c r="V41" s="234"/>
      <c r="W41" s="217"/>
      <c r="X41" s="217"/>
      <c r="Y41" s="217"/>
      <c r="Z41" s="219" t="str">
        <f>IFERROR(IF(S41="Probabilidad",(J41-(+J41*V41)),IF(S41="Impacto",J41,"")),"")</f>
        <v/>
      </c>
      <c r="AA41" s="263" t="str">
        <f>IFERROR(IF(Z41="","",IF(Z41&lt;=0.2,"Muy Baja",IF(Z41&lt;=0.4,"Baja",IF(Z41&lt;=0.6,"Media",IF(Z41&lt;=0.8,"Alta","Muy Alta"))))),"")</f>
        <v/>
      </c>
      <c r="AB41" s="218" t="str">
        <f>+Z41</f>
        <v/>
      </c>
      <c r="AC41" s="263" t="str">
        <f>IFERROR(IF(AD41="","",IF(AD41&lt;=0.2,"Leve",IF(AD41&lt;=0.4,"Menor",IF(AD41&lt;=0.6,"Moderado",IF(AD41&lt;=0.8,"Mayor","Catastrófico"))))),"")</f>
        <v/>
      </c>
      <c r="AD41" s="218" t="str">
        <f>IFERROR(IF(S41="Impacto",(O41-(+O41*V41)),IF(S41="Probabilidad",O41,"")),"")</f>
        <v/>
      </c>
      <c r="AE41" s="220" t="str">
        <f>IFERROR(IF(OR(AND(AA41="Muy Baja",AC41="Leve"),AND(AA41="Muy Baja",AC41="Menor"),AND(AA41="Baja",AC41="Leve")),"Bajo",IF(OR(AND(AA41="Muy baja",AC41="Moderado"),AND(AA41="Baja",AC41="Menor"),AND(AA41="Baja",AC41="Moderado"),AND(AA41="Media",AC41="Leve"),AND(AA41="Media",AC41="Menor"),AND(AA41="Media",AC41="Moderado"),AND(AA41="Alta",AC41="Leve"),AND(AA41="Alta",AC41="Menor")),"Moderado",IF(OR(AND(AA41="Muy Baja",AC41="Mayor"),AND(AA41="Baja",AC41="Mayor"),AND(AA41="Media",AC41="Mayor"),AND(AA41="Alta",AC41="Moderado"),AND(AA41="Alta",AC41="Mayor"),AND(AA41="Muy Alta",AC41="Leve"),AND(AA41="Muy Alta",AC41="Menor"),AND(AA41="Muy Alta",AC41="Moderado"),AND(AA41="Muy Alta",AC41="Mayor")),"Alto",IF(OR(AND(AA41="Muy Baja",AC41="Catastrófico"),AND(AA41="Baja",AC41="Catastrófico"),AND(AA41="Media",AC41="Catastrófico"),AND(AA41="Alta",AC41="Catastrófico"),AND(AA41="Muy Alta",AC41="Catastrófico")),"Extremo","")))),"")</f>
        <v/>
      </c>
      <c r="AF41" s="506"/>
    </row>
    <row r="42" spans="1:32" ht="44.25" customHeight="1" x14ac:dyDescent="0.3">
      <c r="A42" s="538"/>
      <c r="B42" s="523"/>
      <c r="C42" s="523"/>
      <c r="D42" s="553"/>
      <c r="E42" s="298"/>
      <c r="F42" s="299"/>
      <c r="G42" s="299"/>
      <c r="H42" s="526"/>
      <c r="I42" s="529"/>
      <c r="J42" s="535"/>
      <c r="K42" s="523"/>
      <c r="L42" s="532"/>
      <c r="M42" s="267"/>
      <c r="N42" s="529"/>
      <c r="O42" s="535"/>
      <c r="P42" s="529"/>
      <c r="Q42" s="192"/>
      <c r="R42" s="286"/>
      <c r="S42" s="222"/>
      <c r="T42" s="223"/>
      <c r="U42" s="223"/>
      <c r="V42" s="235"/>
      <c r="W42" s="223"/>
      <c r="X42" s="223"/>
      <c r="Y42" s="223"/>
      <c r="Z42" s="225" t="str">
        <f>IFERROR(IF(AND(S41="Probabilidad",S42="Probabilidad"),(AB41-(+AB41*V42)),IF(S42="Probabilidad",(J41-(+J41*V42)),IF(S42="Impacto",AB41,""))),"")</f>
        <v/>
      </c>
      <c r="AA42" s="264" t="str">
        <f t="shared" ref="AA42:AA46" si="39">IFERROR(IF(Z42="","",IF(Z42&lt;=0.2,"Muy Baja",IF(Z42&lt;=0.4,"Baja",IF(Z42&lt;=0.6,"Media",IF(Z42&lt;=0.8,"Alta","Muy Alta"))))),"")</f>
        <v/>
      </c>
      <c r="AB42" s="224" t="str">
        <f t="shared" ref="AB42:AB46" si="40">+Z42</f>
        <v/>
      </c>
      <c r="AC42" s="264" t="str">
        <f t="shared" ref="AC42:AC46" si="41">IFERROR(IF(AD42="","",IF(AD42&lt;=0.2,"Leve",IF(AD42&lt;=0.4,"Menor",IF(AD42&lt;=0.6,"Moderado",IF(AD42&lt;=0.8,"Mayor","Catastrófico"))))),"")</f>
        <v/>
      </c>
      <c r="AD42" s="224" t="str">
        <f>IFERROR(IF(AND(S41="Impacto",S42="Impacto"),(AD41-(+AD41*V42)),IF(S42="Impacto",(O41-(+O41*V42)),IF(S42="Probabilidad",AD41,""))),"")</f>
        <v/>
      </c>
      <c r="AE42" s="226" t="str">
        <f t="shared" ref="AE42:AE43" si="42">IFERROR(IF(OR(AND(AA42="Muy Baja",AC42="Leve"),AND(AA42="Muy Baja",AC42="Menor"),AND(AA42="Baja",AC42="Leve")),"Bajo",IF(OR(AND(AA42="Muy baja",AC42="Moderado"),AND(AA42="Baja",AC42="Menor"),AND(AA42="Baja",AC42="Moderado"),AND(AA42="Media",AC42="Leve"),AND(AA42="Media",AC42="Menor"),AND(AA42="Media",AC42="Moderado"),AND(AA42="Alta",AC42="Leve"),AND(AA42="Alta",AC42="Menor")),"Moderado",IF(OR(AND(AA42="Muy Baja",AC42="Mayor"),AND(AA42="Baja",AC42="Mayor"),AND(AA42="Media",AC42="Mayor"),AND(AA42="Alta",AC42="Moderado"),AND(AA42="Alta",AC42="Mayor"),AND(AA42="Muy Alta",AC42="Leve"),AND(AA42="Muy Alta",AC42="Menor"),AND(AA42="Muy Alta",AC42="Moderado"),AND(AA42="Muy Alta",AC42="Mayor")),"Alto",IF(OR(AND(AA42="Muy Baja",AC42="Catastrófico"),AND(AA42="Baja",AC42="Catastrófico"),AND(AA42="Media",AC42="Catastrófico"),AND(AA42="Alta",AC42="Catastrófico"),AND(AA42="Muy Alta",AC42="Catastrófico")),"Extremo","")))),"")</f>
        <v/>
      </c>
      <c r="AF42" s="507"/>
    </row>
    <row r="43" spans="1:32" ht="44.25" customHeight="1" x14ac:dyDescent="0.3">
      <c r="A43" s="538"/>
      <c r="B43" s="523"/>
      <c r="C43" s="523"/>
      <c r="D43" s="553"/>
      <c r="E43" s="298"/>
      <c r="F43" s="299"/>
      <c r="G43" s="299"/>
      <c r="H43" s="526"/>
      <c r="I43" s="529"/>
      <c r="J43" s="535"/>
      <c r="K43" s="523"/>
      <c r="L43" s="532"/>
      <c r="M43" s="267"/>
      <c r="N43" s="529"/>
      <c r="O43" s="535"/>
      <c r="P43" s="529"/>
      <c r="Q43" s="192"/>
      <c r="R43" s="287"/>
      <c r="S43" s="222"/>
      <c r="T43" s="223"/>
      <c r="U43" s="223"/>
      <c r="V43" s="235"/>
      <c r="W43" s="223"/>
      <c r="X43" s="223"/>
      <c r="Y43" s="223"/>
      <c r="Z43" s="225" t="str">
        <f>IFERROR(IF(AND(S42="Probabilidad",S43="Probabilidad"),(AB42-(+AB42*V43)),IF(AND(S42="Impacto",S43="Probabilidad"),(AB41-(+AB41*V43)),IF(S43="Impacto",AB42,""))),"")</f>
        <v/>
      </c>
      <c r="AA43" s="264" t="str">
        <f t="shared" si="39"/>
        <v/>
      </c>
      <c r="AB43" s="224" t="str">
        <f t="shared" si="40"/>
        <v/>
      </c>
      <c r="AC43" s="264" t="str">
        <f t="shared" si="41"/>
        <v/>
      </c>
      <c r="AD43" s="224" t="str">
        <f>IFERROR(IF(AND(S42="Impacto",S43="Impacto"),(AD42-(+AD42*V43)),IF(AND(S42="Probabilidad",S43="Impacto"),(AD41-(+AD41*V43)),IF(S43="Probabilidad",AD42,""))),"")</f>
        <v/>
      </c>
      <c r="AE43" s="226" t="str">
        <f t="shared" si="42"/>
        <v/>
      </c>
      <c r="AF43" s="507"/>
    </row>
    <row r="44" spans="1:32" ht="44.25" customHeight="1" x14ac:dyDescent="0.3">
      <c r="A44" s="538"/>
      <c r="B44" s="523"/>
      <c r="C44" s="523"/>
      <c r="D44" s="553"/>
      <c r="E44" s="298"/>
      <c r="F44" s="299"/>
      <c r="G44" s="299"/>
      <c r="H44" s="526"/>
      <c r="I44" s="529"/>
      <c r="J44" s="535"/>
      <c r="K44" s="523"/>
      <c r="L44" s="532"/>
      <c r="M44" s="267"/>
      <c r="N44" s="529"/>
      <c r="O44" s="535"/>
      <c r="P44" s="529"/>
      <c r="Q44" s="192"/>
      <c r="R44" s="286"/>
      <c r="S44" s="222"/>
      <c r="T44" s="223"/>
      <c r="U44" s="223"/>
      <c r="V44" s="235"/>
      <c r="W44" s="223"/>
      <c r="X44" s="223"/>
      <c r="Y44" s="223"/>
      <c r="Z44" s="225" t="str">
        <f t="shared" ref="Z44:Z46" si="43">IFERROR(IF(AND(S43="Probabilidad",S44="Probabilidad"),(AB43-(+AB43*V44)),IF(AND(S43="Impacto",S44="Probabilidad"),(AB42-(+AB42*V44)),IF(S44="Impacto",AB43,""))),"")</f>
        <v/>
      </c>
      <c r="AA44" s="264" t="str">
        <f t="shared" si="39"/>
        <v/>
      </c>
      <c r="AB44" s="224" t="str">
        <f t="shared" si="40"/>
        <v/>
      </c>
      <c r="AC44" s="264" t="str">
        <f t="shared" si="41"/>
        <v/>
      </c>
      <c r="AD44" s="224" t="str">
        <f t="shared" ref="AD44:AD46" si="44">IFERROR(IF(AND(S43="Impacto",S44="Impacto"),(AD43-(+AD43*V44)),IF(AND(S43="Probabilidad",S44="Impacto"),(AD42-(+AD42*V44)),IF(S44="Probabilidad",AD43,""))),"")</f>
        <v/>
      </c>
      <c r="AE44" s="226" t="str">
        <f>IFERROR(IF(OR(AND(AA44="Muy Baja",AC44="Leve"),AND(AA44="Muy Baja",AC44="Menor"),AND(AA44="Baja",AC44="Leve")),"Bajo",IF(OR(AND(AA44="Muy baja",AC44="Moderado"),AND(AA44="Baja",AC44="Menor"),AND(AA44="Baja",AC44="Moderado"),AND(AA44="Media",AC44="Leve"),AND(AA44="Media",AC44="Menor"),AND(AA44="Media",AC44="Moderado"),AND(AA44="Alta",AC44="Leve"),AND(AA44="Alta",AC44="Menor")),"Moderado",IF(OR(AND(AA44="Muy Baja",AC44="Mayor"),AND(AA44="Baja",AC44="Mayor"),AND(AA44="Media",AC44="Mayor"),AND(AA44="Alta",AC44="Moderado"),AND(AA44="Alta",AC44="Mayor"),AND(AA44="Muy Alta",AC44="Leve"),AND(AA44="Muy Alta",AC44="Menor"),AND(AA44="Muy Alta",AC44="Moderado"),AND(AA44="Muy Alta",AC44="Mayor")),"Alto",IF(OR(AND(AA44="Muy Baja",AC44="Catastrófico"),AND(AA44="Baja",AC44="Catastrófico"),AND(AA44="Media",AC44="Catastrófico"),AND(AA44="Alta",AC44="Catastrófico"),AND(AA44="Muy Alta",AC44="Catastrófico")),"Extremo","")))),"")</f>
        <v/>
      </c>
      <c r="AF44" s="507"/>
    </row>
    <row r="45" spans="1:32" ht="44.25" customHeight="1" x14ac:dyDescent="0.3">
      <c r="A45" s="538"/>
      <c r="B45" s="523"/>
      <c r="C45" s="523"/>
      <c r="D45" s="553"/>
      <c r="E45" s="298"/>
      <c r="F45" s="299"/>
      <c r="G45" s="299"/>
      <c r="H45" s="526"/>
      <c r="I45" s="529"/>
      <c r="J45" s="535"/>
      <c r="K45" s="523"/>
      <c r="L45" s="532"/>
      <c r="M45" s="267"/>
      <c r="N45" s="529"/>
      <c r="O45" s="535"/>
      <c r="P45" s="529"/>
      <c r="Q45" s="192"/>
      <c r="R45" s="286"/>
      <c r="S45" s="222"/>
      <c r="T45" s="223"/>
      <c r="U45" s="223"/>
      <c r="V45" s="235"/>
      <c r="W45" s="223"/>
      <c r="X45" s="223"/>
      <c r="Y45" s="223"/>
      <c r="Z45" s="225" t="str">
        <f t="shared" si="43"/>
        <v/>
      </c>
      <c r="AA45" s="264" t="str">
        <f t="shared" si="39"/>
        <v/>
      </c>
      <c r="AB45" s="224" t="str">
        <f t="shared" si="40"/>
        <v/>
      </c>
      <c r="AC45" s="264" t="str">
        <f t="shared" si="41"/>
        <v/>
      </c>
      <c r="AD45" s="224" t="str">
        <f t="shared" si="44"/>
        <v/>
      </c>
      <c r="AE45" s="226" t="str">
        <f t="shared" ref="AE45:AE46" si="45">IFERROR(IF(OR(AND(AA45="Muy Baja",AC45="Leve"),AND(AA45="Muy Baja",AC45="Menor"),AND(AA45="Baja",AC45="Leve")),"Bajo",IF(OR(AND(AA45="Muy baja",AC45="Moderado"),AND(AA45="Baja",AC45="Menor"),AND(AA45="Baja",AC45="Moderado"),AND(AA45="Media",AC45="Leve"),AND(AA45="Media",AC45="Menor"),AND(AA45="Media",AC45="Moderado"),AND(AA45="Alta",AC45="Leve"),AND(AA45="Alta",AC45="Menor")),"Moderado",IF(OR(AND(AA45="Muy Baja",AC45="Mayor"),AND(AA45="Baja",AC45="Mayor"),AND(AA45="Media",AC45="Mayor"),AND(AA45="Alta",AC45="Moderado"),AND(AA45="Alta",AC45="Mayor"),AND(AA45="Muy Alta",AC45="Leve"),AND(AA45="Muy Alta",AC45="Menor"),AND(AA45="Muy Alta",AC45="Moderado"),AND(AA45="Muy Alta",AC45="Mayor")),"Alto",IF(OR(AND(AA45="Muy Baja",AC45="Catastrófico"),AND(AA45="Baja",AC45="Catastrófico"),AND(AA45="Media",AC45="Catastrófico"),AND(AA45="Alta",AC45="Catastrófico"),AND(AA45="Muy Alta",AC45="Catastrófico")),"Extremo","")))),"")</f>
        <v/>
      </c>
      <c r="AF45" s="507"/>
    </row>
    <row r="46" spans="1:32" ht="44.25" customHeight="1" thickBot="1" x14ac:dyDescent="0.35">
      <c r="A46" s="539"/>
      <c r="B46" s="524"/>
      <c r="C46" s="524"/>
      <c r="D46" s="554"/>
      <c r="E46" s="300"/>
      <c r="F46" s="301"/>
      <c r="G46" s="301"/>
      <c r="H46" s="527"/>
      <c r="I46" s="530"/>
      <c r="J46" s="536"/>
      <c r="K46" s="524"/>
      <c r="L46" s="533"/>
      <c r="M46" s="268"/>
      <c r="N46" s="530"/>
      <c r="O46" s="536"/>
      <c r="P46" s="530"/>
      <c r="Q46" s="193"/>
      <c r="R46" s="289"/>
      <c r="S46" s="228"/>
      <c r="T46" s="229"/>
      <c r="U46" s="229"/>
      <c r="V46" s="236"/>
      <c r="W46" s="229"/>
      <c r="X46" s="229"/>
      <c r="Y46" s="229"/>
      <c r="Z46" s="231" t="str">
        <f t="shared" si="43"/>
        <v/>
      </c>
      <c r="AA46" s="265" t="str">
        <f t="shared" si="39"/>
        <v/>
      </c>
      <c r="AB46" s="230" t="str">
        <f t="shared" si="40"/>
        <v/>
      </c>
      <c r="AC46" s="265" t="str">
        <f t="shared" si="41"/>
        <v/>
      </c>
      <c r="AD46" s="230" t="str">
        <f t="shared" si="44"/>
        <v/>
      </c>
      <c r="AE46" s="232" t="str">
        <f t="shared" si="45"/>
        <v/>
      </c>
      <c r="AF46" s="508"/>
    </row>
    <row r="47" spans="1:32" ht="44.25" customHeight="1" x14ac:dyDescent="0.3">
      <c r="A47" s="537">
        <v>8</v>
      </c>
      <c r="B47" s="522"/>
      <c r="C47" s="522"/>
      <c r="D47" s="552"/>
      <c r="E47" s="296"/>
      <c r="F47" s="297"/>
      <c r="G47" s="297"/>
      <c r="H47" s="525"/>
      <c r="I47" s="528"/>
      <c r="J47" s="534"/>
      <c r="K47" s="522"/>
      <c r="L47" s="531"/>
      <c r="M47" s="266"/>
      <c r="N47" s="528"/>
      <c r="O47" s="534"/>
      <c r="P47" s="528"/>
      <c r="Q47" s="191">
        <v>1</v>
      </c>
      <c r="R47" s="297"/>
      <c r="S47" s="216" t="str">
        <f>IF(OR(T47="Preventivo",T47="Detectivo"),"Probabilidad",IF(T47="Correctivo","Impacto",""))</f>
        <v/>
      </c>
      <c r="T47" s="217"/>
      <c r="U47" s="217"/>
      <c r="V47" s="234" t="str">
        <f>IF(AND(T47="Preventivo",U47="Automático"),"50%",IF(AND(T47="Preventivo",U47="Manual"),"40%",IF(AND(T47="Detectivo",U47="Automático"),"40%",IF(AND(T47="Detectivo",U47="Manual"),"30%",IF(AND(T47="Correctivo",U47="Automático"),"35%",IF(AND(T47="Correctivo",U47="Manual"),"25%",""))))))</f>
        <v/>
      </c>
      <c r="W47" s="217"/>
      <c r="X47" s="217"/>
      <c r="Y47" s="217"/>
      <c r="Z47" s="237" t="str">
        <f>IFERROR(IF(S47="Probabilidad",(J47-(+J47*V47)),IF(S47="Impacto",J47,"")),"")</f>
        <v/>
      </c>
      <c r="AA47" s="263" t="str">
        <f>IFERROR(IF(Z47="","",IF(Z47&lt;=0.2,"Muy Baja",IF(Z47&lt;=0.4,"Baja",IF(Z47&lt;=0.6,"Media",IF(Z47&lt;=0.8,"Alta","Muy Alta"))))),"")</f>
        <v/>
      </c>
      <c r="AB47" s="218" t="str">
        <f>+Z47</f>
        <v/>
      </c>
      <c r="AC47" s="263" t="str">
        <f>IFERROR(IF(AD47="","",IF(AD47&lt;=0.2,"Leve",IF(AD47&lt;=0.4,"Menor",IF(AD47&lt;=0.6,"Moderado",IF(AD47&lt;=0.8,"Mayor","Catastrófico"))))),"")</f>
        <v/>
      </c>
      <c r="AD47" s="218" t="str">
        <f>IFERROR(IF(S47="Impacto",(O47-(+O47*V47)),IF(S47="Probabilidad",O47,"")),"")</f>
        <v/>
      </c>
      <c r="AE47" s="220" t="str">
        <f>IFERROR(IF(OR(AND(AA47="Muy Baja",AC47="Leve"),AND(AA47="Muy Baja",AC47="Menor"),AND(AA47="Baja",AC47="Leve")),"Bajo",IF(OR(AND(AA47="Muy baja",AC47="Moderado"),AND(AA47="Baja",AC47="Menor"),AND(AA47="Baja",AC47="Moderado"),AND(AA47="Media",AC47="Leve"),AND(AA47="Media",AC47="Menor"),AND(AA47="Media",AC47="Moderado"),AND(AA47="Alta",AC47="Leve"),AND(AA47="Alta",AC47="Menor")),"Moderado",IF(OR(AND(AA47="Muy Baja",AC47="Mayor"),AND(AA47="Baja",AC47="Mayor"),AND(AA47="Media",AC47="Mayor"),AND(AA47="Alta",AC47="Moderado"),AND(AA47="Alta",AC47="Mayor"),AND(AA47="Muy Alta",AC47="Leve"),AND(AA47="Muy Alta",AC47="Menor"),AND(AA47="Muy Alta",AC47="Moderado"),AND(AA47="Muy Alta",AC47="Mayor")),"Alto",IF(OR(AND(AA47="Muy Baja",AC47="Catastrófico"),AND(AA47="Baja",AC47="Catastrófico"),AND(AA47="Media",AC47="Catastrófico"),AND(AA47="Alta",AC47="Catastrófico"),AND(AA47="Muy Alta",AC47="Catastrófico")),"Extremo","")))),"")</f>
        <v/>
      </c>
      <c r="AF47" s="221"/>
    </row>
    <row r="48" spans="1:32" ht="44.25" customHeight="1" x14ac:dyDescent="0.3">
      <c r="A48" s="538"/>
      <c r="B48" s="523"/>
      <c r="C48" s="523"/>
      <c r="D48" s="553"/>
      <c r="E48" s="298"/>
      <c r="F48" s="299"/>
      <c r="G48" s="299"/>
      <c r="H48" s="526"/>
      <c r="I48" s="529"/>
      <c r="J48" s="535"/>
      <c r="K48" s="523"/>
      <c r="L48" s="532"/>
      <c r="M48" s="267"/>
      <c r="N48" s="529"/>
      <c r="O48" s="535"/>
      <c r="P48" s="529"/>
      <c r="Q48" s="192">
        <v>2</v>
      </c>
      <c r="R48" s="286"/>
      <c r="S48" s="222" t="str">
        <f>IF(OR(T48="Preventivo",T48="Detectivo"),"Probabilidad",IF(T48="Correctivo","Impacto",""))</f>
        <v/>
      </c>
      <c r="T48" s="223"/>
      <c r="U48" s="223"/>
      <c r="V48" s="235" t="str">
        <f t="shared" ref="V48:V52" si="46">IF(AND(T48="Preventivo",U48="Automático"),"50%",IF(AND(T48="Preventivo",U48="Manual"),"40%",IF(AND(T48="Detectivo",U48="Automático"),"40%",IF(AND(T48="Detectivo",U48="Manual"),"30%",IF(AND(T48="Correctivo",U48="Automático"),"35%",IF(AND(T48="Correctivo",U48="Manual"),"25%",""))))))</f>
        <v/>
      </c>
      <c r="W48" s="223"/>
      <c r="X48" s="223"/>
      <c r="Y48" s="223"/>
      <c r="Z48" s="238" t="str">
        <f>IFERROR(IF(AND(S47="Probabilidad",S48="Probabilidad"),(AB47-(+AB47*V48)),IF(S48="Probabilidad",(J47-(+J47*V48)),IF(S48="Impacto",AB47,""))),"")</f>
        <v/>
      </c>
      <c r="AA48" s="264" t="str">
        <f t="shared" si="1"/>
        <v/>
      </c>
      <c r="AB48" s="224" t="str">
        <f t="shared" ref="AB48:AB52" si="47">+Z48</f>
        <v/>
      </c>
      <c r="AC48" s="264" t="str">
        <f t="shared" si="3"/>
        <v/>
      </c>
      <c r="AD48" s="224" t="str">
        <f>IFERROR(IF(AND(S47="Impacto",S48="Impacto"),(AD47-(+AD47*V48)),IF(S48="Impacto",(O47-(+O47*V48)),IF(S48="Probabilidad",AD47,""))),"")</f>
        <v/>
      </c>
      <c r="AE48" s="226" t="str">
        <f t="shared" ref="AE48:AE49" si="48">IFERROR(IF(OR(AND(AA48="Muy Baja",AC48="Leve"),AND(AA48="Muy Baja",AC48="Menor"),AND(AA48="Baja",AC48="Leve")),"Bajo",IF(OR(AND(AA48="Muy baja",AC48="Moderado"),AND(AA48="Baja",AC48="Menor"),AND(AA48="Baja",AC48="Moderado"),AND(AA48="Media",AC48="Leve"),AND(AA48="Media",AC48="Menor"),AND(AA48="Media",AC48="Moderado"),AND(AA48="Alta",AC48="Leve"),AND(AA48="Alta",AC48="Menor")),"Moderado",IF(OR(AND(AA48="Muy Baja",AC48="Mayor"),AND(AA48="Baja",AC48="Mayor"),AND(AA48="Media",AC48="Mayor"),AND(AA48="Alta",AC48="Moderado"),AND(AA48="Alta",AC48="Mayor"),AND(AA48="Muy Alta",AC48="Leve"),AND(AA48="Muy Alta",AC48="Menor"),AND(AA48="Muy Alta",AC48="Moderado"),AND(AA48="Muy Alta",AC48="Mayor")),"Alto",IF(OR(AND(AA48="Muy Baja",AC48="Catastrófico"),AND(AA48="Baja",AC48="Catastrófico"),AND(AA48="Media",AC48="Catastrófico"),AND(AA48="Alta",AC48="Catastrófico"),AND(AA48="Muy Alta",AC48="Catastrófico")),"Extremo","")))),"")</f>
        <v/>
      </c>
      <c r="AF48" s="227"/>
    </row>
    <row r="49" spans="1:32" ht="44.25" customHeight="1" x14ac:dyDescent="0.3">
      <c r="A49" s="538"/>
      <c r="B49" s="523"/>
      <c r="C49" s="523"/>
      <c r="D49" s="553"/>
      <c r="E49" s="298"/>
      <c r="F49" s="299"/>
      <c r="G49" s="299"/>
      <c r="H49" s="526"/>
      <c r="I49" s="529"/>
      <c r="J49" s="535"/>
      <c r="K49" s="523"/>
      <c r="L49" s="532"/>
      <c r="M49" s="267"/>
      <c r="N49" s="529"/>
      <c r="O49" s="535"/>
      <c r="P49" s="529"/>
      <c r="Q49" s="192">
        <v>3</v>
      </c>
      <c r="R49" s="287"/>
      <c r="S49" s="222" t="str">
        <f>IF(OR(T49="Preventivo",T49="Detectivo"),"Probabilidad",IF(T49="Correctivo","Impacto",""))</f>
        <v/>
      </c>
      <c r="T49" s="223"/>
      <c r="U49" s="223"/>
      <c r="V49" s="235" t="str">
        <f t="shared" si="46"/>
        <v/>
      </c>
      <c r="W49" s="223"/>
      <c r="X49" s="223"/>
      <c r="Y49" s="223"/>
      <c r="Z49" s="238" t="str">
        <f>IFERROR(IF(AND(S48="Probabilidad",S49="Probabilidad"),(AB48-(+AB48*V49)),IF(AND(S48="Impacto",S49="Probabilidad"),(AB47-(+AB47*V49)),IF(S49="Impacto",AB48,""))),"")</f>
        <v/>
      </c>
      <c r="AA49" s="264" t="str">
        <f t="shared" si="1"/>
        <v/>
      </c>
      <c r="AB49" s="224" t="str">
        <f t="shared" si="47"/>
        <v/>
      </c>
      <c r="AC49" s="264" t="str">
        <f t="shared" si="3"/>
        <v/>
      </c>
      <c r="AD49" s="224" t="str">
        <f>IFERROR(IF(AND(S48="Impacto",S49="Impacto"),(AD48-(+AD48*V49)),IF(AND(S48="Probabilidad",S49="Impacto"),(AD47-(+AD47*V49)),IF(S49="Probabilidad",AD48,""))),"")</f>
        <v/>
      </c>
      <c r="AE49" s="226" t="str">
        <f t="shared" si="48"/>
        <v/>
      </c>
      <c r="AF49" s="227"/>
    </row>
    <row r="50" spans="1:32" ht="44.25" customHeight="1" x14ac:dyDescent="0.3">
      <c r="A50" s="538"/>
      <c r="B50" s="523"/>
      <c r="C50" s="523"/>
      <c r="D50" s="553"/>
      <c r="E50" s="298"/>
      <c r="F50" s="299"/>
      <c r="G50" s="299"/>
      <c r="H50" s="526"/>
      <c r="I50" s="529"/>
      <c r="J50" s="535"/>
      <c r="K50" s="523"/>
      <c r="L50" s="532"/>
      <c r="M50" s="267"/>
      <c r="N50" s="529"/>
      <c r="O50" s="535"/>
      <c r="P50" s="529"/>
      <c r="Q50" s="192">
        <v>4</v>
      </c>
      <c r="R50" s="286"/>
      <c r="S50" s="222" t="str">
        <f t="shared" ref="S50:S52" si="49">IF(OR(T50="Preventivo",T50="Detectivo"),"Probabilidad",IF(T50="Correctivo","Impacto",""))</f>
        <v/>
      </c>
      <c r="T50" s="223"/>
      <c r="U50" s="223"/>
      <c r="V50" s="235" t="str">
        <f t="shared" si="46"/>
        <v/>
      </c>
      <c r="W50" s="223"/>
      <c r="X50" s="223"/>
      <c r="Y50" s="223"/>
      <c r="Z50" s="238" t="str">
        <f t="shared" ref="Z50:Z52" si="50">IFERROR(IF(AND(S49="Probabilidad",S50="Probabilidad"),(AB49-(+AB49*V50)),IF(AND(S49="Impacto",S50="Probabilidad"),(AB48-(+AB48*V50)),IF(S50="Impacto",AB49,""))),"")</f>
        <v/>
      </c>
      <c r="AA50" s="264" t="str">
        <f t="shared" si="1"/>
        <v/>
      </c>
      <c r="AB50" s="224" t="str">
        <f t="shared" si="47"/>
        <v/>
      </c>
      <c r="AC50" s="264" t="str">
        <f t="shared" si="3"/>
        <v/>
      </c>
      <c r="AD50" s="224" t="str">
        <f t="shared" ref="AD50:AD52" si="51">IFERROR(IF(AND(S49="Impacto",S50="Impacto"),(AD49-(+AD49*V50)),IF(AND(S49="Probabilidad",S50="Impacto"),(AD48-(+AD48*V50)),IF(S50="Probabilidad",AD49,""))),"")</f>
        <v/>
      </c>
      <c r="AE50" s="226" t="str">
        <f>IFERROR(IF(OR(AND(AA50="Muy Baja",AC50="Leve"),AND(AA50="Muy Baja",AC50="Menor"),AND(AA50="Baja",AC50="Leve")),"Bajo",IF(OR(AND(AA50="Muy baja",AC50="Moderado"),AND(AA50="Baja",AC50="Menor"),AND(AA50="Baja",AC50="Moderado"),AND(AA50="Media",AC50="Leve"),AND(AA50="Media",AC50="Menor"),AND(AA50="Media",AC50="Moderado"),AND(AA50="Alta",AC50="Leve"),AND(AA50="Alta",AC50="Menor")),"Moderado",IF(OR(AND(AA50="Muy Baja",AC50="Mayor"),AND(AA50="Baja",AC50="Mayor"),AND(AA50="Media",AC50="Mayor"),AND(AA50="Alta",AC50="Moderado"),AND(AA50="Alta",AC50="Mayor"),AND(AA50="Muy Alta",AC50="Leve"),AND(AA50="Muy Alta",AC50="Menor"),AND(AA50="Muy Alta",AC50="Moderado"),AND(AA50="Muy Alta",AC50="Mayor")),"Alto",IF(OR(AND(AA50="Muy Baja",AC50="Catastrófico"),AND(AA50="Baja",AC50="Catastrófico"),AND(AA50="Media",AC50="Catastrófico"),AND(AA50="Alta",AC50="Catastrófico"),AND(AA50="Muy Alta",AC50="Catastrófico")),"Extremo","")))),"")</f>
        <v/>
      </c>
      <c r="AF50" s="227"/>
    </row>
    <row r="51" spans="1:32" ht="44.25" customHeight="1" x14ac:dyDescent="0.3">
      <c r="A51" s="538"/>
      <c r="B51" s="523"/>
      <c r="C51" s="523"/>
      <c r="D51" s="553"/>
      <c r="E51" s="298"/>
      <c r="F51" s="299"/>
      <c r="G51" s="299"/>
      <c r="H51" s="526"/>
      <c r="I51" s="529"/>
      <c r="J51" s="535"/>
      <c r="K51" s="523"/>
      <c r="L51" s="532"/>
      <c r="M51" s="267"/>
      <c r="N51" s="529"/>
      <c r="O51" s="535"/>
      <c r="P51" s="529"/>
      <c r="Q51" s="192">
        <v>5</v>
      </c>
      <c r="R51" s="286"/>
      <c r="S51" s="222" t="str">
        <f t="shared" si="49"/>
        <v/>
      </c>
      <c r="T51" s="223"/>
      <c r="U51" s="223"/>
      <c r="V51" s="235" t="str">
        <f t="shared" si="46"/>
        <v/>
      </c>
      <c r="W51" s="223"/>
      <c r="X51" s="223"/>
      <c r="Y51" s="223"/>
      <c r="Z51" s="238" t="str">
        <f t="shared" si="50"/>
        <v/>
      </c>
      <c r="AA51" s="264" t="str">
        <f t="shared" si="1"/>
        <v/>
      </c>
      <c r="AB51" s="224" t="str">
        <f t="shared" si="47"/>
        <v/>
      </c>
      <c r="AC51" s="264" t="str">
        <f t="shared" si="3"/>
        <v/>
      </c>
      <c r="AD51" s="224" t="str">
        <f t="shared" si="51"/>
        <v/>
      </c>
      <c r="AE51" s="226" t="str">
        <f t="shared" ref="AE51:AE52" si="52">IFERROR(IF(OR(AND(AA51="Muy Baja",AC51="Leve"),AND(AA51="Muy Baja",AC51="Menor"),AND(AA51="Baja",AC51="Leve")),"Bajo",IF(OR(AND(AA51="Muy baja",AC51="Moderado"),AND(AA51="Baja",AC51="Menor"),AND(AA51="Baja",AC51="Moderado"),AND(AA51="Media",AC51="Leve"),AND(AA51="Media",AC51="Menor"),AND(AA51="Media",AC51="Moderado"),AND(AA51="Alta",AC51="Leve"),AND(AA51="Alta",AC51="Menor")),"Moderado",IF(OR(AND(AA51="Muy Baja",AC51="Mayor"),AND(AA51="Baja",AC51="Mayor"),AND(AA51="Media",AC51="Mayor"),AND(AA51="Alta",AC51="Moderado"),AND(AA51="Alta",AC51="Mayor"),AND(AA51="Muy Alta",AC51="Leve"),AND(AA51="Muy Alta",AC51="Menor"),AND(AA51="Muy Alta",AC51="Moderado"),AND(AA51="Muy Alta",AC51="Mayor")),"Alto",IF(OR(AND(AA51="Muy Baja",AC51="Catastrófico"),AND(AA51="Baja",AC51="Catastrófico"),AND(AA51="Media",AC51="Catastrófico"),AND(AA51="Alta",AC51="Catastrófico"),AND(AA51="Muy Alta",AC51="Catastrófico")),"Extremo","")))),"")</f>
        <v/>
      </c>
      <c r="AF51" s="227"/>
    </row>
    <row r="52" spans="1:32" ht="44.25" customHeight="1" thickBot="1" x14ac:dyDescent="0.35">
      <c r="A52" s="539"/>
      <c r="B52" s="524"/>
      <c r="C52" s="524"/>
      <c r="D52" s="554"/>
      <c r="E52" s="300"/>
      <c r="F52" s="301"/>
      <c r="G52" s="301"/>
      <c r="H52" s="527"/>
      <c r="I52" s="530"/>
      <c r="J52" s="536"/>
      <c r="K52" s="524"/>
      <c r="L52" s="533"/>
      <c r="M52" s="268"/>
      <c r="N52" s="530"/>
      <c r="O52" s="536"/>
      <c r="P52" s="530"/>
      <c r="Q52" s="193">
        <v>6</v>
      </c>
      <c r="R52" s="289"/>
      <c r="S52" s="228" t="str">
        <f t="shared" si="49"/>
        <v/>
      </c>
      <c r="T52" s="229"/>
      <c r="U52" s="229"/>
      <c r="V52" s="236" t="str">
        <f t="shared" si="46"/>
        <v/>
      </c>
      <c r="W52" s="229"/>
      <c r="X52" s="229"/>
      <c r="Y52" s="229"/>
      <c r="Z52" s="239" t="str">
        <f t="shared" si="50"/>
        <v/>
      </c>
      <c r="AA52" s="265" t="str">
        <f t="shared" si="1"/>
        <v/>
      </c>
      <c r="AB52" s="230" t="str">
        <f t="shared" si="47"/>
        <v/>
      </c>
      <c r="AC52" s="265" t="str">
        <f t="shared" si="3"/>
        <v/>
      </c>
      <c r="AD52" s="230" t="str">
        <f t="shared" si="51"/>
        <v/>
      </c>
      <c r="AE52" s="232" t="str">
        <f t="shared" si="52"/>
        <v/>
      </c>
      <c r="AF52" s="233"/>
    </row>
    <row r="53" spans="1:32" ht="44.25" customHeight="1" x14ac:dyDescent="0.3">
      <c r="A53" s="537">
        <v>9</v>
      </c>
      <c r="B53" s="522"/>
      <c r="C53" s="522"/>
      <c r="D53" s="549"/>
      <c r="E53" s="269"/>
      <c r="F53" s="288"/>
      <c r="G53" s="288"/>
      <c r="H53" s="525"/>
      <c r="I53" s="528" t="str">
        <f>IF(H53&lt;=0,"",IF(H53&lt;=2,"Muy Baja",IF(H53&lt;=24,"Baja",IF(H53&lt;=500,"Media",IF(H53&lt;=5000,"Alta","Muy Alta")))))</f>
        <v/>
      </c>
      <c r="J53" s="534" t="str">
        <f>IF(I53="","",IF(I53="Muy Baja",0.2,IF(I53="Baja",0.4,IF(I53="Media",0.6,IF(I53="Alta",0.8,IF(I53="Muy Alta",1,))))))</f>
        <v/>
      </c>
      <c r="K53" s="522"/>
      <c r="L53" s="531"/>
      <c r="M53" s="534">
        <f>IF(NOT(ISERROR(MATCH(L53,'Tabla Impacto'!$B$221:$B$223,0))),'Tabla Impacto'!$F$223&amp;"Por favor no seleccionar los criterios de impacto(Afectación Económica o presupuestal y Pérdida Reputacional)",L53)</f>
        <v>0</v>
      </c>
      <c r="N53" s="528" t="str">
        <f>IF(OR(M53='Tabla Impacto'!$C$11,M53='Tabla Impacto'!$D$11),"Leve",IF(OR(M53='Tabla Impacto'!$C$12,M53='Tabla Impacto'!$D$12),"Menor",IF(OR(M53='Tabla Impacto'!$C$13,M53='Tabla Impacto'!$D$13),"Moderado",IF(OR(M53='Tabla Impacto'!$C$14,M53='Tabla Impacto'!$D$14),"Mayor",IF(OR(M53='Tabla Impacto'!$C$15,M53='Tabla Impacto'!$D$15),"Catastrófico","")))))</f>
        <v/>
      </c>
      <c r="O53" s="534" t="str">
        <f>IF(N53="","",IF(N53="Leve",0.2,IF(N53="Menor",0.4,IF(N53="Moderado",0.6,IF(N53="Mayor",0.8,IF(N53="Catastrófico",1,))))))</f>
        <v/>
      </c>
      <c r="P53" s="528" t="str">
        <f>IF(OR(AND(I53="Muy Baja",N53="Leve"),AND(I53="Muy Baja",N53="Menor"),AND(I53="Baja",N53="Leve")),"Bajo",IF(OR(AND(I53="Muy baja",N53="Moderado"),AND(I53="Baja",N53="Menor"),AND(I53="Baja",N53="Moderado"),AND(I53="Media",N53="Leve"),AND(I53="Media",N53="Menor"),AND(I53="Media",N53="Moderado"),AND(I53="Alta",N53="Leve"),AND(I53="Alta",N53="Menor")),"Moderado",IF(OR(AND(I53="Muy Baja",N53="Mayor"),AND(I53="Baja",N53="Mayor"),AND(I53="Media",N53="Mayor"),AND(I53="Alta",N53="Moderado"),AND(I53="Alta",N53="Mayor"),AND(I53="Muy Alta",N53="Leve"),AND(I53="Muy Alta",N53="Menor"),AND(I53="Muy Alta",N53="Moderado"),AND(I53="Muy Alta",N53="Mayor")),"Alto",IF(OR(AND(I53="Muy Baja",N53="Catastrófico"),AND(I53="Baja",N53="Catastrófico"),AND(I53="Media",N53="Catastrófico"),AND(I53="Alta",N53="Catastrófico"),AND(I53="Muy Alta",N53="Catastrófico")),"Extremo",""))))</f>
        <v/>
      </c>
      <c r="Q53" s="191">
        <v>1</v>
      </c>
      <c r="R53" s="288"/>
      <c r="S53" s="216" t="str">
        <f>IF(OR(T53="Preventivo",T53="Detectivo"),"Probabilidad",IF(T53="Correctivo","Impacto",""))</f>
        <v/>
      </c>
      <c r="T53" s="217"/>
      <c r="U53" s="217"/>
      <c r="V53" s="234" t="str">
        <f>IF(AND(T53="Preventivo",U53="Automático"),"50%",IF(AND(T53="Preventivo",U53="Manual"),"40%",IF(AND(T53="Detectivo",U53="Automático"),"40%",IF(AND(T53="Detectivo",U53="Manual"),"30%",IF(AND(T53="Correctivo",U53="Automático"),"35%",IF(AND(T53="Correctivo",U53="Manual"),"25%",""))))))</f>
        <v/>
      </c>
      <c r="W53" s="217"/>
      <c r="X53" s="217"/>
      <c r="Y53" s="217"/>
      <c r="Z53" s="237" t="str">
        <f>IFERROR(IF(S53="Probabilidad",(J53-(+J53*V53)),IF(S53="Impacto",J53,"")),"")</f>
        <v/>
      </c>
      <c r="AA53" s="263" t="str">
        <f>IFERROR(IF(Z53="","",IF(Z53&lt;=0.2,"Muy Baja",IF(Z53&lt;=0.4,"Baja",IF(Z53&lt;=0.6,"Media",IF(Z53&lt;=0.8,"Alta","Muy Alta"))))),"")</f>
        <v/>
      </c>
      <c r="AB53" s="218" t="str">
        <f>+Z53</f>
        <v/>
      </c>
      <c r="AC53" s="263" t="str">
        <f>IFERROR(IF(AD53="","",IF(AD53&lt;=0.2,"Leve",IF(AD53&lt;=0.4,"Menor",IF(AD53&lt;=0.6,"Moderado",IF(AD53&lt;=0.8,"Mayor","Catastrófico"))))),"")</f>
        <v/>
      </c>
      <c r="AD53" s="218" t="str">
        <f>IFERROR(IF(S53="Impacto",(O53-(+O53*V53)),IF(S53="Probabilidad",O53,"")),"")</f>
        <v/>
      </c>
      <c r="AE53" s="220" t="str">
        <f>IFERROR(IF(OR(AND(AA53="Muy Baja",AC53="Leve"),AND(AA53="Muy Baja",AC53="Menor"),AND(AA53="Baja",AC53="Leve")),"Bajo",IF(OR(AND(AA53="Muy baja",AC53="Moderado"),AND(AA53="Baja",AC53="Menor"),AND(AA53="Baja",AC53="Moderado"),AND(AA53="Media",AC53="Leve"),AND(AA53="Media",AC53="Menor"),AND(AA53="Media",AC53="Moderado"),AND(AA53="Alta",AC53="Leve"),AND(AA53="Alta",AC53="Menor")),"Moderado",IF(OR(AND(AA53="Muy Baja",AC53="Mayor"),AND(AA53="Baja",AC53="Mayor"),AND(AA53="Media",AC53="Mayor"),AND(AA53="Alta",AC53="Moderado"),AND(AA53="Alta",AC53="Mayor"),AND(AA53="Muy Alta",AC53="Leve"),AND(AA53="Muy Alta",AC53="Menor"),AND(AA53="Muy Alta",AC53="Moderado"),AND(AA53="Muy Alta",AC53="Mayor")),"Alto",IF(OR(AND(AA53="Muy Baja",AC53="Catastrófico"),AND(AA53="Baja",AC53="Catastrófico"),AND(AA53="Media",AC53="Catastrófico"),AND(AA53="Alta",AC53="Catastrófico"),AND(AA53="Muy Alta",AC53="Catastrófico")),"Extremo","")))),"")</f>
        <v/>
      </c>
      <c r="AF53" s="221"/>
    </row>
    <row r="54" spans="1:32" ht="44.25" customHeight="1" x14ac:dyDescent="0.3">
      <c r="A54" s="538"/>
      <c r="B54" s="523"/>
      <c r="C54" s="523"/>
      <c r="D54" s="550"/>
      <c r="E54" s="270"/>
      <c r="F54" s="286"/>
      <c r="G54" s="286"/>
      <c r="H54" s="526"/>
      <c r="I54" s="529"/>
      <c r="J54" s="535"/>
      <c r="K54" s="523"/>
      <c r="L54" s="532"/>
      <c r="M54" s="535">
        <f>IF(NOT(ISERROR(MATCH(L54,_xlfn.ANCHORARRAY(#REF!),0))),#REF!&amp;"Por favor no seleccionar los criterios de impacto",L54)</f>
        <v>0</v>
      </c>
      <c r="N54" s="529"/>
      <c r="O54" s="535"/>
      <c r="P54" s="529"/>
      <c r="Q54" s="192">
        <v>2</v>
      </c>
      <c r="R54" s="286"/>
      <c r="S54" s="222" t="str">
        <f>IF(OR(T54="Preventivo",T54="Detectivo"),"Probabilidad",IF(T54="Correctivo","Impacto",""))</f>
        <v/>
      </c>
      <c r="T54" s="223"/>
      <c r="U54" s="223"/>
      <c r="V54" s="235" t="str">
        <f t="shared" ref="V54:V58" si="53">IF(AND(T54="Preventivo",U54="Automático"),"50%",IF(AND(T54="Preventivo",U54="Manual"),"40%",IF(AND(T54="Detectivo",U54="Automático"),"40%",IF(AND(T54="Detectivo",U54="Manual"),"30%",IF(AND(T54="Correctivo",U54="Automático"),"35%",IF(AND(T54="Correctivo",U54="Manual"),"25%",""))))))</f>
        <v/>
      </c>
      <c r="W54" s="223"/>
      <c r="X54" s="223"/>
      <c r="Y54" s="223"/>
      <c r="Z54" s="238" t="str">
        <f>IFERROR(IF(AND(S53="Probabilidad",S54="Probabilidad"),(AB53-(+AB53*V54)),IF(S54="Probabilidad",(J53-(+J53*V54)),IF(S54="Impacto",AB53,""))),"")</f>
        <v/>
      </c>
      <c r="AA54" s="264" t="str">
        <f t="shared" si="1"/>
        <v/>
      </c>
      <c r="AB54" s="224" t="str">
        <f t="shared" ref="AB54:AB58" si="54">+Z54</f>
        <v/>
      </c>
      <c r="AC54" s="264" t="str">
        <f t="shared" si="3"/>
        <v/>
      </c>
      <c r="AD54" s="224" t="str">
        <f>IFERROR(IF(AND(S53="Impacto",S54="Impacto"),(AD53-(+AD53*V54)),IF(S54="Impacto",(O53-(+O53*V54)),IF(S54="Probabilidad",AD53,""))),"")</f>
        <v/>
      </c>
      <c r="AE54" s="226" t="str">
        <f t="shared" ref="AE54:AE55" si="55">IFERROR(IF(OR(AND(AA54="Muy Baja",AC54="Leve"),AND(AA54="Muy Baja",AC54="Menor"),AND(AA54="Baja",AC54="Leve")),"Bajo",IF(OR(AND(AA54="Muy baja",AC54="Moderado"),AND(AA54="Baja",AC54="Menor"),AND(AA54="Baja",AC54="Moderado"),AND(AA54="Media",AC54="Leve"),AND(AA54="Media",AC54="Menor"),AND(AA54="Media",AC54="Moderado"),AND(AA54="Alta",AC54="Leve"),AND(AA54="Alta",AC54="Menor")),"Moderado",IF(OR(AND(AA54="Muy Baja",AC54="Mayor"),AND(AA54="Baja",AC54="Mayor"),AND(AA54="Media",AC54="Mayor"),AND(AA54="Alta",AC54="Moderado"),AND(AA54="Alta",AC54="Mayor"),AND(AA54="Muy Alta",AC54="Leve"),AND(AA54="Muy Alta",AC54="Menor"),AND(AA54="Muy Alta",AC54="Moderado"),AND(AA54="Muy Alta",AC54="Mayor")),"Alto",IF(OR(AND(AA54="Muy Baja",AC54="Catastrófico"),AND(AA54="Baja",AC54="Catastrófico"),AND(AA54="Media",AC54="Catastrófico"),AND(AA54="Alta",AC54="Catastrófico"),AND(AA54="Muy Alta",AC54="Catastrófico")),"Extremo","")))),"")</f>
        <v/>
      </c>
      <c r="AF54" s="227"/>
    </row>
    <row r="55" spans="1:32" ht="44.25" customHeight="1" x14ac:dyDescent="0.3">
      <c r="A55" s="538"/>
      <c r="B55" s="523"/>
      <c r="C55" s="523"/>
      <c r="D55" s="550"/>
      <c r="E55" s="270"/>
      <c r="F55" s="286"/>
      <c r="G55" s="286"/>
      <c r="H55" s="526"/>
      <c r="I55" s="529"/>
      <c r="J55" s="535"/>
      <c r="K55" s="523"/>
      <c r="L55" s="532"/>
      <c r="M55" s="535">
        <f>IF(NOT(ISERROR(MATCH(L55,_xlfn.ANCHORARRAY(D65),0))),J66&amp;"Por favor no seleccionar los criterios de impacto",L55)</f>
        <v>0</v>
      </c>
      <c r="N55" s="529"/>
      <c r="O55" s="535"/>
      <c r="P55" s="529"/>
      <c r="Q55" s="192">
        <v>3</v>
      </c>
      <c r="R55" s="287"/>
      <c r="S55" s="222" t="str">
        <f>IF(OR(T55="Preventivo",T55="Detectivo"),"Probabilidad",IF(T55="Correctivo","Impacto",""))</f>
        <v/>
      </c>
      <c r="T55" s="223"/>
      <c r="U55" s="223"/>
      <c r="V55" s="235" t="str">
        <f t="shared" si="53"/>
        <v/>
      </c>
      <c r="W55" s="223"/>
      <c r="X55" s="223"/>
      <c r="Y55" s="223"/>
      <c r="Z55" s="238" t="str">
        <f>IFERROR(IF(AND(S54="Probabilidad",S55="Probabilidad"),(AB54-(+AB54*V55)),IF(AND(S54="Impacto",S55="Probabilidad"),(AB53-(+AB53*V55)),IF(S55="Impacto",AB54,""))),"")</f>
        <v/>
      </c>
      <c r="AA55" s="264" t="str">
        <f t="shared" si="1"/>
        <v/>
      </c>
      <c r="AB55" s="224" t="str">
        <f t="shared" si="54"/>
        <v/>
      </c>
      <c r="AC55" s="264" t="str">
        <f t="shared" si="3"/>
        <v/>
      </c>
      <c r="AD55" s="224" t="str">
        <f>IFERROR(IF(AND(S54="Impacto",S55="Impacto"),(AD54-(+AD54*V55)),IF(AND(S54="Probabilidad",S55="Impacto"),(AD53-(+AD53*V55)),IF(S55="Probabilidad",AD54,""))),"")</f>
        <v/>
      </c>
      <c r="AE55" s="226" t="str">
        <f t="shared" si="55"/>
        <v/>
      </c>
      <c r="AF55" s="227"/>
    </row>
    <row r="56" spans="1:32" ht="44.25" customHeight="1" x14ac:dyDescent="0.3">
      <c r="A56" s="538"/>
      <c r="B56" s="523"/>
      <c r="C56" s="523"/>
      <c r="D56" s="550"/>
      <c r="E56" s="270"/>
      <c r="F56" s="286"/>
      <c r="G56" s="286"/>
      <c r="H56" s="526"/>
      <c r="I56" s="529"/>
      <c r="J56" s="535"/>
      <c r="K56" s="523"/>
      <c r="L56" s="532"/>
      <c r="M56" s="535">
        <f>IF(NOT(ISERROR(MATCH(L56,_xlfn.ANCHORARRAY(#REF!),0))),S67&amp;"Por favor no seleccionar los criterios de impacto",L56)</f>
        <v>0</v>
      </c>
      <c r="N56" s="529"/>
      <c r="O56" s="535"/>
      <c r="P56" s="529"/>
      <c r="Q56" s="192">
        <v>4</v>
      </c>
      <c r="R56" s="286"/>
      <c r="S56" s="222" t="str">
        <f t="shared" ref="S56:S58" si="56">IF(OR(T56="Preventivo",T56="Detectivo"),"Probabilidad",IF(T56="Correctivo","Impacto",""))</f>
        <v/>
      </c>
      <c r="T56" s="223"/>
      <c r="U56" s="223"/>
      <c r="V56" s="235" t="str">
        <f t="shared" si="53"/>
        <v/>
      </c>
      <c r="W56" s="223"/>
      <c r="X56" s="223"/>
      <c r="Y56" s="223"/>
      <c r="Z56" s="238" t="str">
        <f t="shared" ref="Z56:Z58" si="57">IFERROR(IF(AND(S55="Probabilidad",S56="Probabilidad"),(AB55-(+AB55*V56)),IF(AND(S55="Impacto",S56="Probabilidad"),(AB54-(+AB54*V56)),IF(S56="Impacto",AB55,""))),"")</f>
        <v/>
      </c>
      <c r="AA56" s="264" t="str">
        <f t="shared" si="1"/>
        <v/>
      </c>
      <c r="AB56" s="224" t="str">
        <f t="shared" si="54"/>
        <v/>
      </c>
      <c r="AC56" s="264" t="str">
        <f t="shared" si="3"/>
        <v/>
      </c>
      <c r="AD56" s="224" t="str">
        <f t="shared" ref="AD56:AD58" si="58">IFERROR(IF(AND(S55="Impacto",S56="Impacto"),(AD55-(+AD55*V56)),IF(AND(S55="Probabilidad",S56="Impacto"),(AD54-(+AD54*V56)),IF(S56="Probabilidad",AD55,""))),"")</f>
        <v/>
      </c>
      <c r="AE56" s="226" t="str">
        <f>IFERROR(IF(OR(AND(AA56="Muy Baja",AC56="Leve"),AND(AA56="Muy Baja",AC56="Menor"),AND(AA56="Baja",AC56="Leve")),"Bajo",IF(OR(AND(AA56="Muy baja",AC56="Moderado"),AND(AA56="Baja",AC56="Menor"),AND(AA56="Baja",AC56="Moderado"),AND(AA56="Media",AC56="Leve"),AND(AA56="Media",AC56="Menor"),AND(AA56="Media",AC56="Moderado"),AND(AA56="Alta",AC56="Leve"),AND(AA56="Alta",AC56="Menor")),"Moderado",IF(OR(AND(AA56="Muy Baja",AC56="Mayor"),AND(AA56="Baja",AC56="Mayor"),AND(AA56="Media",AC56="Mayor"),AND(AA56="Alta",AC56="Moderado"),AND(AA56="Alta",AC56="Mayor"),AND(AA56="Muy Alta",AC56="Leve"),AND(AA56="Muy Alta",AC56="Menor"),AND(AA56="Muy Alta",AC56="Moderado"),AND(AA56="Muy Alta",AC56="Mayor")),"Alto",IF(OR(AND(AA56="Muy Baja",AC56="Catastrófico"),AND(AA56="Baja",AC56="Catastrófico"),AND(AA56="Media",AC56="Catastrófico"),AND(AA56="Alta",AC56="Catastrófico"),AND(AA56="Muy Alta",AC56="Catastrófico")),"Extremo","")))),"")</f>
        <v/>
      </c>
      <c r="AF56" s="227"/>
    </row>
    <row r="57" spans="1:32" ht="44.25" customHeight="1" x14ac:dyDescent="0.3">
      <c r="A57" s="538"/>
      <c r="B57" s="523"/>
      <c r="C57" s="523"/>
      <c r="D57" s="550"/>
      <c r="E57" s="270"/>
      <c r="F57" s="286"/>
      <c r="G57" s="286"/>
      <c r="H57" s="526"/>
      <c r="I57" s="529"/>
      <c r="J57" s="535"/>
      <c r="K57" s="523"/>
      <c r="L57" s="532"/>
      <c r="M57" s="535">
        <f>IF(NOT(ISERROR(MATCH(L57,_xlfn.ANCHORARRAY(D66),0))),S68&amp;"Por favor no seleccionar los criterios de impacto",L57)</f>
        <v>0</v>
      </c>
      <c r="N57" s="529"/>
      <c r="O57" s="535"/>
      <c r="P57" s="529"/>
      <c r="Q57" s="192">
        <v>5</v>
      </c>
      <c r="R57" s="286"/>
      <c r="S57" s="222" t="str">
        <f t="shared" si="56"/>
        <v/>
      </c>
      <c r="T57" s="223"/>
      <c r="U57" s="223"/>
      <c r="V57" s="235" t="str">
        <f t="shared" si="53"/>
        <v/>
      </c>
      <c r="W57" s="223"/>
      <c r="X57" s="223"/>
      <c r="Y57" s="223"/>
      <c r="Z57" s="238" t="str">
        <f t="shared" si="57"/>
        <v/>
      </c>
      <c r="AA57" s="264" t="str">
        <f t="shared" si="1"/>
        <v/>
      </c>
      <c r="AB57" s="224" t="str">
        <f t="shared" si="54"/>
        <v/>
      </c>
      <c r="AC57" s="264" t="str">
        <f t="shared" si="3"/>
        <v/>
      </c>
      <c r="AD57" s="224" t="str">
        <f t="shared" si="58"/>
        <v/>
      </c>
      <c r="AE57" s="226" t="str">
        <f t="shared" ref="AE57:AE58" si="59">IFERROR(IF(OR(AND(AA57="Muy Baja",AC57="Leve"),AND(AA57="Muy Baja",AC57="Menor"),AND(AA57="Baja",AC57="Leve")),"Bajo",IF(OR(AND(AA57="Muy baja",AC57="Moderado"),AND(AA57="Baja",AC57="Menor"),AND(AA57="Baja",AC57="Moderado"),AND(AA57="Media",AC57="Leve"),AND(AA57="Media",AC57="Menor"),AND(AA57="Media",AC57="Moderado"),AND(AA57="Alta",AC57="Leve"),AND(AA57="Alta",AC57="Menor")),"Moderado",IF(OR(AND(AA57="Muy Baja",AC57="Mayor"),AND(AA57="Baja",AC57="Mayor"),AND(AA57="Media",AC57="Mayor"),AND(AA57="Alta",AC57="Moderado"),AND(AA57="Alta",AC57="Mayor"),AND(AA57="Muy Alta",AC57="Leve"),AND(AA57="Muy Alta",AC57="Menor"),AND(AA57="Muy Alta",AC57="Moderado"),AND(AA57="Muy Alta",AC57="Mayor")),"Alto",IF(OR(AND(AA57="Muy Baja",AC57="Catastrófico"),AND(AA57="Baja",AC57="Catastrófico"),AND(AA57="Media",AC57="Catastrófico"),AND(AA57="Alta",AC57="Catastrófico"),AND(AA57="Muy Alta",AC57="Catastrófico")),"Extremo","")))),"")</f>
        <v/>
      </c>
      <c r="AF57" s="227"/>
    </row>
    <row r="58" spans="1:32" ht="44.25" customHeight="1" thickBot="1" x14ac:dyDescent="0.35">
      <c r="A58" s="539"/>
      <c r="B58" s="524"/>
      <c r="C58" s="524"/>
      <c r="D58" s="551"/>
      <c r="E58" s="271"/>
      <c r="F58" s="289"/>
      <c r="G58" s="289"/>
      <c r="H58" s="527"/>
      <c r="I58" s="530"/>
      <c r="J58" s="536"/>
      <c r="K58" s="524"/>
      <c r="L58" s="533"/>
      <c r="M58" s="536">
        <f>IF(NOT(ISERROR(MATCH(L58,_xlfn.ANCHORARRAY(D67),0))),J69&amp;"Por favor no seleccionar los criterios de impacto",L58)</f>
        <v>0</v>
      </c>
      <c r="N58" s="530"/>
      <c r="O58" s="536"/>
      <c r="P58" s="530"/>
      <c r="Q58" s="193">
        <v>6</v>
      </c>
      <c r="R58" s="289"/>
      <c r="S58" s="228" t="str">
        <f t="shared" si="56"/>
        <v/>
      </c>
      <c r="T58" s="229"/>
      <c r="U58" s="229"/>
      <c r="V58" s="236" t="str">
        <f t="shared" si="53"/>
        <v/>
      </c>
      <c r="W58" s="229"/>
      <c r="X58" s="229"/>
      <c r="Y58" s="229"/>
      <c r="Z58" s="239" t="str">
        <f t="shared" si="57"/>
        <v/>
      </c>
      <c r="AA58" s="265" t="str">
        <f t="shared" si="1"/>
        <v/>
      </c>
      <c r="AB58" s="230" t="str">
        <f t="shared" si="54"/>
        <v/>
      </c>
      <c r="AC58" s="265" t="str">
        <f t="shared" si="3"/>
        <v/>
      </c>
      <c r="AD58" s="230" t="str">
        <f t="shared" si="58"/>
        <v/>
      </c>
      <c r="AE58" s="232" t="str">
        <f t="shared" si="59"/>
        <v/>
      </c>
      <c r="AF58" s="233"/>
    </row>
    <row r="59" spans="1:32" ht="44.25" customHeight="1" x14ac:dyDescent="0.3">
      <c r="A59" s="537">
        <v>10</v>
      </c>
      <c r="B59" s="522"/>
      <c r="C59" s="522"/>
      <c r="D59" s="549"/>
      <c r="E59" s="269"/>
      <c r="F59" s="288"/>
      <c r="G59" s="288"/>
      <c r="H59" s="525"/>
      <c r="I59" s="528" t="str">
        <f>IF(H59&lt;=0,"",IF(H59&lt;=2,"Muy Baja",IF(H59&lt;=24,"Baja",IF(H59&lt;=500,"Media",IF(H59&lt;=5000,"Alta","Muy Alta")))))</f>
        <v/>
      </c>
      <c r="J59" s="534" t="str">
        <f>IF(I59="","",IF(I59="Muy Baja",0.2,IF(I59="Baja",0.4,IF(I59="Media",0.6,IF(I59="Alta",0.8,IF(I59="Muy Alta",1,))))))</f>
        <v/>
      </c>
      <c r="K59" s="522"/>
      <c r="L59" s="531"/>
      <c r="M59" s="266">
        <f>IF(NOT(ISERROR(MATCH(L59,'Tabla Impacto'!$B$221:$B$223,0))),'Tabla Impacto'!$F$223&amp;"Por favor no seleccionar los criterios de impacto(Afectación Económica o presupuestal y Pérdida Reputacional)",L59)</f>
        <v>0</v>
      </c>
      <c r="N59" s="528" t="str">
        <f>IF(OR(M59='Tabla Impacto'!$C$11,M59='Tabla Impacto'!$D$11),"Leve",IF(OR(M59='Tabla Impacto'!$C$12,M59='Tabla Impacto'!$D$12),"Menor",IF(OR(M59='Tabla Impacto'!$C$13,M59='Tabla Impacto'!$D$13),"Moderado",IF(OR(M59='Tabla Impacto'!$C$14,M59='Tabla Impacto'!$D$14),"Mayor",IF(OR(M59='Tabla Impacto'!$C$15,M59='Tabla Impacto'!$D$15),"Catastrófico","")))))</f>
        <v/>
      </c>
      <c r="O59" s="534" t="str">
        <f>IF(N59="","",IF(N59="Leve",0.2,IF(N59="Menor",0.4,IF(N59="Moderado",0.6,IF(N59="Mayor",0.8,IF(N59="Catastrófico",1,))))))</f>
        <v/>
      </c>
      <c r="P59" s="528" t="str">
        <f>IF(OR(AND(I59="Muy Baja",N59="Leve"),AND(I59="Muy Baja",N59="Menor"),AND(I59="Baja",N59="Leve")),"Bajo",IF(OR(AND(I59="Muy baja",N59="Moderado"),AND(I59="Baja",N59="Menor"),AND(I59="Baja",N59="Moderado"),AND(I59="Media",N59="Leve"),AND(I59="Media",N59="Menor"),AND(I59="Media",N59="Moderado"),AND(I59="Alta",N59="Leve"),AND(I59="Alta",N59="Menor")),"Moderado",IF(OR(AND(I59="Muy Baja",N59="Mayor"),AND(I59="Baja",N59="Mayor"),AND(I59="Media",N59="Mayor"),AND(I59="Alta",N59="Moderado"),AND(I59="Alta",N59="Mayor"),AND(I59="Muy Alta",N59="Leve"),AND(I59="Muy Alta",N59="Menor"),AND(I59="Muy Alta",N59="Moderado"),AND(I59="Muy Alta",N59="Mayor")),"Alto",IF(OR(AND(I59="Muy Baja",N59="Catastrófico"),AND(I59="Baja",N59="Catastrófico"),AND(I59="Media",N59="Catastrófico"),AND(I59="Alta",N59="Catastrófico"),AND(I59="Muy Alta",N59="Catastrófico")),"Extremo",""))))</f>
        <v/>
      </c>
      <c r="Q59" s="191">
        <v>1</v>
      </c>
      <c r="R59" s="288"/>
      <c r="S59" s="216" t="str">
        <f>IF(OR(T59="Preventivo",T59="Detectivo"),"Probabilidad",IF(T59="Correctivo","Impacto",""))</f>
        <v/>
      </c>
      <c r="T59" s="217"/>
      <c r="U59" s="217"/>
      <c r="V59" s="234" t="str">
        <f>IF(AND(T59="Preventivo",U59="Automático"),"50%",IF(AND(T59="Preventivo",U59="Manual"),"40%",IF(AND(T59="Detectivo",U59="Automático"),"40%",IF(AND(T59="Detectivo",U59="Manual"),"30%",IF(AND(T59="Correctivo",U59="Automático"),"35%",IF(AND(T59="Correctivo",U59="Manual"),"25%",""))))))</f>
        <v/>
      </c>
      <c r="W59" s="217"/>
      <c r="X59" s="217"/>
      <c r="Y59" s="217"/>
      <c r="Z59" s="237" t="str">
        <f>IFERROR(IF(S59="Probabilidad",(J59-(+J59*V59)),IF(S59="Impacto",J59,"")),"")</f>
        <v/>
      </c>
      <c r="AA59" s="263" t="str">
        <f>IFERROR(IF(Z59="","",IF(Z59&lt;=0.2,"Muy Baja",IF(Z59&lt;=0.4,"Baja",IF(Z59&lt;=0.6,"Media",IF(Z59&lt;=0.8,"Alta","Muy Alta"))))),"")</f>
        <v/>
      </c>
      <c r="AB59" s="218" t="str">
        <f>+Z59</f>
        <v/>
      </c>
      <c r="AC59" s="263" t="str">
        <f>IFERROR(IF(AD59="","",IF(AD59&lt;=0.2,"Leve",IF(AD59&lt;=0.4,"Menor",IF(AD59&lt;=0.6,"Moderado",IF(AD59&lt;=0.8,"Mayor","Catastrófico"))))),"")</f>
        <v/>
      </c>
      <c r="AD59" s="218" t="str">
        <f>IFERROR(IF(S59="Impacto",(O59-(+O59*V59)),IF(S59="Probabilidad",O59,"")),"")</f>
        <v/>
      </c>
      <c r="AE59" s="220" t="str">
        <f>IFERROR(IF(OR(AND(AA59="Muy Baja",AC59="Leve"),AND(AA59="Muy Baja",AC59="Menor"),AND(AA59="Baja",AC59="Leve")),"Bajo",IF(OR(AND(AA59="Muy baja",AC59="Moderado"),AND(AA59="Baja",AC59="Menor"),AND(AA59="Baja",AC59="Moderado"),AND(AA59="Media",AC59="Leve"),AND(AA59="Media",AC59="Menor"),AND(AA59="Media",AC59="Moderado"),AND(AA59="Alta",AC59="Leve"),AND(AA59="Alta",AC59="Menor")),"Moderado",IF(OR(AND(AA59="Muy Baja",AC59="Mayor"),AND(AA59="Baja",AC59="Mayor"),AND(AA59="Media",AC59="Mayor"),AND(AA59="Alta",AC59="Moderado"),AND(AA59="Alta",AC59="Mayor"),AND(AA59="Muy Alta",AC59="Leve"),AND(AA59="Muy Alta",AC59="Menor"),AND(AA59="Muy Alta",AC59="Moderado"),AND(AA59="Muy Alta",AC59="Mayor")),"Alto",IF(OR(AND(AA59="Muy Baja",AC59="Catastrófico"),AND(AA59="Baja",AC59="Catastrófico"),AND(AA59="Media",AC59="Catastrófico"),AND(AA59="Alta",AC59="Catastrófico"),AND(AA59="Muy Alta",AC59="Catastrófico")),"Extremo","")))),"")</f>
        <v/>
      </c>
      <c r="AF59" s="221"/>
    </row>
    <row r="60" spans="1:32" ht="44.25" customHeight="1" x14ac:dyDescent="0.3">
      <c r="A60" s="538"/>
      <c r="B60" s="523"/>
      <c r="C60" s="523"/>
      <c r="D60" s="550"/>
      <c r="E60" s="270"/>
      <c r="F60" s="286"/>
      <c r="G60" s="286"/>
      <c r="H60" s="526"/>
      <c r="I60" s="529"/>
      <c r="J60" s="535"/>
      <c r="K60" s="523"/>
      <c r="L60" s="532"/>
      <c r="M60" s="267">
        <f>IF(NOT(ISERROR(MATCH(L60,_xlfn.ANCHORARRAY(D69),0))),J71&amp;"Por favor no seleccionar los criterios de impacto",L60)</f>
        <v>0</v>
      </c>
      <c r="N60" s="529"/>
      <c r="O60" s="535"/>
      <c r="P60" s="529"/>
      <c r="Q60" s="192">
        <v>2</v>
      </c>
      <c r="R60" s="286"/>
      <c r="S60" s="222" t="str">
        <f>IF(OR(T60="Preventivo",T60="Detectivo"),"Probabilidad",IF(T60="Correctivo","Impacto",""))</f>
        <v/>
      </c>
      <c r="T60" s="223"/>
      <c r="U60" s="223"/>
      <c r="V60" s="235" t="str">
        <f t="shared" ref="V60:V64" si="60">IF(AND(T60="Preventivo",U60="Automático"),"50%",IF(AND(T60="Preventivo",U60="Manual"),"40%",IF(AND(T60="Detectivo",U60="Automático"),"40%",IF(AND(T60="Detectivo",U60="Manual"),"30%",IF(AND(T60="Correctivo",U60="Automático"),"35%",IF(AND(T60="Correctivo",U60="Manual"),"25%",""))))))</f>
        <v/>
      </c>
      <c r="W60" s="223"/>
      <c r="X60" s="223"/>
      <c r="Y60" s="223"/>
      <c r="Z60" s="238" t="str">
        <f>IFERROR(IF(AND(S59="Probabilidad",S60="Probabilidad"),(AB59-(+AB59*V60)),IF(S60="Probabilidad",(J59-(+J59*V60)),IF(S60="Impacto",AB59,""))),"")</f>
        <v/>
      </c>
      <c r="AA60" s="264" t="str">
        <f t="shared" si="1"/>
        <v/>
      </c>
      <c r="AB60" s="224" t="str">
        <f t="shared" ref="AB60:AB64" si="61">+Z60</f>
        <v/>
      </c>
      <c r="AC60" s="264" t="str">
        <f t="shared" si="3"/>
        <v/>
      </c>
      <c r="AD60" s="224" t="str">
        <f>IFERROR(IF(AND(S59="Impacto",S60="Impacto"),(AD59-(+AD59*V60)),IF(S60="Impacto",(O59-(+O59*V60)),IF(S60="Probabilidad",AD59,""))),"")</f>
        <v/>
      </c>
      <c r="AE60" s="226" t="str">
        <f t="shared" ref="AE60:AE61" si="62">IFERROR(IF(OR(AND(AA60="Muy Baja",AC60="Leve"),AND(AA60="Muy Baja",AC60="Menor"),AND(AA60="Baja",AC60="Leve")),"Bajo",IF(OR(AND(AA60="Muy baja",AC60="Moderado"),AND(AA60="Baja",AC60="Menor"),AND(AA60="Baja",AC60="Moderado"),AND(AA60="Media",AC60="Leve"),AND(AA60="Media",AC60="Menor"),AND(AA60="Media",AC60="Moderado"),AND(AA60="Alta",AC60="Leve"),AND(AA60="Alta",AC60="Menor")),"Moderado",IF(OR(AND(AA60="Muy Baja",AC60="Mayor"),AND(AA60="Baja",AC60="Mayor"),AND(AA60="Media",AC60="Mayor"),AND(AA60="Alta",AC60="Moderado"),AND(AA60="Alta",AC60="Mayor"),AND(AA60="Muy Alta",AC60="Leve"),AND(AA60="Muy Alta",AC60="Menor"),AND(AA60="Muy Alta",AC60="Moderado"),AND(AA60="Muy Alta",AC60="Mayor")),"Alto",IF(OR(AND(AA60="Muy Baja",AC60="Catastrófico"),AND(AA60="Baja",AC60="Catastrófico"),AND(AA60="Media",AC60="Catastrófico"),AND(AA60="Alta",AC60="Catastrófico"),AND(AA60="Muy Alta",AC60="Catastrófico")),"Extremo","")))),"")</f>
        <v/>
      </c>
      <c r="AF60" s="227"/>
    </row>
    <row r="61" spans="1:32" ht="44.25" customHeight="1" x14ac:dyDescent="0.3">
      <c r="A61" s="538"/>
      <c r="B61" s="523"/>
      <c r="C61" s="523"/>
      <c r="D61" s="550"/>
      <c r="E61" s="270"/>
      <c r="F61" s="286"/>
      <c r="G61" s="286"/>
      <c r="H61" s="526"/>
      <c r="I61" s="529"/>
      <c r="J61" s="535"/>
      <c r="K61" s="523"/>
      <c r="L61" s="532"/>
      <c r="M61" s="267">
        <f>IF(NOT(ISERROR(MATCH(L61,_xlfn.ANCHORARRAY(D70),0))),J72&amp;"Por favor no seleccionar los criterios de impacto",L61)</f>
        <v>0</v>
      </c>
      <c r="N61" s="529"/>
      <c r="O61" s="535"/>
      <c r="P61" s="529"/>
      <c r="Q61" s="192">
        <v>3</v>
      </c>
      <c r="R61" s="287"/>
      <c r="S61" s="222" t="str">
        <f>IF(OR(T61="Preventivo",T61="Detectivo"),"Probabilidad",IF(T61="Correctivo","Impacto",""))</f>
        <v/>
      </c>
      <c r="T61" s="223"/>
      <c r="U61" s="223"/>
      <c r="V61" s="235" t="str">
        <f t="shared" si="60"/>
        <v/>
      </c>
      <c r="W61" s="223"/>
      <c r="X61" s="223"/>
      <c r="Y61" s="223"/>
      <c r="Z61" s="238" t="str">
        <f>IFERROR(IF(AND(S60="Probabilidad",S61="Probabilidad"),(AB60-(+AB60*V61)),IF(AND(S60="Impacto",S61="Probabilidad"),(AB59-(+AB59*V61)),IF(S61="Impacto",AB60,""))),"")</f>
        <v/>
      </c>
      <c r="AA61" s="264" t="str">
        <f t="shared" si="1"/>
        <v/>
      </c>
      <c r="AB61" s="224" t="str">
        <f t="shared" si="61"/>
        <v/>
      </c>
      <c r="AC61" s="264" t="str">
        <f t="shared" si="3"/>
        <v/>
      </c>
      <c r="AD61" s="224" t="str">
        <f>IFERROR(IF(AND(S60="Impacto",S61="Impacto"),(AD60-(+AD60*V61)),IF(AND(S60="Probabilidad",S61="Impacto"),(AD59-(+AD59*V61)),IF(S61="Probabilidad",AD60,""))),"")</f>
        <v/>
      </c>
      <c r="AE61" s="226" t="str">
        <f t="shared" si="62"/>
        <v/>
      </c>
      <c r="AF61" s="227"/>
    </row>
    <row r="62" spans="1:32" ht="44.25" customHeight="1" x14ac:dyDescent="0.3">
      <c r="A62" s="538"/>
      <c r="B62" s="523"/>
      <c r="C62" s="523"/>
      <c r="D62" s="550"/>
      <c r="E62" s="270"/>
      <c r="F62" s="286"/>
      <c r="G62" s="286"/>
      <c r="H62" s="526"/>
      <c r="I62" s="529"/>
      <c r="J62" s="535"/>
      <c r="K62" s="523"/>
      <c r="L62" s="532"/>
      <c r="M62" s="267">
        <f>IF(NOT(ISERROR(MATCH(L62,_xlfn.ANCHORARRAY(D71),0))),J73&amp;"Por favor no seleccionar los criterios de impacto",L62)</f>
        <v>0</v>
      </c>
      <c r="N62" s="529"/>
      <c r="O62" s="535"/>
      <c r="P62" s="529"/>
      <c r="Q62" s="192">
        <v>4</v>
      </c>
      <c r="R62" s="286"/>
      <c r="S62" s="222" t="str">
        <f t="shared" ref="S62:S64" si="63">IF(OR(T62="Preventivo",T62="Detectivo"),"Probabilidad",IF(T62="Correctivo","Impacto",""))</f>
        <v/>
      </c>
      <c r="T62" s="223"/>
      <c r="U62" s="223"/>
      <c r="V62" s="235" t="str">
        <f t="shared" si="60"/>
        <v/>
      </c>
      <c r="W62" s="223"/>
      <c r="X62" s="223"/>
      <c r="Y62" s="223"/>
      <c r="Z62" s="238" t="str">
        <f t="shared" ref="Z62:Z64" si="64">IFERROR(IF(AND(S61="Probabilidad",S62="Probabilidad"),(AB61-(+AB61*V62)),IF(AND(S61="Impacto",S62="Probabilidad"),(AB60-(+AB60*V62)),IF(S62="Impacto",AB61,""))),"")</f>
        <v/>
      </c>
      <c r="AA62" s="264" t="str">
        <f t="shared" si="1"/>
        <v/>
      </c>
      <c r="AB62" s="224" t="str">
        <f t="shared" si="61"/>
        <v/>
      </c>
      <c r="AC62" s="264" t="str">
        <f t="shared" si="3"/>
        <v/>
      </c>
      <c r="AD62" s="224" t="str">
        <f t="shared" ref="AD62:AD64" si="65">IFERROR(IF(AND(S61="Impacto",S62="Impacto"),(AD61-(+AD61*V62)),IF(AND(S61="Probabilidad",S62="Impacto"),(AD60-(+AD60*V62)),IF(S62="Probabilidad",AD61,""))),"")</f>
        <v/>
      </c>
      <c r="AE62" s="226" t="str">
        <f>IFERROR(IF(OR(AND(AA62="Muy Baja",AC62="Leve"),AND(AA62="Muy Baja",AC62="Menor"),AND(AA62="Baja",AC62="Leve")),"Bajo",IF(OR(AND(AA62="Muy baja",AC62="Moderado"),AND(AA62="Baja",AC62="Menor"),AND(AA62="Baja",AC62="Moderado"),AND(AA62="Media",AC62="Leve"),AND(AA62="Media",AC62="Menor"),AND(AA62="Media",AC62="Moderado"),AND(AA62="Alta",AC62="Leve"),AND(AA62="Alta",AC62="Menor")),"Moderado",IF(OR(AND(AA62="Muy Baja",AC62="Mayor"),AND(AA62="Baja",AC62="Mayor"),AND(AA62="Media",AC62="Mayor"),AND(AA62="Alta",AC62="Moderado"),AND(AA62="Alta",AC62="Mayor"),AND(AA62="Muy Alta",AC62="Leve"),AND(AA62="Muy Alta",AC62="Menor"),AND(AA62="Muy Alta",AC62="Moderado"),AND(AA62="Muy Alta",AC62="Mayor")),"Alto",IF(OR(AND(AA62="Muy Baja",AC62="Catastrófico"),AND(AA62="Baja",AC62="Catastrófico"),AND(AA62="Media",AC62="Catastrófico"),AND(AA62="Alta",AC62="Catastrófico"),AND(AA62="Muy Alta",AC62="Catastrófico")),"Extremo","")))),"")</f>
        <v/>
      </c>
      <c r="AF62" s="227"/>
    </row>
    <row r="63" spans="1:32" ht="44.25" customHeight="1" x14ac:dyDescent="0.3">
      <c r="A63" s="538"/>
      <c r="B63" s="523"/>
      <c r="C63" s="523"/>
      <c r="D63" s="550"/>
      <c r="E63" s="270"/>
      <c r="F63" s="286"/>
      <c r="G63" s="286"/>
      <c r="H63" s="526"/>
      <c r="I63" s="529"/>
      <c r="J63" s="535"/>
      <c r="K63" s="523"/>
      <c r="L63" s="532"/>
      <c r="M63" s="267">
        <f>IF(NOT(ISERROR(MATCH(L63,_xlfn.ANCHORARRAY(D72),0))),J74&amp;"Por favor no seleccionar los criterios de impacto",L63)</f>
        <v>0</v>
      </c>
      <c r="N63" s="529"/>
      <c r="O63" s="535"/>
      <c r="P63" s="529"/>
      <c r="Q63" s="192">
        <v>5</v>
      </c>
      <c r="R63" s="286"/>
      <c r="S63" s="222" t="str">
        <f t="shared" si="63"/>
        <v/>
      </c>
      <c r="T63" s="223"/>
      <c r="U63" s="223"/>
      <c r="V63" s="235" t="str">
        <f t="shared" si="60"/>
        <v/>
      </c>
      <c r="W63" s="223"/>
      <c r="X63" s="223"/>
      <c r="Y63" s="223"/>
      <c r="Z63" s="238" t="str">
        <f t="shared" si="64"/>
        <v/>
      </c>
      <c r="AA63" s="264" t="str">
        <f t="shared" si="1"/>
        <v/>
      </c>
      <c r="AB63" s="224" t="str">
        <f t="shared" si="61"/>
        <v/>
      </c>
      <c r="AC63" s="264" t="str">
        <f t="shared" si="3"/>
        <v/>
      </c>
      <c r="AD63" s="224" t="str">
        <f t="shared" si="65"/>
        <v/>
      </c>
      <c r="AE63" s="226" t="str">
        <f t="shared" ref="AE63:AE64" si="66">IFERROR(IF(OR(AND(AA63="Muy Baja",AC63="Leve"),AND(AA63="Muy Baja",AC63="Menor"),AND(AA63="Baja",AC63="Leve")),"Bajo",IF(OR(AND(AA63="Muy baja",AC63="Moderado"),AND(AA63="Baja",AC63="Menor"),AND(AA63="Baja",AC63="Moderado"),AND(AA63="Media",AC63="Leve"),AND(AA63="Media",AC63="Menor"),AND(AA63="Media",AC63="Moderado"),AND(AA63="Alta",AC63="Leve"),AND(AA63="Alta",AC63="Menor")),"Moderado",IF(OR(AND(AA63="Muy Baja",AC63="Mayor"),AND(AA63="Baja",AC63="Mayor"),AND(AA63="Media",AC63="Mayor"),AND(AA63="Alta",AC63="Moderado"),AND(AA63="Alta",AC63="Mayor"),AND(AA63="Muy Alta",AC63="Leve"),AND(AA63="Muy Alta",AC63="Menor"),AND(AA63="Muy Alta",AC63="Moderado"),AND(AA63="Muy Alta",AC63="Mayor")),"Alto",IF(OR(AND(AA63="Muy Baja",AC63="Catastrófico"),AND(AA63="Baja",AC63="Catastrófico"),AND(AA63="Media",AC63="Catastrófico"),AND(AA63="Alta",AC63="Catastrófico"),AND(AA63="Muy Alta",AC63="Catastrófico")),"Extremo","")))),"")</f>
        <v/>
      </c>
      <c r="AF63" s="227"/>
    </row>
    <row r="64" spans="1:32" ht="44.25" customHeight="1" thickBot="1" x14ac:dyDescent="0.35">
      <c r="A64" s="539"/>
      <c r="B64" s="524"/>
      <c r="C64" s="524"/>
      <c r="D64" s="551"/>
      <c r="E64" s="271"/>
      <c r="F64" s="289"/>
      <c r="G64" s="289"/>
      <c r="H64" s="527"/>
      <c r="I64" s="530"/>
      <c r="J64" s="536"/>
      <c r="K64" s="524"/>
      <c r="L64" s="533"/>
      <c r="M64" s="268">
        <f>IF(NOT(ISERROR(MATCH(L64,_xlfn.ANCHORARRAY(D73),0))),J75&amp;"Por favor no seleccionar los criterios de impacto",L64)</f>
        <v>0</v>
      </c>
      <c r="N64" s="530"/>
      <c r="O64" s="536"/>
      <c r="P64" s="530"/>
      <c r="Q64" s="193">
        <v>6</v>
      </c>
      <c r="R64" s="289"/>
      <c r="S64" s="228" t="str">
        <f t="shared" si="63"/>
        <v/>
      </c>
      <c r="T64" s="229"/>
      <c r="U64" s="229"/>
      <c r="V64" s="236" t="str">
        <f t="shared" si="60"/>
        <v/>
      </c>
      <c r="W64" s="229"/>
      <c r="X64" s="229"/>
      <c r="Y64" s="229"/>
      <c r="Z64" s="239" t="str">
        <f t="shared" si="64"/>
        <v/>
      </c>
      <c r="AA64" s="265" t="str">
        <f t="shared" si="1"/>
        <v/>
      </c>
      <c r="AB64" s="230" t="str">
        <f t="shared" si="61"/>
        <v/>
      </c>
      <c r="AC64" s="265" t="str">
        <f t="shared" si="3"/>
        <v/>
      </c>
      <c r="AD64" s="230" t="str">
        <f t="shared" si="65"/>
        <v/>
      </c>
      <c r="AE64" s="232" t="str">
        <f t="shared" si="66"/>
        <v/>
      </c>
      <c r="AF64" s="233"/>
    </row>
    <row r="65" spans="1:32" x14ac:dyDescent="0.3">
      <c r="A65" s="197"/>
      <c r="B65" s="197"/>
      <c r="C65" s="197"/>
      <c r="D65" s="4"/>
      <c r="E65" s="4"/>
      <c r="F65" s="198"/>
      <c r="G65" s="198"/>
      <c r="H65" s="4"/>
      <c r="I65" s="4"/>
      <c r="J65" s="4"/>
      <c r="K65" s="4"/>
      <c r="L65" s="4"/>
      <c r="M65" s="4"/>
      <c r="N65" s="4"/>
      <c r="O65" s="4"/>
      <c r="P65" s="4"/>
      <c r="Q65" s="4"/>
      <c r="R65" s="4"/>
      <c r="S65" s="4"/>
      <c r="T65" s="4"/>
      <c r="U65" s="4"/>
      <c r="V65" s="4"/>
      <c r="W65" s="4"/>
      <c r="X65" s="4"/>
      <c r="Y65" s="4"/>
      <c r="Z65" s="4"/>
      <c r="AA65" s="4"/>
      <c r="AB65" s="4"/>
      <c r="AC65" s="4"/>
      <c r="AD65" s="4"/>
      <c r="AE65" s="4"/>
      <c r="AF65" s="4"/>
    </row>
    <row r="66" spans="1:32" customFormat="1" ht="15"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row>
    <row r="67" spans="1:32" s="5" customFormat="1" ht="24.75" customHeight="1" x14ac:dyDescent="0.2">
      <c r="A67" s="480" t="s">
        <v>217</v>
      </c>
      <c r="B67" s="480"/>
      <c r="C67" s="488" t="s">
        <v>185</v>
      </c>
      <c r="D67" s="488"/>
      <c r="E67" s="488"/>
      <c r="F67" s="488"/>
      <c r="G67" s="480" t="s">
        <v>218</v>
      </c>
      <c r="H67" s="482" t="s">
        <v>315</v>
      </c>
      <c r="I67" s="483"/>
      <c r="J67" s="483"/>
      <c r="K67" s="483"/>
      <c r="L67" s="483"/>
      <c r="M67" s="483"/>
      <c r="N67" s="483"/>
      <c r="O67" s="483"/>
      <c r="P67" s="483"/>
      <c r="Q67" s="484"/>
      <c r="R67" s="196" t="s">
        <v>220</v>
      </c>
      <c r="S67" s="195"/>
      <c r="T67" s="481" t="s">
        <v>221</v>
      </c>
      <c r="U67" s="481"/>
      <c r="V67" s="481"/>
      <c r="W67" s="481"/>
      <c r="X67" s="481"/>
      <c r="Y67" s="481"/>
      <c r="Z67" s="481"/>
      <c r="AA67" s="481"/>
      <c r="AB67" s="481"/>
      <c r="AC67" s="481"/>
      <c r="AD67" s="481"/>
      <c r="AE67" s="481"/>
      <c r="AF67" s="481"/>
    </row>
    <row r="68" spans="1:32" s="5" customFormat="1" ht="24.75" customHeight="1" x14ac:dyDescent="0.2">
      <c r="A68" s="480"/>
      <c r="B68" s="480"/>
      <c r="C68" s="488"/>
      <c r="D68" s="488"/>
      <c r="E68" s="488"/>
      <c r="F68" s="488"/>
      <c r="G68" s="480"/>
      <c r="H68" s="485"/>
      <c r="I68" s="486"/>
      <c r="J68" s="486"/>
      <c r="K68" s="486"/>
      <c r="L68" s="486"/>
      <c r="M68" s="486"/>
      <c r="N68" s="486"/>
      <c r="O68" s="486"/>
      <c r="P68" s="486"/>
      <c r="Q68" s="487"/>
      <c r="R68" s="196" t="s">
        <v>316</v>
      </c>
      <c r="S68" s="195"/>
      <c r="T68" s="481" t="s">
        <v>223</v>
      </c>
      <c r="U68" s="481"/>
      <c r="V68" s="481"/>
      <c r="W68" s="481"/>
      <c r="X68" s="481"/>
      <c r="Y68" s="481"/>
      <c r="Z68" s="481"/>
      <c r="AA68" s="481"/>
      <c r="AB68" s="481"/>
      <c r="AC68" s="481"/>
      <c r="AD68" s="481"/>
      <c r="AE68" s="481"/>
      <c r="AF68" s="481"/>
    </row>
    <row r="69" spans="1:32" customFormat="1" ht="15" x14ac:dyDescent="0.25"/>
  </sheetData>
  <dataConsolidate/>
  <mergeCells count="168">
    <mergeCell ref="AF17:AF22"/>
    <mergeCell ref="AF23:AF28"/>
    <mergeCell ref="AF29:AF34"/>
    <mergeCell ref="AF35:AF40"/>
    <mergeCell ref="AF41:AF46"/>
    <mergeCell ref="A5:C5"/>
    <mergeCell ref="B53:B58"/>
    <mergeCell ref="A29:A34"/>
    <mergeCell ref="P35:P40"/>
    <mergeCell ref="A41:A46"/>
    <mergeCell ref="P41:P46"/>
    <mergeCell ref="A35:A40"/>
    <mergeCell ref="H35:H40"/>
    <mergeCell ref="I35:I40"/>
    <mergeCell ref="J35:J40"/>
    <mergeCell ref="H41:H46"/>
    <mergeCell ref="I41:I46"/>
    <mergeCell ref="J41:J46"/>
    <mergeCell ref="K29:K34"/>
    <mergeCell ref="D29:D34"/>
    <mergeCell ref="P29:P34"/>
    <mergeCell ref="H29:H34"/>
    <mergeCell ref="B10:B16"/>
    <mergeCell ref="B23:B28"/>
    <mergeCell ref="B29:B34"/>
    <mergeCell ref="B35:B40"/>
    <mergeCell ref="C35:C40"/>
    <mergeCell ref="B41:B46"/>
    <mergeCell ref="C29:C34"/>
    <mergeCell ref="A59:A64"/>
    <mergeCell ref="A47:A52"/>
    <mergeCell ref="B59:B64"/>
    <mergeCell ref="A23:A28"/>
    <mergeCell ref="A6:AF6"/>
    <mergeCell ref="D59:D64"/>
    <mergeCell ref="C59:C64"/>
    <mergeCell ref="H59:H64"/>
    <mergeCell ref="I59:I64"/>
    <mergeCell ref="H53:H58"/>
    <mergeCell ref="I53:I58"/>
    <mergeCell ref="J53:J58"/>
    <mergeCell ref="A53:A58"/>
    <mergeCell ref="K53:K58"/>
    <mergeCell ref="P47:P52"/>
    <mergeCell ref="J59:J64"/>
    <mergeCell ref="L59:L64"/>
    <mergeCell ref="N59:N64"/>
    <mergeCell ref="O59:O64"/>
    <mergeCell ref="P59:P64"/>
    <mergeCell ref="O53:O58"/>
    <mergeCell ref="P53:P58"/>
    <mergeCell ref="L53:L58"/>
    <mergeCell ref="M53:M58"/>
    <mergeCell ref="N53:N58"/>
    <mergeCell ref="K47:K52"/>
    <mergeCell ref="K59:K64"/>
    <mergeCell ref="B47:B52"/>
    <mergeCell ref="J47:J52"/>
    <mergeCell ref="L35:L40"/>
    <mergeCell ref="N35:N40"/>
    <mergeCell ref="O35:O40"/>
    <mergeCell ref="D53:D58"/>
    <mergeCell ref="C53:C58"/>
    <mergeCell ref="L47:L52"/>
    <mergeCell ref="N47:N52"/>
    <mergeCell ref="O47:O52"/>
    <mergeCell ref="D47:D52"/>
    <mergeCell ref="C47:C52"/>
    <mergeCell ref="H47:H52"/>
    <mergeCell ref="I47:I52"/>
    <mergeCell ref="K41:K46"/>
    <mergeCell ref="D41:D46"/>
    <mergeCell ref="C41:C46"/>
    <mergeCell ref="O41:O46"/>
    <mergeCell ref="L41:L46"/>
    <mergeCell ref="N41:N46"/>
    <mergeCell ref="K35:K40"/>
    <mergeCell ref="D35:D40"/>
    <mergeCell ref="I29:I34"/>
    <mergeCell ref="J29:J34"/>
    <mergeCell ref="L29:L34"/>
    <mergeCell ref="N29:N34"/>
    <mergeCell ref="O29:O34"/>
    <mergeCell ref="I23:I28"/>
    <mergeCell ref="J23:J28"/>
    <mergeCell ref="O17:O22"/>
    <mergeCell ref="P17:P22"/>
    <mergeCell ref="L23:L28"/>
    <mergeCell ref="N23:N28"/>
    <mergeCell ref="O23:O28"/>
    <mergeCell ref="P23:P28"/>
    <mergeCell ref="K23:K28"/>
    <mergeCell ref="A10:A16"/>
    <mergeCell ref="K10:K16"/>
    <mergeCell ref="D10:D16"/>
    <mergeCell ref="C10:C16"/>
    <mergeCell ref="L17:L22"/>
    <mergeCell ref="N17:N22"/>
    <mergeCell ref="A17:A22"/>
    <mergeCell ref="K17:K22"/>
    <mergeCell ref="D17:D22"/>
    <mergeCell ref="C17:C22"/>
    <mergeCell ref="H17:H22"/>
    <mergeCell ref="I17:I22"/>
    <mergeCell ref="J17:J22"/>
    <mergeCell ref="H10:H16"/>
    <mergeCell ref="I10:I16"/>
    <mergeCell ref="J10:J16"/>
    <mergeCell ref="B17:B22"/>
    <mergeCell ref="T8:Y8"/>
    <mergeCell ref="Z8:Z9"/>
    <mergeCell ref="AA8:AA9"/>
    <mergeCell ref="AB8:AB9"/>
    <mergeCell ref="D23:D28"/>
    <mergeCell ref="C23:C28"/>
    <mergeCell ref="H23:H28"/>
    <mergeCell ref="P10:P16"/>
    <mergeCell ref="L10:L16"/>
    <mergeCell ref="N10:N16"/>
    <mergeCell ref="O10:O16"/>
    <mergeCell ref="AF10:AF16"/>
    <mergeCell ref="E8:E9"/>
    <mergeCell ref="L8:L9"/>
    <mergeCell ref="M8:M9"/>
    <mergeCell ref="N8:N9"/>
    <mergeCell ref="O8:O9"/>
    <mergeCell ref="P8:P9"/>
    <mergeCell ref="Q8:Q9"/>
    <mergeCell ref="A8:A9"/>
    <mergeCell ref="K8:K9"/>
    <mergeCell ref="F8:F9"/>
    <mergeCell ref="G8:G9"/>
    <mergeCell ref="D8:D9"/>
    <mergeCell ref="C8:C9"/>
    <mergeCell ref="H8:H9"/>
    <mergeCell ref="I8:I9"/>
    <mergeCell ref="J8:J9"/>
    <mergeCell ref="B8:B9"/>
    <mergeCell ref="AC8:AC9"/>
    <mergeCell ref="AD8:AD9"/>
    <mergeCell ref="AE8:AE9"/>
    <mergeCell ref="AF8:AF9"/>
    <mergeCell ref="R8:R9"/>
    <mergeCell ref="S8:S9"/>
    <mergeCell ref="A67:B68"/>
    <mergeCell ref="T67:AF67"/>
    <mergeCell ref="T68:AF68"/>
    <mergeCell ref="G67:G68"/>
    <mergeCell ref="H67:Q68"/>
    <mergeCell ref="C67:F68"/>
    <mergeCell ref="AE1:AF1"/>
    <mergeCell ref="AE2:AF2"/>
    <mergeCell ref="A4:C4"/>
    <mergeCell ref="N4:Q4"/>
    <mergeCell ref="N5:Q5"/>
    <mergeCell ref="R4:AF4"/>
    <mergeCell ref="R5:AF5"/>
    <mergeCell ref="D4:L4"/>
    <mergeCell ref="D5:L5"/>
    <mergeCell ref="D1:AC1"/>
    <mergeCell ref="D2:AC2"/>
    <mergeCell ref="A3:AF3"/>
    <mergeCell ref="A1:C1"/>
    <mergeCell ref="A2:C2"/>
    <mergeCell ref="Q7:Y7"/>
    <mergeCell ref="Z7:AF7"/>
    <mergeCell ref="H7:P7"/>
    <mergeCell ref="A7:G7"/>
  </mergeCells>
  <conditionalFormatting sqref="I10 AA10:AA64">
    <cfRule type="cellIs" dxfId="156" priority="439" operator="equal">
      <formula>"Alta"</formula>
    </cfRule>
    <cfRule type="cellIs" dxfId="155" priority="438" operator="equal">
      <formula>"Muy Alta"</formula>
    </cfRule>
    <cfRule type="cellIs" dxfId="154" priority="441" operator="equal">
      <formula>"Baja"</formula>
    </cfRule>
    <cfRule type="cellIs" dxfId="153" priority="442" operator="equal">
      <formula>"Muy Baja"</formula>
    </cfRule>
    <cfRule type="cellIs" dxfId="152" priority="440" operator="equal">
      <formula>"Media"</formula>
    </cfRule>
  </conditionalFormatting>
  <conditionalFormatting sqref="I17">
    <cfRule type="cellIs" dxfId="151" priority="177" operator="equal">
      <formula>"Muy Baja"</formula>
    </cfRule>
    <cfRule type="cellIs" dxfId="150" priority="173" operator="equal">
      <formula>"Muy Alta"</formula>
    </cfRule>
    <cfRule type="cellIs" dxfId="149" priority="174" operator="equal">
      <formula>"Alta"</formula>
    </cfRule>
    <cfRule type="cellIs" dxfId="148" priority="175" operator="equal">
      <formula>"Media"</formula>
    </cfRule>
    <cfRule type="cellIs" dxfId="147" priority="176" operator="equal">
      <formula>"Baja"</formula>
    </cfRule>
  </conditionalFormatting>
  <conditionalFormatting sqref="I23">
    <cfRule type="cellIs" dxfId="146" priority="26" operator="equal">
      <formula>"Media"</formula>
    </cfRule>
    <cfRule type="cellIs" dxfId="145" priority="24" operator="equal">
      <formula>"Muy Alta"</formula>
    </cfRule>
    <cfRule type="cellIs" dxfId="144" priority="25" operator="equal">
      <formula>"Alta"</formula>
    </cfRule>
    <cfRule type="cellIs" dxfId="143" priority="27" operator="equal">
      <formula>"Baja"</formula>
    </cfRule>
    <cfRule type="cellIs" dxfId="142" priority="28" operator="equal">
      <formula>"Muy Baja"</formula>
    </cfRule>
  </conditionalFormatting>
  <conditionalFormatting sqref="I29">
    <cfRule type="cellIs" dxfId="141" priority="39" operator="equal">
      <formula>"Muy Alta"</formula>
    </cfRule>
    <cfRule type="cellIs" dxfId="140" priority="40" operator="equal">
      <formula>"Alta"</formula>
    </cfRule>
    <cfRule type="cellIs" dxfId="139" priority="41" operator="equal">
      <formula>"Media"</formula>
    </cfRule>
    <cfRule type="cellIs" dxfId="138" priority="42" operator="equal">
      <formula>"Baja"</formula>
    </cfRule>
    <cfRule type="cellIs" dxfId="137" priority="43" operator="equal">
      <formula>"Muy Baja"</formula>
    </cfRule>
  </conditionalFormatting>
  <conditionalFormatting sqref="I35">
    <cfRule type="cellIs" dxfId="136" priority="85" operator="equal">
      <formula>"Alta"</formula>
    </cfRule>
    <cfRule type="cellIs" dxfId="135" priority="88" operator="equal">
      <formula>"Muy Baja"</formula>
    </cfRule>
    <cfRule type="cellIs" dxfId="134" priority="87" operator="equal">
      <formula>"Baja"</formula>
    </cfRule>
    <cfRule type="cellIs" dxfId="133" priority="86" operator="equal">
      <formula>"Media"</formula>
    </cfRule>
    <cfRule type="cellIs" dxfId="132" priority="84" operator="equal">
      <formula>"Muy Alta"</formula>
    </cfRule>
  </conditionalFormatting>
  <conditionalFormatting sqref="I41">
    <cfRule type="cellIs" dxfId="131" priority="55" operator="equal">
      <formula>"Alta"</formula>
    </cfRule>
    <cfRule type="cellIs" dxfId="130" priority="57" operator="equal">
      <formula>"Baja"</formula>
    </cfRule>
    <cfRule type="cellIs" dxfId="129" priority="58" operator="equal">
      <formula>"Muy Baja"</formula>
    </cfRule>
    <cfRule type="cellIs" dxfId="128" priority="56" operator="equal">
      <formula>"Media"</formula>
    </cfRule>
    <cfRule type="cellIs" dxfId="127" priority="54" operator="equal">
      <formula>"Muy Alta"</formula>
    </cfRule>
  </conditionalFormatting>
  <conditionalFormatting sqref="I47">
    <cfRule type="cellIs" dxfId="126" priority="102" operator="equal">
      <formula>"Baja"</formula>
    </cfRule>
    <cfRule type="cellIs" dxfId="125" priority="99" operator="equal">
      <formula>"Muy Alta"</formula>
    </cfRule>
    <cfRule type="cellIs" dxfId="124" priority="100" operator="equal">
      <formula>"Alta"</formula>
    </cfRule>
    <cfRule type="cellIs" dxfId="123" priority="103" operator="equal">
      <formula>"Muy Baja"</formula>
    </cfRule>
    <cfRule type="cellIs" dxfId="122" priority="101" operator="equal">
      <formula>"Media"</formula>
    </cfRule>
  </conditionalFormatting>
  <conditionalFormatting sqref="I53">
    <cfRule type="cellIs" dxfId="121" priority="254" operator="equal">
      <formula>"Muy Alta"</formula>
    </cfRule>
    <cfRule type="cellIs" dxfId="120" priority="255" operator="equal">
      <formula>"Alta"</formula>
    </cfRule>
    <cfRule type="cellIs" dxfId="119" priority="256" operator="equal">
      <formula>"Media"</formula>
    </cfRule>
    <cfRule type="cellIs" dxfId="118" priority="257" operator="equal">
      <formula>"Baja"</formula>
    </cfRule>
    <cfRule type="cellIs" dxfId="117" priority="258" operator="equal">
      <formula>"Muy Baja"</formula>
    </cfRule>
  </conditionalFormatting>
  <conditionalFormatting sqref="I59">
    <cfRule type="cellIs" dxfId="116" priority="233" operator="equal">
      <formula>"Media"</formula>
    </cfRule>
    <cfRule type="cellIs" dxfId="115" priority="232" operator="equal">
      <formula>"Alta"</formula>
    </cfRule>
    <cfRule type="cellIs" dxfId="114" priority="234" operator="equal">
      <formula>"Baja"</formula>
    </cfRule>
    <cfRule type="cellIs" dxfId="113" priority="231" operator="equal">
      <formula>"Muy Alta"</formula>
    </cfRule>
    <cfRule type="cellIs" dxfId="112" priority="235" operator="equal">
      <formula>"Muy Baja"</formula>
    </cfRule>
  </conditionalFormatting>
  <conditionalFormatting sqref="M10:M64">
    <cfRule type="containsText" dxfId="111" priority="19" operator="containsText" text="❌">
      <formula>NOT(ISERROR(SEARCH("❌",M10)))</formula>
    </cfRule>
  </conditionalFormatting>
  <conditionalFormatting sqref="N10 AC10:AC64 N53 N59">
    <cfRule type="cellIs" dxfId="110" priority="437" operator="equal">
      <formula>"Leve"</formula>
    </cfRule>
    <cfRule type="cellIs" dxfId="109" priority="436" operator="equal">
      <formula>"Menor"</formula>
    </cfRule>
    <cfRule type="cellIs" dxfId="108" priority="433" operator="equal">
      <formula>"Catastrófico"</formula>
    </cfRule>
    <cfRule type="cellIs" dxfId="107" priority="434" operator="equal">
      <formula>"Mayor"</formula>
    </cfRule>
    <cfRule type="cellIs" dxfId="106" priority="435" operator="equal">
      <formula>"Moderado"</formula>
    </cfRule>
  </conditionalFormatting>
  <conditionalFormatting sqref="N17">
    <cfRule type="cellIs" dxfId="105" priority="182" operator="equal">
      <formula>"Leve"</formula>
    </cfRule>
    <cfRule type="cellIs" dxfId="104" priority="181" operator="equal">
      <formula>"Menor"</formula>
    </cfRule>
    <cfRule type="cellIs" dxfId="103" priority="180" operator="equal">
      <formula>"Moderado"</formula>
    </cfRule>
    <cfRule type="cellIs" dxfId="102" priority="178" operator="equal">
      <formula>"Catastrófico"</formula>
    </cfRule>
    <cfRule type="cellIs" dxfId="101" priority="179" operator="equal">
      <formula>"Mayor"</formula>
    </cfRule>
  </conditionalFormatting>
  <conditionalFormatting sqref="N23">
    <cfRule type="cellIs" dxfId="100" priority="31" operator="equal">
      <formula>"Moderado"</formula>
    </cfRule>
    <cfRule type="cellIs" dxfId="99" priority="32" operator="equal">
      <formula>"Menor"</formula>
    </cfRule>
    <cfRule type="cellIs" dxfId="98" priority="33" operator="equal">
      <formula>"Leve"</formula>
    </cfRule>
    <cfRule type="cellIs" dxfId="97" priority="29" operator="equal">
      <formula>"Catastrófico"</formula>
    </cfRule>
    <cfRule type="cellIs" dxfId="96" priority="30" operator="equal">
      <formula>"Mayor"</formula>
    </cfRule>
  </conditionalFormatting>
  <conditionalFormatting sqref="N29">
    <cfRule type="cellIs" dxfId="95" priority="48" operator="equal">
      <formula>"Leve"</formula>
    </cfRule>
    <cfRule type="cellIs" dxfId="94" priority="45" operator="equal">
      <formula>"Mayor"</formula>
    </cfRule>
    <cfRule type="cellIs" dxfId="93" priority="44" operator="equal">
      <formula>"Catastrófico"</formula>
    </cfRule>
    <cfRule type="cellIs" dxfId="92" priority="46" operator="equal">
      <formula>"Moderado"</formula>
    </cfRule>
    <cfRule type="cellIs" dxfId="91" priority="47" operator="equal">
      <formula>"Menor"</formula>
    </cfRule>
  </conditionalFormatting>
  <conditionalFormatting sqref="N35">
    <cfRule type="cellIs" dxfId="90" priority="93" operator="equal">
      <formula>"Leve"</formula>
    </cfRule>
    <cfRule type="cellIs" dxfId="89" priority="92" operator="equal">
      <formula>"Menor"</formula>
    </cfRule>
    <cfRule type="cellIs" dxfId="88" priority="91" operator="equal">
      <formula>"Moderado"</formula>
    </cfRule>
    <cfRule type="cellIs" dxfId="87" priority="90" operator="equal">
      <formula>"Mayor"</formula>
    </cfRule>
    <cfRule type="cellIs" dxfId="86" priority="89" operator="equal">
      <formula>"Catastrófico"</formula>
    </cfRule>
  </conditionalFormatting>
  <conditionalFormatting sqref="N41">
    <cfRule type="cellIs" dxfId="85" priority="63" operator="equal">
      <formula>"Leve"</formula>
    </cfRule>
    <cfRule type="cellIs" dxfId="84" priority="62" operator="equal">
      <formula>"Menor"</formula>
    </cfRule>
    <cfRule type="cellIs" dxfId="83" priority="61" operator="equal">
      <formula>"Moderado"</formula>
    </cfRule>
    <cfRule type="cellIs" dxfId="82" priority="60" operator="equal">
      <formula>"Mayor"</formula>
    </cfRule>
    <cfRule type="cellIs" dxfId="81" priority="59" operator="equal">
      <formula>"Catastrófico"</formula>
    </cfRule>
  </conditionalFormatting>
  <conditionalFormatting sqref="N47">
    <cfRule type="cellIs" dxfId="80" priority="104" operator="equal">
      <formula>"Catastrófico"</formula>
    </cfRule>
    <cfRule type="cellIs" dxfId="79" priority="105" operator="equal">
      <formula>"Mayor"</formula>
    </cfRule>
    <cfRule type="cellIs" dxfId="78" priority="106" operator="equal">
      <formula>"Moderado"</formula>
    </cfRule>
    <cfRule type="cellIs" dxfId="77" priority="107" operator="equal">
      <formula>"Menor"</formula>
    </cfRule>
    <cfRule type="cellIs" dxfId="76" priority="108" operator="equal">
      <formula>"Leve"</formula>
    </cfRule>
  </conditionalFormatting>
  <conditionalFormatting sqref="P10 AE10:AE64">
    <cfRule type="cellIs" dxfId="75" priority="429" operator="equal">
      <formula>"Extremo"</formula>
    </cfRule>
    <cfRule type="cellIs" dxfId="74" priority="430" operator="equal">
      <formula>"Alto"</formula>
    </cfRule>
    <cfRule type="cellIs" dxfId="73" priority="431" operator="equal">
      <formula>"Moderado"</formula>
    </cfRule>
    <cfRule type="cellIs" dxfId="72" priority="432" operator="equal">
      <formula>"Bajo"</formula>
    </cfRule>
  </conditionalFormatting>
  <conditionalFormatting sqref="P17">
    <cfRule type="cellIs" dxfId="71" priority="169" operator="equal">
      <formula>"Extremo"</formula>
    </cfRule>
    <cfRule type="cellIs" dxfId="70" priority="171" operator="equal">
      <formula>"Moderado"</formula>
    </cfRule>
    <cfRule type="cellIs" dxfId="69" priority="172" operator="equal">
      <formula>"Bajo"</formula>
    </cfRule>
    <cfRule type="cellIs" dxfId="68" priority="170" operator="equal">
      <formula>"Alto"</formula>
    </cfRule>
  </conditionalFormatting>
  <conditionalFormatting sqref="P23">
    <cfRule type="cellIs" dxfId="67" priority="23" operator="equal">
      <formula>"Bajo"</formula>
    </cfRule>
    <cfRule type="cellIs" dxfId="66" priority="22" operator="equal">
      <formula>"Moderado"</formula>
    </cfRule>
    <cfRule type="cellIs" dxfId="65" priority="21" operator="equal">
      <formula>"Alto"</formula>
    </cfRule>
    <cfRule type="cellIs" dxfId="64" priority="20" operator="equal">
      <formula>"Extremo"</formula>
    </cfRule>
  </conditionalFormatting>
  <conditionalFormatting sqref="P29">
    <cfRule type="cellIs" dxfId="63" priority="38" operator="equal">
      <formula>"Bajo"</formula>
    </cfRule>
    <cfRule type="cellIs" dxfId="62" priority="35" operator="equal">
      <formula>"Extremo"</formula>
    </cfRule>
    <cfRule type="cellIs" dxfId="61" priority="37" operator="equal">
      <formula>"Moderado"</formula>
    </cfRule>
    <cfRule type="cellIs" dxfId="60" priority="36" operator="equal">
      <formula>"Alto"</formula>
    </cfRule>
  </conditionalFormatting>
  <conditionalFormatting sqref="P35">
    <cfRule type="cellIs" dxfId="59" priority="81" operator="equal">
      <formula>"Alto"</formula>
    </cfRule>
    <cfRule type="cellIs" dxfId="58" priority="83" operator="equal">
      <formula>"Bajo"</formula>
    </cfRule>
    <cfRule type="cellIs" dxfId="57" priority="82" operator="equal">
      <formula>"Moderado"</formula>
    </cfRule>
    <cfRule type="cellIs" dxfId="56" priority="80" operator="equal">
      <formula>"Extremo"</formula>
    </cfRule>
  </conditionalFormatting>
  <conditionalFormatting sqref="P41">
    <cfRule type="cellIs" dxfId="55" priority="51" operator="equal">
      <formula>"Alto"</formula>
    </cfRule>
    <cfRule type="cellIs" dxfId="54" priority="50" operator="equal">
      <formula>"Extremo"</formula>
    </cfRule>
    <cfRule type="cellIs" dxfId="53" priority="53" operator="equal">
      <formula>"Bajo"</formula>
    </cfRule>
    <cfRule type="cellIs" dxfId="52" priority="52" operator="equal">
      <formula>"Moderado"</formula>
    </cfRule>
  </conditionalFormatting>
  <conditionalFormatting sqref="P47">
    <cfRule type="cellIs" dxfId="51" priority="96" operator="equal">
      <formula>"Alto"</formula>
    </cfRule>
    <cfRule type="cellIs" dxfId="50" priority="95" operator="equal">
      <formula>"Extremo"</formula>
    </cfRule>
    <cfRule type="cellIs" dxfId="49" priority="97" operator="equal">
      <formula>"Moderado"</formula>
    </cfRule>
    <cfRule type="cellIs" dxfId="48" priority="98" operator="equal">
      <formula>"Bajo"</formula>
    </cfRule>
  </conditionalFormatting>
  <conditionalFormatting sqref="P53">
    <cfRule type="cellIs" dxfId="47" priority="250" operator="equal">
      <formula>"Extremo"</formula>
    </cfRule>
    <cfRule type="cellIs" dxfId="46" priority="251" operator="equal">
      <formula>"Alto"</formula>
    </cfRule>
    <cfRule type="cellIs" dxfId="45" priority="252" operator="equal">
      <formula>"Moderado"</formula>
    </cfRule>
    <cfRule type="cellIs" dxfId="44" priority="253" operator="equal">
      <formula>"Bajo"</formula>
    </cfRule>
  </conditionalFormatting>
  <conditionalFormatting sqref="P59">
    <cfRule type="cellIs" dxfId="43" priority="229" operator="equal">
      <formula>"Moderado"</formula>
    </cfRule>
    <cfRule type="cellIs" dxfId="42" priority="228" operator="equal">
      <formula>"Alto"</formula>
    </cfRule>
    <cfRule type="cellIs" dxfId="41" priority="227" operator="equal">
      <formula>"Extremo"</formula>
    </cfRule>
    <cfRule type="cellIs" dxfId="40" priority="230" operator="equal">
      <formula>"Bajo"</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2">
        <x14:dataValidation type="list" allowBlank="1" showInputMessage="1" showErrorMessage="1">
          <x14:formula1>
            <xm:f>'Opciones Tratamiento'!$B$2:$B$5</xm:f>
          </x14:formula1>
          <xm:sqref>AF10 AF41 AF23 AF29 AF35 AF47:AF64 AF17</xm:sqref>
        </x14:dataValidation>
        <x14:dataValidation type="list" allowBlank="1" showInputMessage="1" showErrorMessage="1">
          <x14:formula1>
            <xm:f>FÓRMULAS!$B$55:$B$57</xm:f>
          </x14:formula1>
          <xm:sqref>B41 B17 B23 B35 B10 B47 B53 B59 B29</xm:sqref>
        </x14:dataValidation>
        <x14:dataValidation type="list" allowBlank="1" showInputMessage="1" showErrorMessage="1">
          <x14:formula1>
            <xm:f>Hoja1!$C$2:$C$21</xm:f>
          </x14:formula1>
          <xm:sqref>D4:L4</xm:sqref>
        </x14:dataValidation>
        <x14:dataValidation type="list" allowBlank="1" showInputMessage="1" showErrorMessage="1">
          <x14:formula1>
            <xm:f>'Tabla Impacto'!$F$210:$F$221</xm:f>
          </x14:formula1>
          <xm:sqref>L10:L64</xm:sqref>
        </x14:dataValidation>
        <x14:dataValidation type="list" allowBlank="1" showInputMessage="1" showErrorMessage="1">
          <x14:formula1>
            <xm:f>'Opciones Tratamiento'!$E$2:$E$4</xm:f>
          </x14:formula1>
          <xm:sqref>K10:K64</xm:sqref>
        </x14:dataValidation>
        <x14:dataValidation type="list" allowBlank="1" showInputMessage="1" showErrorMessage="1">
          <x14:formula1>
            <xm:f>'Opciones Tratamiento'!$B$13:$B$19</xm:f>
          </x14:formula1>
          <xm:sqref>C10:C64</xm:sqref>
        </x14:dataValidation>
        <x14:dataValidation type="list" allowBlank="1" showInputMessage="1" showErrorMessage="1">
          <x14:formula1>
            <xm:f>'Tabla Valoración controles'!$D$13:$D$14</xm:f>
          </x14:formula1>
          <xm:sqref>Y10:Y64</xm:sqref>
        </x14:dataValidation>
        <x14:dataValidation type="list" allowBlank="1" showInputMessage="1" showErrorMessage="1">
          <x14:formula1>
            <xm:f>'Tabla Valoración controles'!$D$11:$D$12</xm:f>
          </x14:formula1>
          <xm:sqref>X10:X64</xm:sqref>
        </x14:dataValidation>
        <x14:dataValidation type="list" allowBlank="1" showInputMessage="1" showErrorMessage="1">
          <x14:formula1>
            <xm:f>'Tabla Valoración controles'!$D$9:$D$10</xm:f>
          </x14:formula1>
          <xm:sqref>W10:W64</xm:sqref>
        </x14:dataValidation>
        <x14:dataValidation type="list" allowBlank="1" showInputMessage="1" showErrorMessage="1">
          <x14:formula1>
            <xm:f>'Tabla Valoración controles'!$D$7:$D$8</xm:f>
          </x14:formula1>
          <xm:sqref>U10:U64</xm:sqref>
        </x14:dataValidation>
        <x14:dataValidation type="list" allowBlank="1" showInputMessage="1" showErrorMessage="1">
          <x14:formula1>
            <xm:f>'Tabla Valoración controles'!$D$4:$D$6</xm:f>
          </x14:formula1>
          <xm:sqref>T10:T64</xm:sqref>
        </x14:dataValidation>
        <x14:dataValidation type="list" allowBlank="1" showInputMessage="1" showErrorMessage="1">
          <x14:formula1>
            <xm:f>'Opciones Tratamiento'!$G$13:$G$14</xm:f>
          </x14:formula1>
          <xm:sqref>E10:E64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tabColor theme="6" tint="-0.249977111117893"/>
  </sheetPr>
  <dimension ref="A1:U69"/>
  <sheetViews>
    <sheetView topLeftCell="G10" zoomScaleNormal="100" workbookViewId="0">
      <selection activeCell="N5" sqref="N5:T5"/>
    </sheetView>
  </sheetViews>
  <sheetFormatPr baseColWidth="10" defaultColWidth="11.42578125" defaultRowHeight="16.5" x14ac:dyDescent="0.3"/>
  <cols>
    <col min="1" max="1" width="6.5703125" style="2" customWidth="1"/>
    <col min="2" max="3" width="19" style="2" customWidth="1"/>
    <col min="4" max="4" width="22.7109375" style="1" customWidth="1"/>
    <col min="5" max="5" width="17.28515625" style="1" customWidth="1"/>
    <col min="6" max="6" width="32.42578125" style="1" customWidth="1"/>
    <col min="7" max="7" width="26.7109375" style="3" customWidth="1"/>
    <col min="8" max="8" width="22.140625" style="1" customWidth="1"/>
    <col min="9" max="9" width="5.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30.5703125" style="1" customWidth="1"/>
    <col min="19" max="19" width="26.7109375" style="1" customWidth="1"/>
    <col min="20" max="20" width="22.5703125" style="1" customWidth="1"/>
    <col min="21" max="16384" width="11.42578125" style="1"/>
  </cols>
  <sheetData>
    <row r="1" spans="1:21" ht="79.5" customHeight="1" x14ac:dyDescent="0.3">
      <c r="A1" s="496"/>
      <c r="B1" s="496"/>
      <c r="C1" s="496"/>
      <c r="D1" s="495" t="str">
        <f>'Mapa de Riesgos'!D1</f>
        <v>PLANEACIÓN INSTITUCIONAL</v>
      </c>
      <c r="E1" s="495"/>
      <c r="F1" s="495"/>
      <c r="G1" s="495"/>
      <c r="H1" s="495"/>
      <c r="I1" s="495"/>
      <c r="J1" s="495"/>
      <c r="K1" s="495"/>
      <c r="L1" s="495"/>
      <c r="M1" s="495"/>
      <c r="N1" s="495"/>
      <c r="O1" s="495"/>
      <c r="P1" s="495"/>
      <c r="Q1" s="495"/>
      <c r="R1" s="495"/>
      <c r="S1" s="495"/>
      <c r="T1" s="194" t="s">
        <v>317</v>
      </c>
    </row>
    <row r="2" spans="1:21" ht="20.25" customHeight="1" x14ac:dyDescent="0.3">
      <c r="A2" s="566" t="str">
        <f>'Mapa de Riesgos'!A2</f>
        <v>F - PL - 13</v>
      </c>
      <c r="B2" s="566"/>
      <c r="C2" s="566"/>
      <c r="D2" s="565" t="str">
        <f>'Mapa de Riesgos'!D2</f>
        <v>MAPA DE RIESGOS INSTITUCIONAL</v>
      </c>
      <c r="E2" s="565"/>
      <c r="F2" s="565"/>
      <c r="G2" s="565"/>
      <c r="H2" s="565"/>
      <c r="I2" s="565"/>
      <c r="J2" s="565"/>
      <c r="K2" s="565"/>
      <c r="L2" s="565"/>
      <c r="M2" s="565"/>
      <c r="N2" s="565"/>
      <c r="O2" s="565"/>
      <c r="P2" s="565"/>
      <c r="Q2" s="565"/>
      <c r="R2" s="565"/>
      <c r="S2" s="565"/>
      <c r="T2" s="215" t="str">
        <f>'Mapa de Riesgos'!AE2</f>
        <v>VERSIÓN: 7.0</v>
      </c>
    </row>
    <row r="3" spans="1:21" x14ac:dyDescent="0.3">
      <c r="A3" s="200"/>
      <c r="B3" s="200"/>
      <c r="C3" s="200"/>
      <c r="D3" s="200"/>
      <c r="E3" s="200"/>
      <c r="F3" s="200"/>
      <c r="G3" s="200"/>
      <c r="H3" s="200"/>
      <c r="I3" s="200"/>
      <c r="J3" s="200"/>
      <c r="K3" s="200"/>
      <c r="L3" s="200"/>
      <c r="M3" s="200"/>
      <c r="N3" s="200"/>
      <c r="O3" s="200"/>
      <c r="P3" s="200"/>
      <c r="Q3" s="200"/>
      <c r="R3" s="200"/>
      <c r="S3" s="200"/>
      <c r="T3" s="200"/>
    </row>
    <row r="4" spans="1:21" ht="35.25" customHeight="1" x14ac:dyDescent="0.3">
      <c r="A4" s="490" t="s">
        <v>226</v>
      </c>
      <c r="B4" s="490"/>
      <c r="C4" s="490"/>
      <c r="D4" s="494" t="str">
        <f>'Mapa de Riesgos'!D4</f>
        <v>PLANEACIÓN INSTITUCIONAL</v>
      </c>
      <c r="E4" s="494"/>
      <c r="F4" s="494"/>
      <c r="G4" s="494"/>
      <c r="H4" s="494"/>
      <c r="I4" s="494"/>
      <c r="J4" s="491" t="s">
        <v>227</v>
      </c>
      <c r="K4" s="491"/>
      <c r="L4" s="491"/>
      <c r="M4" s="491"/>
      <c r="N4" s="492">
        <f>'Mapa de Riesgos'!R4</f>
        <v>2024</v>
      </c>
      <c r="O4" s="492"/>
      <c r="P4" s="492"/>
      <c r="Q4" s="492"/>
      <c r="R4" s="492"/>
      <c r="S4" s="492"/>
      <c r="T4" s="492"/>
    </row>
    <row r="5" spans="1:21" ht="35.25" customHeight="1" x14ac:dyDescent="0.3">
      <c r="A5" s="490" t="s">
        <v>228</v>
      </c>
      <c r="B5" s="490"/>
      <c r="C5" s="490"/>
      <c r="D5" s="494" t="str">
        <f>'Mapa de Riesgos'!D5</f>
        <v>Oficina de Planeación</v>
      </c>
      <c r="E5" s="494"/>
      <c r="F5" s="494"/>
      <c r="G5" s="494"/>
      <c r="H5" s="494"/>
      <c r="I5" s="494"/>
      <c r="J5" s="491" t="s">
        <v>230</v>
      </c>
      <c r="K5" s="491"/>
      <c r="L5" s="491"/>
      <c r="M5" s="491"/>
      <c r="N5" s="493" t="str">
        <f>'Mapa de Riesgos'!R5</f>
        <v>ERIKA DELGADO GOMEZ -JEFE OFICINA DE PLANEACIÓN</v>
      </c>
      <c r="O5" s="493"/>
      <c r="P5" s="493"/>
      <c r="Q5" s="493"/>
      <c r="R5" s="493"/>
      <c r="S5" s="493"/>
      <c r="T5" s="493"/>
    </row>
    <row r="6" spans="1:21" ht="17.25" thickBot="1" x14ac:dyDescent="0.35">
      <c r="A6" s="555"/>
      <c r="B6" s="555"/>
      <c r="C6" s="555"/>
      <c r="D6" s="555"/>
      <c r="E6" s="555"/>
      <c r="F6" s="555"/>
      <c r="G6" s="555"/>
      <c r="H6" s="555"/>
      <c r="I6" s="555"/>
      <c r="J6" s="555"/>
      <c r="K6" s="555"/>
      <c r="L6" s="555"/>
      <c r="M6" s="555"/>
      <c r="N6" s="555"/>
      <c r="O6" s="555"/>
      <c r="P6" s="555"/>
      <c r="Q6" s="555"/>
      <c r="R6" s="555"/>
      <c r="S6" s="555"/>
      <c r="T6" s="555"/>
    </row>
    <row r="7" spans="1:21" ht="59.25" customHeight="1" thickBot="1" x14ac:dyDescent="0.35">
      <c r="A7" s="575" t="str">
        <f>'Mapa de Riesgos'!A7</f>
        <v>IDENTIFICACIÓN DEL RIESGO</v>
      </c>
      <c r="B7" s="576"/>
      <c r="C7" s="576"/>
      <c r="D7" s="576"/>
      <c r="E7" s="576"/>
      <c r="F7" s="576"/>
      <c r="G7" s="577"/>
      <c r="H7" s="189" t="str">
        <f>'Mapa de Riesgos'!H7</f>
        <v>ANÁLISIS DEL RIESGO INHERENTE</v>
      </c>
      <c r="I7" s="578" t="str">
        <f>'Mapa de Riesgos'!Q7</f>
        <v>EVALUACIÓN DEL RIESGO - VALORACIÓN DE LOS CONTROLES</v>
      </c>
      <c r="J7" s="578"/>
      <c r="K7" s="578"/>
      <c r="L7" s="578"/>
      <c r="M7" s="578"/>
      <c r="N7" s="578"/>
      <c r="O7" s="578"/>
      <c r="P7" s="578" t="str">
        <f>'Mapa de Riesgos'!Z7</f>
        <v>EVALUACIÓN DEL RIESGO - NIVEL DEL RIESGO RESIDUAL</v>
      </c>
      <c r="Q7" s="579"/>
      <c r="R7" s="580" t="s">
        <v>318</v>
      </c>
      <c r="S7" s="581"/>
      <c r="T7" s="582"/>
    </row>
    <row r="8" spans="1:21" ht="16.5" customHeight="1" x14ac:dyDescent="0.3">
      <c r="A8" s="583" t="str">
        <f>'Mapa de Riesgos'!A8</f>
        <v>No. Riesgo</v>
      </c>
      <c r="B8" s="585" t="str">
        <f>'Mapa de Riesgos'!B8</f>
        <v>Categoría del Riesgo</v>
      </c>
      <c r="C8" s="585" t="str">
        <f>'Mapa de Riesgos'!C8</f>
        <v>Clasificación del Riesgo</v>
      </c>
      <c r="D8" s="586" t="str">
        <f>'Mapa de Riesgos'!D8</f>
        <v>Descripción del Riesgo</v>
      </c>
      <c r="E8" s="592" t="str">
        <f>'Mapa de Riesgos'!E8</f>
        <v>Factores</v>
      </c>
      <c r="F8" s="585" t="str">
        <f>'Mapa de Riesgos'!F8</f>
        <v>Causas</v>
      </c>
      <c r="G8" s="587" t="str">
        <f>'Mapa de Riesgos'!G8</f>
        <v>Consecuencias</v>
      </c>
      <c r="H8" s="589" t="str">
        <f>'Mapa de Riesgos'!P8</f>
        <v>Zona de Riesgo Inherente</v>
      </c>
      <c r="I8" s="591" t="str">
        <f>'Mapa de Riesgos'!Q8</f>
        <v>No. Control</v>
      </c>
      <c r="J8" s="585" t="str">
        <f>'Mapa de Riesgos'!R8</f>
        <v>Descripción del Control</v>
      </c>
      <c r="K8" s="593" t="s">
        <v>247</v>
      </c>
      <c r="L8" s="593"/>
      <c r="M8" s="593"/>
      <c r="N8" s="593"/>
      <c r="O8" s="593"/>
      <c r="P8" s="585" t="str">
        <f>'Mapa de Riesgos'!AE8</f>
        <v>Zona de Riesgo Final</v>
      </c>
      <c r="Q8" s="587" t="str">
        <f>'Mapa de Riesgos'!AF8</f>
        <v>Tratamiento</v>
      </c>
      <c r="R8" s="589" t="s">
        <v>319</v>
      </c>
      <c r="S8" s="585" t="s">
        <v>320</v>
      </c>
      <c r="T8" s="587" t="s">
        <v>321</v>
      </c>
    </row>
    <row r="9" spans="1:21" s="183" customFormat="1" ht="94.5" customHeight="1" x14ac:dyDescent="0.25">
      <c r="A9" s="584"/>
      <c r="B9" s="511"/>
      <c r="C9" s="511"/>
      <c r="D9" s="513"/>
      <c r="E9" s="586"/>
      <c r="F9" s="511"/>
      <c r="G9" s="588"/>
      <c r="H9" s="590"/>
      <c r="I9" s="514"/>
      <c r="J9" s="511"/>
      <c r="K9" s="190" t="str">
        <f>'Mapa de Riesgos'!T9</f>
        <v>Tipo</v>
      </c>
      <c r="L9" s="190" t="str">
        <f>'Mapa de Riesgos'!U9</f>
        <v>Implementación</v>
      </c>
      <c r="M9" s="190" t="str">
        <f>'Mapa de Riesgos'!W9</f>
        <v>Documentación</v>
      </c>
      <c r="N9" s="190" t="str">
        <f>'Mapa de Riesgos'!X9</f>
        <v>Frecuencia</v>
      </c>
      <c r="O9" s="190" t="str">
        <f>'Mapa de Riesgos'!Y9</f>
        <v>Evidencia</v>
      </c>
      <c r="P9" s="511"/>
      <c r="Q9" s="588"/>
      <c r="R9" s="590"/>
      <c r="S9" s="511"/>
      <c r="T9" s="588"/>
    </row>
    <row r="10" spans="1:21" s="184" customFormat="1" ht="105.75" customHeight="1" x14ac:dyDescent="0.25">
      <c r="A10" s="596">
        <f>'Mapa de Riesgos'!A10</f>
        <v>1</v>
      </c>
      <c r="B10" s="598" t="str">
        <f>'Mapa de Riesgos'!B10</f>
        <v>GESTIÓN</v>
      </c>
      <c r="C10" s="598" t="str">
        <f>'Mapa de Riesgos'!C10</f>
        <v>Ejecución y Administración de procesos</v>
      </c>
      <c r="D10" s="600" t="str">
        <f>'Mapa de Riesgos'!D10</f>
        <v>Ejecución parcial de las metas establecidas en los indicadores de los Planes de Acción Anuales del Plan Estratégico de Desarrollo Institucional de la Oficina de Planeación.</v>
      </c>
      <c r="E10" s="280" t="str">
        <f>'Mapa de Riesgos'!E10</f>
        <v>Factores Internos (Debilidades)</v>
      </c>
      <c r="F10" s="281" t="str">
        <f>'Mapa de Riesgos'!F10</f>
        <v>1. Recursos insuficientes para la ejecución de los indicadores y actividades planeadas.</v>
      </c>
      <c r="G10" s="282" t="str">
        <f>'Mapa de Riesgos'!G10</f>
        <v>1. Incumplimiento de la gestión  del proceso y de la institución.</v>
      </c>
      <c r="H10" s="594" t="str">
        <f>'Mapa de Riesgos'!P10</f>
        <v>Bajo</v>
      </c>
      <c r="I10" s="240">
        <f>'Mapa de Riesgos'!Q10</f>
        <v>1</v>
      </c>
      <c r="J10" s="302" t="str">
        <f>'Mapa de Riesgos'!R10</f>
        <v xml:space="preserve">Elaboración de cronogramas con las tareas a desarrollar de los indicadores a cargo de la Oficina de Planeación. </v>
      </c>
      <c r="K10" s="241" t="str">
        <f>'Mapa de Riesgos'!T10</f>
        <v>Preventivo</v>
      </c>
      <c r="L10" s="241" t="str">
        <f>'Mapa de Riesgos'!U10</f>
        <v>Manual</v>
      </c>
      <c r="M10" s="241" t="str">
        <f>'Mapa de Riesgos'!W10</f>
        <v>Documentado</v>
      </c>
      <c r="N10" s="241" t="str">
        <f>'Mapa de Riesgos'!X10</f>
        <v>Continua</v>
      </c>
      <c r="O10" s="241" t="str">
        <f>'Mapa de Riesgos'!Y10</f>
        <v>Con Registro</v>
      </c>
      <c r="P10" s="226" t="str">
        <f>'Mapa de Riesgos'!AE10</f>
        <v>Bajo</v>
      </c>
      <c r="Q10" s="242" t="str">
        <f>'Mapa de Riesgos'!AF10</f>
        <v>Reducir (mitigar)</v>
      </c>
      <c r="R10" s="304" t="s">
        <v>322</v>
      </c>
      <c r="S10" s="291" t="s">
        <v>229</v>
      </c>
      <c r="T10" s="244" t="s">
        <v>323</v>
      </c>
    </row>
    <row r="11" spans="1:21" ht="64.5" x14ac:dyDescent="0.3">
      <c r="A11" s="596"/>
      <c r="B11" s="598"/>
      <c r="C11" s="598"/>
      <c r="D11" s="600"/>
      <c r="E11" s="280" t="str">
        <f>'Mapa de Riesgos'!E11</f>
        <v>Factores Internos (Debilidades)</v>
      </c>
      <c r="F11" s="281" t="str">
        <f>'Mapa de Riesgos'!F11</f>
        <v xml:space="preserve">2. Cambio constante de políticas y directrices institucionales. </v>
      </c>
      <c r="G11" s="282" t="str">
        <f>'Mapa de Riesgos'!G11</f>
        <v>2. Inconformismo de las partes interesadas.</v>
      </c>
      <c r="H11" s="594"/>
      <c r="I11" s="240">
        <f>'Mapa de Riesgos'!Q11</f>
        <v>2</v>
      </c>
      <c r="J11" s="302" t="str">
        <f>'Mapa de Riesgos'!R11</f>
        <v>Verificación periódica en el cumplimiento de los cronogramas</v>
      </c>
      <c r="K11" s="241" t="str">
        <f>'Mapa de Riesgos'!T11</f>
        <v>Preventivo</v>
      </c>
      <c r="L11" s="241" t="str">
        <f>'Mapa de Riesgos'!U11</f>
        <v>Manual</v>
      </c>
      <c r="M11" s="241" t="str">
        <f>'Mapa de Riesgos'!W11</f>
        <v>Documentado</v>
      </c>
      <c r="N11" s="241" t="str">
        <f>'Mapa de Riesgos'!X11</f>
        <v>Continua</v>
      </c>
      <c r="O11" s="241" t="str">
        <f>'Mapa de Riesgos'!Y11</f>
        <v>Con Registro</v>
      </c>
      <c r="P11" s="226" t="str">
        <f>'Mapa de Riesgos'!AE11</f>
        <v>Bajo</v>
      </c>
      <c r="Q11" s="242">
        <f>'Mapa de Riesgos'!AF11</f>
        <v>0</v>
      </c>
      <c r="R11" s="304" t="s">
        <v>322</v>
      </c>
      <c r="S11" s="291" t="s">
        <v>229</v>
      </c>
      <c r="T11" s="244" t="s">
        <v>323</v>
      </c>
      <c r="U11" s="293"/>
    </row>
    <row r="12" spans="1:21" ht="49.5" x14ac:dyDescent="0.3">
      <c r="A12" s="596"/>
      <c r="B12" s="598"/>
      <c r="C12" s="598"/>
      <c r="D12" s="600"/>
      <c r="E12" s="280" t="str">
        <f>'Mapa de Riesgos'!E12</f>
        <v>Factores Internos (Debilidades)</v>
      </c>
      <c r="F12" s="281" t="str">
        <f>'Mapa de Riesgos'!F12</f>
        <v xml:space="preserve">3. Inadecuada planificación de las actividades que conlleven al cumplimiento de las metas. </v>
      </c>
      <c r="G12" s="282" t="str">
        <f>'Mapa de Riesgos'!G12</f>
        <v>3. Insatisfacción de los usuarios.</v>
      </c>
      <c r="H12" s="594"/>
      <c r="I12" s="240">
        <f>'Mapa de Riesgos'!Q12</f>
        <v>3</v>
      </c>
      <c r="J12" s="302">
        <f>'Mapa de Riesgos'!R12</f>
        <v>0</v>
      </c>
      <c r="K12" s="241">
        <f>'Mapa de Riesgos'!T12</f>
        <v>0</v>
      </c>
      <c r="L12" s="241">
        <f>'Mapa de Riesgos'!U12</f>
        <v>0</v>
      </c>
      <c r="M12" s="241">
        <f>'Mapa de Riesgos'!W12</f>
        <v>0</v>
      </c>
      <c r="N12" s="241">
        <f>'Mapa de Riesgos'!X12</f>
        <v>0</v>
      </c>
      <c r="O12" s="241">
        <f>'Mapa de Riesgos'!Y12</f>
        <v>0</v>
      </c>
      <c r="P12" s="226" t="str">
        <f>'Mapa de Riesgos'!AE12</f>
        <v/>
      </c>
      <c r="Q12" s="242">
        <f>'Mapa de Riesgos'!AF12</f>
        <v>0</v>
      </c>
      <c r="R12" s="304"/>
      <c r="S12" s="291"/>
      <c r="T12" s="244"/>
    </row>
    <row r="13" spans="1:21" ht="33" x14ac:dyDescent="0.3">
      <c r="A13" s="596"/>
      <c r="B13" s="598"/>
      <c r="C13" s="598"/>
      <c r="D13" s="600"/>
      <c r="E13" s="280">
        <f>'Mapa de Riesgos'!E13</f>
        <v>0</v>
      </c>
      <c r="F13" s="281">
        <f>'Mapa de Riesgos'!F13</f>
        <v>0</v>
      </c>
      <c r="G13" s="282" t="str">
        <f>'Mapa de Riesgos'!G13</f>
        <v>4. Resultados negativos en la evaluación de la gestión.</v>
      </c>
      <c r="H13" s="594"/>
      <c r="I13" s="240">
        <f>'Mapa de Riesgos'!Q13</f>
        <v>4</v>
      </c>
      <c r="J13" s="302">
        <f>'Mapa de Riesgos'!R13</f>
        <v>0</v>
      </c>
      <c r="K13" s="241">
        <f>'Mapa de Riesgos'!T13</f>
        <v>0</v>
      </c>
      <c r="L13" s="241">
        <f>'Mapa de Riesgos'!U13</f>
        <v>0</v>
      </c>
      <c r="M13" s="241">
        <f>'Mapa de Riesgos'!W13</f>
        <v>0</v>
      </c>
      <c r="N13" s="241">
        <f>'Mapa de Riesgos'!X13</f>
        <v>0</v>
      </c>
      <c r="O13" s="241">
        <f>'Mapa de Riesgos'!Y13</f>
        <v>0</v>
      </c>
      <c r="P13" s="226" t="str">
        <f>'Mapa de Riesgos'!AE13</f>
        <v/>
      </c>
      <c r="Q13" s="242">
        <f>'Mapa de Riesgos'!AF13</f>
        <v>0</v>
      </c>
      <c r="R13" s="304"/>
      <c r="S13" s="291"/>
      <c r="T13" s="244"/>
    </row>
    <row r="14" spans="1:21" x14ac:dyDescent="0.3">
      <c r="A14" s="596"/>
      <c r="B14" s="598"/>
      <c r="C14" s="598"/>
      <c r="D14" s="600"/>
      <c r="E14" s="280">
        <f>'Mapa de Riesgos'!E14</f>
        <v>0</v>
      </c>
      <c r="F14" s="281">
        <f>'Mapa de Riesgos'!F14</f>
        <v>0</v>
      </c>
      <c r="G14" s="282">
        <f>'Mapa de Riesgos'!G14</f>
        <v>0</v>
      </c>
      <c r="H14" s="594"/>
      <c r="I14" s="240">
        <f>'Mapa de Riesgos'!Q14</f>
        <v>5</v>
      </c>
      <c r="J14" s="302">
        <f>'Mapa de Riesgos'!R14</f>
        <v>0</v>
      </c>
      <c r="K14" s="241">
        <f>'Mapa de Riesgos'!T14</f>
        <v>0</v>
      </c>
      <c r="L14" s="241">
        <f>'Mapa de Riesgos'!U14</f>
        <v>0</v>
      </c>
      <c r="M14" s="241">
        <f>'Mapa de Riesgos'!W14</f>
        <v>0</v>
      </c>
      <c r="N14" s="241">
        <f>'Mapa de Riesgos'!X14</f>
        <v>0</v>
      </c>
      <c r="O14" s="241">
        <f>'Mapa de Riesgos'!Y14</f>
        <v>0</v>
      </c>
      <c r="P14" s="226">
        <f>'Mapa de Riesgos'!AE14</f>
        <v>0</v>
      </c>
      <c r="Q14" s="242">
        <f>'Mapa de Riesgos'!AF14</f>
        <v>0</v>
      </c>
      <c r="R14" s="304"/>
      <c r="S14" s="291"/>
      <c r="T14" s="244"/>
    </row>
    <row r="15" spans="1:21" x14ac:dyDescent="0.3">
      <c r="A15" s="596"/>
      <c r="B15" s="598"/>
      <c r="C15" s="598"/>
      <c r="D15" s="600"/>
      <c r="E15" s="280">
        <f>'Mapa de Riesgos'!E15</f>
        <v>0</v>
      </c>
      <c r="F15" s="281">
        <f>'Mapa de Riesgos'!F15</f>
        <v>0</v>
      </c>
      <c r="G15" s="282">
        <f>'Mapa de Riesgos'!G15</f>
        <v>0</v>
      </c>
      <c r="H15" s="594"/>
      <c r="I15" s="240">
        <f>'Mapa de Riesgos'!Q15</f>
        <v>6</v>
      </c>
      <c r="J15" s="302">
        <f>'Mapa de Riesgos'!R15</f>
        <v>0</v>
      </c>
      <c r="K15" s="241">
        <f>'Mapa de Riesgos'!T15</f>
        <v>0</v>
      </c>
      <c r="L15" s="241">
        <f>'Mapa de Riesgos'!U15</f>
        <v>0</v>
      </c>
      <c r="M15" s="241">
        <f>'Mapa de Riesgos'!W15</f>
        <v>0</v>
      </c>
      <c r="N15" s="241">
        <f>'Mapa de Riesgos'!X15</f>
        <v>0</v>
      </c>
      <c r="O15" s="241">
        <f>'Mapa de Riesgos'!Y15</f>
        <v>0</v>
      </c>
      <c r="P15" s="226" t="str">
        <f>'Mapa de Riesgos'!AE15</f>
        <v/>
      </c>
      <c r="Q15" s="242">
        <f>'Mapa de Riesgos'!AF15</f>
        <v>0</v>
      </c>
      <c r="R15" s="305"/>
      <c r="S15" s="292"/>
      <c r="T15" s="244"/>
    </row>
    <row r="16" spans="1:21" ht="49.5" customHeight="1" thickBot="1" x14ac:dyDescent="0.35">
      <c r="A16" s="597"/>
      <c r="B16" s="599"/>
      <c r="C16" s="599"/>
      <c r="D16" s="601"/>
      <c r="E16" s="283">
        <f>'Mapa de Riesgos'!E16</f>
        <v>0</v>
      </c>
      <c r="F16" s="284">
        <f>'Mapa de Riesgos'!F16</f>
        <v>0</v>
      </c>
      <c r="G16" s="285">
        <f>'Mapa de Riesgos'!G16</f>
        <v>0</v>
      </c>
      <c r="H16" s="595"/>
      <c r="I16" s="245">
        <f>'Mapa de Riesgos'!Q16</f>
        <v>7</v>
      </c>
      <c r="J16" s="303">
        <f>'Mapa de Riesgos'!R16</f>
        <v>0</v>
      </c>
      <c r="K16" s="246">
        <f>'Mapa de Riesgos'!T16</f>
        <v>0</v>
      </c>
      <c r="L16" s="246">
        <f>'Mapa de Riesgos'!U16</f>
        <v>0</v>
      </c>
      <c r="M16" s="246">
        <f>'Mapa de Riesgos'!W16</f>
        <v>0</v>
      </c>
      <c r="N16" s="246">
        <f>'Mapa de Riesgos'!X16</f>
        <v>0</v>
      </c>
      <c r="O16" s="246">
        <f>'Mapa de Riesgos'!Y16</f>
        <v>0</v>
      </c>
      <c r="P16" s="232" t="str">
        <f>'Mapa de Riesgos'!AE16</f>
        <v/>
      </c>
      <c r="Q16" s="247">
        <f>'Mapa de Riesgos'!AF16</f>
        <v>0</v>
      </c>
      <c r="R16" s="306"/>
      <c r="S16" s="248"/>
      <c r="T16" s="249"/>
    </row>
    <row r="17" spans="1:21" ht="66" x14ac:dyDescent="0.3">
      <c r="A17" s="596">
        <f>'Mapa de Riesgos'!A17</f>
        <v>2</v>
      </c>
      <c r="B17" s="598" t="str">
        <f>'Mapa de Riesgos'!B17</f>
        <v>GESTIÓN</v>
      </c>
      <c r="C17" s="598" t="str">
        <f>'Mapa de Riesgos'!C17</f>
        <v>Ejecución y Administración de procesos</v>
      </c>
      <c r="D17" s="600" t="str">
        <f>'Mapa de Riesgos'!D17</f>
        <v>Seguimiento inadecuado al cumplimiento de  metas propuestas en los planes de acción.</v>
      </c>
      <c r="E17" s="280" t="str">
        <f>'Mapa de Riesgos'!E17</f>
        <v>Factores Internos (Debilidades)</v>
      </c>
      <c r="F17" s="281" t="str">
        <f>'Mapa de Riesgos'!F17</f>
        <v>1. Inadecuada planificación.</v>
      </c>
      <c r="G17" s="282" t="str">
        <f>'Mapa de Riesgos'!G17</f>
        <v>1. Pérdida de recursos.</v>
      </c>
      <c r="H17" s="594" t="str">
        <f>'Mapa de Riesgos'!P17</f>
        <v>Moderado</v>
      </c>
      <c r="I17" s="240">
        <f>'Mapa de Riesgos'!Q17</f>
        <v>1</v>
      </c>
      <c r="J17" s="302" t="str">
        <f>'Mapa de Riesgos'!R17</f>
        <v>Elaboración de los Planes de Acción derivados del Plan Estratégico de Desarrollo Institucional.</v>
      </c>
      <c r="K17" s="241" t="str">
        <f>'Mapa de Riesgos'!T17</f>
        <v>Preventivo</v>
      </c>
      <c r="L17" s="241" t="str">
        <f>'Mapa de Riesgos'!U17</f>
        <v>Manual</v>
      </c>
      <c r="M17" s="241" t="str">
        <f>'Mapa de Riesgos'!W17</f>
        <v>Documentado</v>
      </c>
      <c r="N17" s="241" t="str">
        <f>'Mapa de Riesgos'!X17</f>
        <v>Continua</v>
      </c>
      <c r="O17" s="241" t="str">
        <f>'Mapa de Riesgos'!Y17</f>
        <v>Con Registro</v>
      </c>
      <c r="P17" s="226" t="str">
        <f>'Mapa de Riesgos'!AE17</f>
        <v>Moderado</v>
      </c>
      <c r="Q17" s="242" t="str">
        <f>'Mapa de Riesgos'!AF17</f>
        <v>Reducir (mitigar)</v>
      </c>
      <c r="R17" s="304" t="s">
        <v>324</v>
      </c>
      <c r="S17" s="243" t="s">
        <v>229</v>
      </c>
      <c r="T17" s="244" t="s">
        <v>323</v>
      </c>
    </row>
    <row r="18" spans="1:21" ht="66" x14ac:dyDescent="0.3">
      <c r="A18" s="596"/>
      <c r="B18" s="598"/>
      <c r="C18" s="598"/>
      <c r="D18" s="600"/>
      <c r="E18" s="280" t="str">
        <f>'Mapa de Riesgos'!E18</f>
        <v>Factores Internos (Debilidades)</v>
      </c>
      <c r="F18" s="281" t="str">
        <f>'Mapa de Riesgos'!F18</f>
        <v>2. Revisión inadecuada de la información reportada por los responsables de cada proceso.</v>
      </c>
      <c r="G18" s="282" t="str">
        <f>'Mapa de Riesgos'!G18</f>
        <v>2. Inversión poco eficaz y eficiente de recursos.</v>
      </c>
      <c r="H18" s="594"/>
      <c r="I18" s="240">
        <f>'Mapa de Riesgos'!Q18</f>
        <v>2</v>
      </c>
      <c r="J18" s="302" t="str">
        <f>'Mapa de Riesgos'!R18</f>
        <v>Ejecución de Cronogramas de Seguimiento.</v>
      </c>
      <c r="K18" s="241" t="str">
        <f>'Mapa de Riesgos'!T18</f>
        <v>Preventivo</v>
      </c>
      <c r="L18" s="241" t="str">
        <f>'Mapa de Riesgos'!U18</f>
        <v>Manual</v>
      </c>
      <c r="M18" s="241" t="str">
        <f>'Mapa de Riesgos'!W18</f>
        <v>Documentado</v>
      </c>
      <c r="N18" s="241" t="str">
        <f>'Mapa de Riesgos'!X18</f>
        <v>Continua</v>
      </c>
      <c r="O18" s="241" t="str">
        <f>'Mapa de Riesgos'!Y18</f>
        <v>Con Registro</v>
      </c>
      <c r="P18" s="226" t="str">
        <f>'Mapa de Riesgos'!AE18</f>
        <v>Moderado</v>
      </c>
      <c r="Q18" s="242">
        <f>'Mapa de Riesgos'!AF18</f>
        <v>0</v>
      </c>
      <c r="R18" s="304" t="s">
        <v>325</v>
      </c>
      <c r="S18" s="243" t="s">
        <v>229</v>
      </c>
      <c r="T18" s="244" t="s">
        <v>323</v>
      </c>
    </row>
    <row r="19" spans="1:21" ht="72.75" x14ac:dyDescent="0.3">
      <c r="A19" s="596"/>
      <c r="B19" s="598"/>
      <c r="C19" s="598"/>
      <c r="D19" s="600"/>
      <c r="E19" s="280" t="str">
        <f>'Mapa de Riesgos'!E19</f>
        <v>Factores Internos (Debilidades)</v>
      </c>
      <c r="F19" s="281" t="str">
        <f>'Mapa de Riesgos'!F19</f>
        <v>3. Falta de recursos.</v>
      </c>
      <c r="G19" s="282" t="str">
        <f>'Mapa de Riesgos'!G19</f>
        <v>3. Pérdida de imagen institucional.</v>
      </c>
      <c r="H19" s="594"/>
      <c r="I19" s="240">
        <f>'Mapa de Riesgos'!Q19</f>
        <v>3</v>
      </c>
      <c r="J19" s="302" t="str">
        <f>'Mapa de Riesgos'!R19</f>
        <v>Generación de reportes con Herramienta  Tecnológica disponible.</v>
      </c>
      <c r="K19" s="241" t="str">
        <f>'Mapa de Riesgos'!T19</f>
        <v>Preventivo</v>
      </c>
      <c r="L19" s="241" t="str">
        <f>'Mapa de Riesgos'!U19</f>
        <v>Automático</v>
      </c>
      <c r="M19" s="241" t="str">
        <f>'Mapa de Riesgos'!W19</f>
        <v>Sin Documentar</v>
      </c>
      <c r="N19" s="241" t="str">
        <f>'Mapa de Riesgos'!X19</f>
        <v>Continua</v>
      </c>
      <c r="O19" s="241" t="str">
        <f>'Mapa de Riesgos'!Y19</f>
        <v>Con Registro</v>
      </c>
      <c r="P19" s="226" t="str">
        <f>'Mapa de Riesgos'!AE19</f>
        <v>Moderado</v>
      </c>
      <c r="Q19" s="242">
        <f>'Mapa de Riesgos'!AF19</f>
        <v>0</v>
      </c>
      <c r="R19" s="326"/>
      <c r="S19" s="243"/>
      <c r="T19" s="244"/>
    </row>
    <row r="20" spans="1:21" ht="72.75" x14ac:dyDescent="0.3">
      <c r="A20" s="596"/>
      <c r="B20" s="598"/>
      <c r="C20" s="598"/>
      <c r="D20" s="600"/>
      <c r="E20" s="280">
        <f>'Mapa de Riesgos'!E20</f>
        <v>0</v>
      </c>
      <c r="F20" s="281" t="str">
        <f>'Mapa de Riesgos'!F20</f>
        <v>4. Entrega de información incompleta e inoportuna por parte de los responsables de cada proceso.</v>
      </c>
      <c r="G20" s="282" t="str">
        <f>'Mapa de Riesgos'!G20</f>
        <v>4. Imposibilidad de mejoras por parte de los procesos.</v>
      </c>
      <c r="H20" s="594"/>
      <c r="I20" s="240">
        <f>'Mapa de Riesgos'!Q20</f>
        <v>4</v>
      </c>
      <c r="J20" s="302" t="str">
        <f>'Mapa de Riesgos'!R20</f>
        <v xml:space="preserve">Revisión detallada de las evidencias validando la información reportada por el proceso. </v>
      </c>
      <c r="K20" s="241" t="str">
        <f>'Mapa de Riesgos'!T20</f>
        <v>Preventivo</v>
      </c>
      <c r="L20" s="241" t="str">
        <f>'Mapa de Riesgos'!U20</f>
        <v>Manual</v>
      </c>
      <c r="M20" s="241" t="str">
        <f>'Mapa de Riesgos'!W20</f>
        <v>Sin Documentar</v>
      </c>
      <c r="N20" s="241" t="str">
        <f>'Mapa de Riesgos'!X20</f>
        <v>Continua</v>
      </c>
      <c r="O20" s="241" t="str">
        <f>'Mapa de Riesgos'!Y20</f>
        <v>Con Registro</v>
      </c>
      <c r="P20" s="226" t="str">
        <f>'Mapa de Riesgos'!AE20</f>
        <v>Moderado</v>
      </c>
      <c r="Q20" s="242">
        <f>'Mapa de Riesgos'!AF20</f>
        <v>0</v>
      </c>
      <c r="R20" s="305"/>
      <c r="S20" s="243"/>
      <c r="T20" s="244"/>
    </row>
    <row r="21" spans="1:21" ht="48" customHeight="1" x14ac:dyDescent="0.3">
      <c r="A21" s="596"/>
      <c r="B21" s="598"/>
      <c r="C21" s="598"/>
      <c r="D21" s="600"/>
      <c r="E21" s="280">
        <f>'Mapa de Riesgos'!E21</f>
        <v>0</v>
      </c>
      <c r="F21" s="281">
        <f>'Mapa de Riesgos'!F21</f>
        <v>0</v>
      </c>
      <c r="G21" s="282" t="str">
        <f>'Mapa de Riesgos'!G21</f>
        <v>5. Pérdida de visibilidad regional y nacional.</v>
      </c>
      <c r="H21" s="594"/>
      <c r="I21" s="240">
        <f>'Mapa de Riesgos'!Q21</f>
        <v>5</v>
      </c>
      <c r="J21" s="302" t="str">
        <f>'Mapa de Riesgos'!R21</f>
        <v>Presentación de informes de gestión ante el Comité Institucional de Gestión y Desempeño y Consejo Directivo, y de la gestión institucional en audiencia pública de rendición de cuentas y ante la Asamblea Departamental.</v>
      </c>
      <c r="K21" s="241" t="str">
        <f>'Mapa de Riesgos'!T21</f>
        <v>Preventivo</v>
      </c>
      <c r="L21" s="241" t="str">
        <f>'Mapa de Riesgos'!U21</f>
        <v>Manual</v>
      </c>
      <c r="M21" s="241" t="str">
        <f>'Mapa de Riesgos'!W21</f>
        <v>Documentado</v>
      </c>
      <c r="N21" s="241" t="str">
        <f>'Mapa de Riesgos'!X21</f>
        <v>Continua</v>
      </c>
      <c r="O21" s="241" t="str">
        <f>'Mapa de Riesgos'!Y21</f>
        <v>Con Registro</v>
      </c>
      <c r="P21" s="226" t="str">
        <f>'Mapa de Riesgos'!AE21</f>
        <v>Moderado</v>
      </c>
      <c r="Q21" s="242">
        <f>'Mapa de Riesgos'!AF21</f>
        <v>0</v>
      </c>
      <c r="R21" s="304"/>
      <c r="S21" s="243"/>
      <c r="T21" s="244"/>
    </row>
    <row r="22" spans="1:21" ht="48" customHeight="1" thickBot="1" x14ac:dyDescent="0.35">
      <c r="A22" s="597"/>
      <c r="B22" s="599"/>
      <c r="C22" s="599"/>
      <c r="D22" s="601"/>
      <c r="E22" s="283">
        <f>'Mapa de Riesgos'!E22</f>
        <v>0</v>
      </c>
      <c r="F22" s="284">
        <f>'Mapa de Riesgos'!F22</f>
        <v>0</v>
      </c>
      <c r="G22" s="285" t="str">
        <f>'Mapa de Riesgos'!G22</f>
        <v xml:space="preserve">6. Investigaciones administrativas por entes de control. </v>
      </c>
      <c r="H22" s="595"/>
      <c r="I22" s="245">
        <f>'Mapa de Riesgos'!Q22</f>
        <v>6</v>
      </c>
      <c r="J22" s="303">
        <f>'Mapa de Riesgos'!R22</f>
        <v>0</v>
      </c>
      <c r="K22" s="246">
        <f>'Mapa de Riesgos'!T22</f>
        <v>0</v>
      </c>
      <c r="L22" s="246">
        <f>'Mapa de Riesgos'!U22</f>
        <v>0</v>
      </c>
      <c r="M22" s="246">
        <f>'Mapa de Riesgos'!W22</f>
        <v>0</v>
      </c>
      <c r="N22" s="246">
        <f>'Mapa de Riesgos'!X22</f>
        <v>0</v>
      </c>
      <c r="O22" s="246">
        <f>'Mapa de Riesgos'!Y22</f>
        <v>0</v>
      </c>
      <c r="P22" s="232" t="str">
        <f>'Mapa de Riesgos'!AE22</f>
        <v/>
      </c>
      <c r="Q22" s="247">
        <f>'Mapa de Riesgos'!AF22</f>
        <v>0</v>
      </c>
      <c r="R22" s="306"/>
      <c r="S22" s="248"/>
      <c r="T22" s="249"/>
    </row>
    <row r="23" spans="1:21" ht="64.5" x14ac:dyDescent="0.3">
      <c r="A23" s="596">
        <f>'Mapa de Riesgos'!A23</f>
        <v>3</v>
      </c>
      <c r="B23" s="598" t="str">
        <f>'Mapa de Riesgos'!B23</f>
        <v>GESTIÓN</v>
      </c>
      <c r="C23" s="598" t="str">
        <f>'Mapa de Riesgos'!C23</f>
        <v>Ejecución y Administración de procesos</v>
      </c>
      <c r="D23" s="600" t="str">
        <f>'Mapa de Riesgos'!D23</f>
        <v>Revisión inadecuada de los requisitos documentales de formulación y viabilización de los proyectos, por parte del equipo de trabajo del Banco de Proyectos.</v>
      </c>
      <c r="E23" s="280" t="str">
        <f>'Mapa de Riesgos'!E23</f>
        <v>Factores Internos (Debilidades)</v>
      </c>
      <c r="F23" s="281" t="str">
        <f>'Mapa de Riesgos'!F23</f>
        <v>1. Error humano.</v>
      </c>
      <c r="G23" s="282" t="str">
        <f>'Mapa de Riesgos'!G23</f>
        <v>1. Sanciones Disciplinarias y/o penales.</v>
      </c>
      <c r="H23" s="594" t="str">
        <f>'Mapa de Riesgos'!P23</f>
        <v>Alto</v>
      </c>
      <c r="I23" s="240">
        <f>'Mapa de Riesgos'!Q23</f>
        <v>1</v>
      </c>
      <c r="J23" s="302" t="str">
        <f>'Mapa de Riesgos'!R23</f>
        <v>Verificación lista de chequeo para  requisitos documentales de los proyectos</v>
      </c>
      <c r="K23" s="241" t="str">
        <f>'Mapa de Riesgos'!T23</f>
        <v>Preventivo</v>
      </c>
      <c r="L23" s="241" t="str">
        <f>'Mapa de Riesgos'!U23</f>
        <v>Manual</v>
      </c>
      <c r="M23" s="241" t="str">
        <f>'Mapa de Riesgos'!W23</f>
        <v>Documentado</v>
      </c>
      <c r="N23" s="241" t="str">
        <f>'Mapa de Riesgos'!X23</f>
        <v>Continua</v>
      </c>
      <c r="O23" s="241" t="str">
        <f>'Mapa de Riesgos'!Y23</f>
        <v>Con Registro</v>
      </c>
      <c r="P23" s="226" t="str">
        <f>'Mapa de Riesgos'!AE23</f>
        <v>Alto</v>
      </c>
      <c r="Q23" s="242" t="str">
        <f>'Mapa de Riesgos'!AF23</f>
        <v>Reducir (mitigar)</v>
      </c>
      <c r="R23" s="304" t="s">
        <v>326</v>
      </c>
      <c r="S23" s="291" t="s">
        <v>229</v>
      </c>
      <c r="T23" s="244" t="s">
        <v>323</v>
      </c>
      <c r="U23" s="1" t="s">
        <v>327</v>
      </c>
    </row>
    <row r="24" spans="1:21" ht="49.5" x14ac:dyDescent="0.3">
      <c r="A24" s="596"/>
      <c r="B24" s="598"/>
      <c r="C24" s="598"/>
      <c r="D24" s="600"/>
      <c r="E24" s="280" t="str">
        <f>'Mapa de Riesgos'!E24</f>
        <v>Factores Internos (Debilidades)</v>
      </c>
      <c r="F24" s="281" t="str">
        <f>'Mapa de Riesgos'!F24</f>
        <v>2. Desconocimiento del proceso de revisión de los proyectos.</v>
      </c>
      <c r="G24" s="282" t="str">
        <f>'Mapa de Riesgos'!G24</f>
        <v>2. Demoras en las etapas de elaboración del proyecto y contractual.</v>
      </c>
      <c r="H24" s="594"/>
      <c r="I24" s="240">
        <f>'Mapa de Riesgos'!Q24</f>
        <v>2</v>
      </c>
      <c r="J24" s="302">
        <f>'Mapa de Riesgos'!R24</f>
        <v>0</v>
      </c>
      <c r="K24" s="241">
        <f>'Mapa de Riesgos'!T24</f>
        <v>0</v>
      </c>
      <c r="L24" s="241">
        <f>'Mapa de Riesgos'!U24</f>
        <v>0</v>
      </c>
      <c r="M24" s="241">
        <f>'Mapa de Riesgos'!W24</f>
        <v>0</v>
      </c>
      <c r="N24" s="241">
        <f>'Mapa de Riesgos'!X24</f>
        <v>0</v>
      </c>
      <c r="O24" s="241">
        <f>'Mapa de Riesgos'!Y24</f>
        <v>0</v>
      </c>
      <c r="P24" s="226" t="str">
        <f>'Mapa de Riesgos'!AE24</f>
        <v/>
      </c>
      <c r="Q24" s="242">
        <f>'Mapa de Riesgos'!AF24</f>
        <v>0</v>
      </c>
      <c r="R24" s="304"/>
      <c r="S24" s="291"/>
      <c r="T24" s="244"/>
    </row>
    <row r="25" spans="1:21" ht="72.75" customHeight="1" x14ac:dyDescent="0.3">
      <c r="A25" s="596"/>
      <c r="B25" s="598"/>
      <c r="C25" s="598"/>
      <c r="D25" s="600"/>
      <c r="E25" s="280">
        <f>'Mapa de Riesgos'!E25</f>
        <v>0</v>
      </c>
      <c r="F25" s="281">
        <f>'Mapa de Riesgos'!F25</f>
        <v>0</v>
      </c>
      <c r="G25" s="282" t="str">
        <f>'Mapa de Riesgos'!G25</f>
        <v>3. Reprocesos.</v>
      </c>
      <c r="H25" s="594"/>
      <c r="I25" s="240">
        <f>'Mapa de Riesgos'!Q25</f>
        <v>3</v>
      </c>
      <c r="J25" s="302">
        <f>'Mapa de Riesgos'!R25</f>
        <v>0</v>
      </c>
      <c r="K25" s="241">
        <f>'Mapa de Riesgos'!T25</f>
        <v>0</v>
      </c>
      <c r="L25" s="241">
        <f>'Mapa de Riesgos'!U25</f>
        <v>0</v>
      </c>
      <c r="M25" s="241">
        <f>'Mapa de Riesgos'!W25</f>
        <v>0</v>
      </c>
      <c r="N25" s="241">
        <f>'Mapa de Riesgos'!X25</f>
        <v>0</v>
      </c>
      <c r="O25" s="241">
        <f>'Mapa de Riesgos'!Y25</f>
        <v>0</v>
      </c>
      <c r="P25" s="226" t="str">
        <f>'Mapa de Riesgos'!AE25</f>
        <v/>
      </c>
      <c r="Q25" s="242">
        <f>'Mapa de Riesgos'!AF25</f>
        <v>0</v>
      </c>
      <c r="R25" s="304"/>
      <c r="S25" s="291"/>
      <c r="T25" s="244"/>
    </row>
    <row r="26" spans="1:21" x14ac:dyDescent="0.3">
      <c r="A26" s="596"/>
      <c r="B26" s="598"/>
      <c r="C26" s="598"/>
      <c r="D26" s="600"/>
      <c r="E26" s="280">
        <f>'Mapa de Riesgos'!E26</f>
        <v>0</v>
      </c>
      <c r="F26" s="281">
        <f>'Mapa de Riesgos'!F26</f>
        <v>0</v>
      </c>
      <c r="G26" s="282" t="str">
        <f>'Mapa de Riesgos'!G26</f>
        <v>4. Hallazgos en auditorías.</v>
      </c>
      <c r="H26" s="594"/>
      <c r="I26" s="240">
        <f>'Mapa de Riesgos'!Q26</f>
        <v>4</v>
      </c>
      <c r="J26" s="302">
        <f>'Mapa de Riesgos'!R26</f>
        <v>0</v>
      </c>
      <c r="K26" s="241">
        <f>'Mapa de Riesgos'!T26</f>
        <v>0</v>
      </c>
      <c r="L26" s="241">
        <f>'Mapa de Riesgos'!U26</f>
        <v>0</v>
      </c>
      <c r="M26" s="241">
        <f>'Mapa de Riesgos'!W26</f>
        <v>0</v>
      </c>
      <c r="N26" s="241">
        <f>'Mapa de Riesgos'!X26</f>
        <v>0</v>
      </c>
      <c r="O26" s="241">
        <f>'Mapa de Riesgos'!Y26</f>
        <v>0</v>
      </c>
      <c r="P26" s="226" t="str">
        <f>'Mapa de Riesgos'!AE26</f>
        <v/>
      </c>
      <c r="Q26" s="242">
        <f>'Mapa de Riesgos'!AF26</f>
        <v>0</v>
      </c>
      <c r="R26" s="304"/>
      <c r="S26" s="291"/>
      <c r="T26" s="244"/>
    </row>
    <row r="27" spans="1:21" ht="42" customHeight="1" x14ac:dyDescent="0.3">
      <c r="A27" s="596"/>
      <c r="B27" s="598"/>
      <c r="C27" s="598"/>
      <c r="D27" s="600"/>
      <c r="E27" s="280">
        <f>'Mapa de Riesgos'!E27</f>
        <v>0</v>
      </c>
      <c r="F27" s="281">
        <f>'Mapa de Riesgos'!F27</f>
        <v>0</v>
      </c>
      <c r="G27" s="282">
        <f>'Mapa de Riesgos'!G27</f>
        <v>0</v>
      </c>
      <c r="H27" s="594"/>
      <c r="I27" s="240">
        <f>'Mapa de Riesgos'!Q27</f>
        <v>5</v>
      </c>
      <c r="J27" s="302">
        <f>'Mapa de Riesgos'!R27</f>
        <v>0</v>
      </c>
      <c r="K27" s="241">
        <f>'Mapa de Riesgos'!T27</f>
        <v>0</v>
      </c>
      <c r="L27" s="241">
        <f>'Mapa de Riesgos'!U27</f>
        <v>0</v>
      </c>
      <c r="M27" s="241">
        <f>'Mapa de Riesgos'!W27</f>
        <v>0</v>
      </c>
      <c r="N27" s="241">
        <f>'Mapa de Riesgos'!X27</f>
        <v>0</v>
      </c>
      <c r="O27" s="241">
        <f>'Mapa de Riesgos'!Y27</f>
        <v>0</v>
      </c>
      <c r="P27" s="226" t="str">
        <f>'Mapa de Riesgos'!AE27</f>
        <v/>
      </c>
      <c r="Q27" s="242">
        <f>'Mapa de Riesgos'!AF27</f>
        <v>0</v>
      </c>
      <c r="R27" s="304"/>
      <c r="S27" s="243"/>
      <c r="T27" s="244"/>
    </row>
    <row r="28" spans="1:21" ht="42" customHeight="1" thickBot="1" x14ac:dyDescent="0.35">
      <c r="A28" s="597"/>
      <c r="B28" s="599"/>
      <c r="C28" s="599"/>
      <c r="D28" s="601"/>
      <c r="E28" s="283">
        <f>'Mapa de Riesgos'!E28</f>
        <v>0</v>
      </c>
      <c r="F28" s="284">
        <f>'Mapa de Riesgos'!F28</f>
        <v>0</v>
      </c>
      <c r="G28" s="285">
        <f>'Mapa de Riesgos'!G28</f>
        <v>0</v>
      </c>
      <c r="H28" s="595"/>
      <c r="I28" s="245">
        <f>'Mapa de Riesgos'!Q28</f>
        <v>6</v>
      </c>
      <c r="J28" s="303">
        <f>'Mapa de Riesgos'!R28</f>
        <v>0</v>
      </c>
      <c r="K28" s="246">
        <f>'Mapa de Riesgos'!T28</f>
        <v>0</v>
      </c>
      <c r="L28" s="246">
        <f>'Mapa de Riesgos'!U28</f>
        <v>0</v>
      </c>
      <c r="M28" s="246">
        <f>'Mapa de Riesgos'!W28</f>
        <v>0</v>
      </c>
      <c r="N28" s="246">
        <f>'Mapa de Riesgos'!X28</f>
        <v>0</v>
      </c>
      <c r="O28" s="246">
        <f>'Mapa de Riesgos'!Y28</f>
        <v>0</v>
      </c>
      <c r="P28" s="232" t="str">
        <f>'Mapa de Riesgos'!AE28</f>
        <v/>
      </c>
      <c r="Q28" s="247">
        <f>'Mapa de Riesgos'!AF28</f>
        <v>0</v>
      </c>
      <c r="R28" s="306"/>
      <c r="S28" s="248"/>
      <c r="T28" s="249"/>
    </row>
    <row r="29" spans="1:21" ht="99" x14ac:dyDescent="0.3">
      <c r="A29" s="596">
        <f>'Mapa de Riesgos'!A29</f>
        <v>4</v>
      </c>
      <c r="B29" s="598" t="str">
        <f>'Mapa de Riesgos'!B29</f>
        <v>SEGURIDAD DE LA INFORMACIÓN</v>
      </c>
      <c r="C29" s="598" t="str">
        <f>'Mapa de Riesgos'!C29</f>
        <v>Usuarios, productos y practicas , organizacionales</v>
      </c>
      <c r="D29" s="600" t="str">
        <f>'Mapa de Riesgos'!D29</f>
        <v>Daño en activos de información: comunicaciones, informes, estadísticas, registros, entre otros.</v>
      </c>
      <c r="E29" s="280" t="str">
        <f>'Mapa de Riesgos'!E29</f>
        <v>Factores Internos (Debilidades)</v>
      </c>
      <c r="F29" s="281" t="str">
        <f>'Mapa de Riesgos'!F29</f>
        <v>1. Uso mal intencionado de la información contenida en los equipos de cómputo y en el correo institucional de la Oficina de Planeación, por parte de usuarios de la información o piratas informáticos.</v>
      </c>
      <c r="G29" s="282" t="str">
        <f>'Mapa de Riesgos'!G29</f>
        <v>1. Pérdida de información de la institución y del proceso de Planeación</v>
      </c>
      <c r="H29" s="594" t="str">
        <f>'Mapa de Riesgos'!P29</f>
        <v>Bajo</v>
      </c>
      <c r="I29" s="240">
        <f>'Mapa de Riesgos'!Q29</f>
        <v>1</v>
      </c>
      <c r="J29" s="302" t="str">
        <f>'Mapa de Riesgos'!R29</f>
        <v>Uso de ONE DRIVE para las copias de seguridad de información.</v>
      </c>
      <c r="K29" s="241" t="str">
        <f>'Mapa de Riesgos'!T29</f>
        <v>Preventivo</v>
      </c>
      <c r="L29" s="241" t="str">
        <f>'Mapa de Riesgos'!U29</f>
        <v>Manual</v>
      </c>
      <c r="M29" s="241" t="str">
        <f>'Mapa de Riesgos'!W29</f>
        <v>Sin Documentar</v>
      </c>
      <c r="N29" s="241" t="str">
        <f>'Mapa de Riesgos'!X29</f>
        <v>Continua</v>
      </c>
      <c r="O29" s="241" t="str">
        <f>'Mapa de Riesgos'!Y29</f>
        <v>Con Registro</v>
      </c>
      <c r="P29" s="226" t="str">
        <f>'Mapa de Riesgos'!AE29</f>
        <v>Bajo</v>
      </c>
      <c r="Q29" s="242" t="str">
        <f>'Mapa de Riesgos'!AF29</f>
        <v>Reducir (mitigar)</v>
      </c>
      <c r="R29" s="290" t="s">
        <v>328</v>
      </c>
      <c r="S29" s="243" t="s">
        <v>229</v>
      </c>
      <c r="T29" s="244" t="s">
        <v>323</v>
      </c>
    </row>
    <row r="30" spans="1:21" ht="82.5" x14ac:dyDescent="0.3">
      <c r="A30" s="596"/>
      <c r="B30" s="598"/>
      <c r="C30" s="598"/>
      <c r="D30" s="600"/>
      <c r="E30" s="280" t="str">
        <f>'Mapa de Riesgos'!E30</f>
        <v>Factores Internos (Debilidades)</v>
      </c>
      <c r="F30" s="281" t="str">
        <f>'Mapa de Riesgos'!F30</f>
        <v>2. Inadecuado manejo de contraseñas y datos de acceso al correo electrónico y medios de almacenamiento de información de la Oficina de Planeación.</v>
      </c>
      <c r="G30" s="282" t="str">
        <f>'Mapa de Riesgos'!G30</f>
        <v>2. Reproceso en la recopilación de la información</v>
      </c>
      <c r="H30" s="594"/>
      <c r="I30" s="240">
        <f>'Mapa de Riesgos'!Q30</f>
        <v>2</v>
      </c>
      <c r="J30" s="302">
        <f>'Mapa de Riesgos'!R30</f>
        <v>0</v>
      </c>
      <c r="K30" s="241">
        <f>'Mapa de Riesgos'!T30</f>
        <v>0</v>
      </c>
      <c r="L30" s="241">
        <f>'Mapa de Riesgos'!U30</f>
        <v>0</v>
      </c>
      <c r="M30" s="241">
        <f>'Mapa de Riesgos'!W30</f>
        <v>0</v>
      </c>
      <c r="N30" s="241">
        <f>'Mapa de Riesgos'!X30</f>
        <v>0</v>
      </c>
      <c r="O30" s="241">
        <f>'Mapa de Riesgos'!Y30</f>
        <v>0</v>
      </c>
      <c r="P30" s="226" t="str">
        <f>'Mapa de Riesgos'!AE30</f>
        <v/>
      </c>
      <c r="Q30" s="242">
        <f>'Mapa de Riesgos'!AF30</f>
        <v>0</v>
      </c>
      <c r="R30" s="290"/>
      <c r="S30" s="243"/>
      <c r="T30" s="244"/>
    </row>
    <row r="31" spans="1:21" ht="33" x14ac:dyDescent="0.3">
      <c r="A31" s="596"/>
      <c r="B31" s="598"/>
      <c r="C31" s="598"/>
      <c r="D31" s="600"/>
      <c r="E31" s="280">
        <f>'Mapa de Riesgos'!E31</f>
        <v>0</v>
      </c>
      <c r="F31" s="281">
        <f>'Mapa de Riesgos'!F31</f>
        <v>0</v>
      </c>
      <c r="G31" s="282" t="str">
        <f>'Mapa de Riesgos'!G31</f>
        <v>3. Afectación de la imagen institucional</v>
      </c>
      <c r="H31" s="594"/>
      <c r="I31" s="240">
        <f>'Mapa de Riesgos'!Q31</f>
        <v>3</v>
      </c>
      <c r="J31" s="302">
        <f>'Mapa de Riesgos'!R31</f>
        <v>0</v>
      </c>
      <c r="K31" s="241">
        <f>'Mapa de Riesgos'!T31</f>
        <v>0</v>
      </c>
      <c r="L31" s="241">
        <f>'Mapa de Riesgos'!U31</f>
        <v>0</v>
      </c>
      <c r="M31" s="241">
        <f>'Mapa de Riesgos'!W31</f>
        <v>0</v>
      </c>
      <c r="N31" s="241">
        <f>'Mapa de Riesgos'!X31</f>
        <v>0</v>
      </c>
      <c r="O31" s="241">
        <f>'Mapa de Riesgos'!Y31</f>
        <v>0</v>
      </c>
      <c r="P31" s="226" t="str">
        <f>'Mapa de Riesgos'!AE31</f>
        <v/>
      </c>
      <c r="Q31" s="242">
        <f>'Mapa de Riesgos'!AF31</f>
        <v>0</v>
      </c>
      <c r="R31" s="290"/>
      <c r="S31" s="243"/>
      <c r="T31" s="244"/>
    </row>
    <row r="32" spans="1:21" ht="43.5" customHeight="1" x14ac:dyDescent="0.3">
      <c r="A32" s="596"/>
      <c r="B32" s="598"/>
      <c r="C32" s="598"/>
      <c r="D32" s="600"/>
      <c r="E32" s="280">
        <f>'Mapa de Riesgos'!E32</f>
        <v>0</v>
      </c>
      <c r="F32" s="281">
        <f>'Mapa de Riesgos'!F32</f>
        <v>0</v>
      </c>
      <c r="G32" s="282">
        <f>'Mapa de Riesgos'!G32</f>
        <v>0</v>
      </c>
      <c r="H32" s="594"/>
      <c r="I32" s="240">
        <f>'Mapa de Riesgos'!Q32</f>
        <v>4</v>
      </c>
      <c r="J32" s="302">
        <f>'Mapa de Riesgos'!R32</f>
        <v>0</v>
      </c>
      <c r="K32" s="241">
        <f>'Mapa de Riesgos'!T32</f>
        <v>0</v>
      </c>
      <c r="L32" s="241">
        <f>'Mapa de Riesgos'!U32</f>
        <v>0</v>
      </c>
      <c r="M32" s="241">
        <f>'Mapa de Riesgos'!W32</f>
        <v>0</v>
      </c>
      <c r="N32" s="241">
        <f>'Mapa de Riesgos'!X32</f>
        <v>0</v>
      </c>
      <c r="O32" s="241">
        <f>'Mapa de Riesgos'!Y32</f>
        <v>0</v>
      </c>
      <c r="P32" s="226" t="str">
        <f>'Mapa de Riesgos'!AE32</f>
        <v/>
      </c>
      <c r="Q32" s="242">
        <f>'Mapa de Riesgos'!AF32</f>
        <v>0</v>
      </c>
      <c r="R32" s="290"/>
      <c r="S32" s="243"/>
      <c r="T32" s="244"/>
    </row>
    <row r="33" spans="1:20" ht="43.5" customHeight="1" x14ac:dyDescent="0.3">
      <c r="A33" s="596"/>
      <c r="B33" s="598"/>
      <c r="C33" s="598"/>
      <c r="D33" s="600"/>
      <c r="E33" s="280">
        <f>'Mapa de Riesgos'!E33</f>
        <v>0</v>
      </c>
      <c r="F33" s="281">
        <f>'Mapa de Riesgos'!F33</f>
        <v>0</v>
      </c>
      <c r="G33" s="282">
        <f>'Mapa de Riesgos'!G33</f>
        <v>0</v>
      </c>
      <c r="H33" s="594"/>
      <c r="I33" s="240">
        <f>'Mapa de Riesgos'!Q33</f>
        <v>5</v>
      </c>
      <c r="J33" s="302">
        <f>'Mapa de Riesgos'!R33</f>
        <v>0</v>
      </c>
      <c r="K33" s="241">
        <f>'Mapa de Riesgos'!T33</f>
        <v>0</v>
      </c>
      <c r="L33" s="241">
        <f>'Mapa de Riesgos'!U33</f>
        <v>0</v>
      </c>
      <c r="M33" s="241">
        <f>'Mapa de Riesgos'!W33</f>
        <v>0</v>
      </c>
      <c r="N33" s="241">
        <f>'Mapa de Riesgos'!X33</f>
        <v>0</v>
      </c>
      <c r="O33" s="241">
        <f>'Mapa de Riesgos'!Y33</f>
        <v>0</v>
      </c>
      <c r="P33" s="226" t="str">
        <f>'Mapa de Riesgos'!AE33</f>
        <v/>
      </c>
      <c r="Q33" s="242">
        <f>'Mapa de Riesgos'!AF33</f>
        <v>0</v>
      </c>
      <c r="R33" s="304"/>
      <c r="S33" s="243"/>
      <c r="T33" s="244"/>
    </row>
    <row r="34" spans="1:20" ht="43.5" customHeight="1" thickBot="1" x14ac:dyDescent="0.35">
      <c r="A34" s="597"/>
      <c r="B34" s="599"/>
      <c r="C34" s="599"/>
      <c r="D34" s="601"/>
      <c r="E34" s="283">
        <f>'Mapa de Riesgos'!E34</f>
        <v>0</v>
      </c>
      <c r="F34" s="284">
        <f>'Mapa de Riesgos'!F34</f>
        <v>0</v>
      </c>
      <c r="G34" s="285">
        <f>'Mapa de Riesgos'!G34</f>
        <v>0</v>
      </c>
      <c r="H34" s="595"/>
      <c r="I34" s="245">
        <f>'Mapa de Riesgos'!Q34</f>
        <v>6</v>
      </c>
      <c r="J34" s="303">
        <f>'Mapa de Riesgos'!R34</f>
        <v>0</v>
      </c>
      <c r="K34" s="246">
        <f>'Mapa de Riesgos'!T34</f>
        <v>0</v>
      </c>
      <c r="L34" s="246">
        <f>'Mapa de Riesgos'!U34</f>
        <v>0</v>
      </c>
      <c r="M34" s="246">
        <f>'Mapa de Riesgos'!W34</f>
        <v>0</v>
      </c>
      <c r="N34" s="246">
        <f>'Mapa de Riesgos'!X34</f>
        <v>0</v>
      </c>
      <c r="O34" s="246">
        <f>'Mapa de Riesgos'!Y34</f>
        <v>0</v>
      </c>
      <c r="P34" s="232" t="str">
        <f>'Mapa de Riesgos'!AE34</f>
        <v/>
      </c>
      <c r="Q34" s="247">
        <f>'Mapa de Riesgos'!AF34</f>
        <v>0</v>
      </c>
      <c r="R34" s="306"/>
      <c r="S34" s="248"/>
      <c r="T34" s="249"/>
    </row>
    <row r="35" spans="1:20" ht="43.5" customHeight="1" x14ac:dyDescent="0.3">
      <c r="A35" s="596">
        <f>'Mapa de Riesgos'!A35</f>
        <v>6</v>
      </c>
      <c r="B35" s="598">
        <f>'Mapa de Riesgos'!B35</f>
        <v>0</v>
      </c>
      <c r="C35" s="598">
        <f>'Mapa de Riesgos'!C35</f>
        <v>0</v>
      </c>
      <c r="D35" s="600">
        <f>'Mapa de Riesgos'!D35</f>
        <v>0</v>
      </c>
      <c r="E35" s="280">
        <f>'Mapa de Riesgos'!E35</f>
        <v>0</v>
      </c>
      <c r="F35" s="281">
        <f>'Mapa de Riesgos'!F35</f>
        <v>0</v>
      </c>
      <c r="G35" s="282">
        <f>'Mapa de Riesgos'!G35</f>
        <v>0</v>
      </c>
      <c r="H35" s="594" t="str">
        <f>'Mapa de Riesgos'!P35</f>
        <v/>
      </c>
      <c r="I35" s="240">
        <f>'Mapa de Riesgos'!Q35</f>
        <v>1</v>
      </c>
      <c r="J35" s="302">
        <f>'Mapa de Riesgos'!R35</f>
        <v>0</v>
      </c>
      <c r="K35" s="241">
        <f>'Mapa de Riesgos'!T35</f>
        <v>0</v>
      </c>
      <c r="L35" s="241">
        <f>'Mapa de Riesgos'!U35</f>
        <v>0</v>
      </c>
      <c r="M35" s="241">
        <f>'Mapa de Riesgos'!W35</f>
        <v>0</v>
      </c>
      <c r="N35" s="241">
        <f>'Mapa de Riesgos'!X35</f>
        <v>0</v>
      </c>
      <c r="O35" s="241">
        <f>'Mapa de Riesgos'!Y35</f>
        <v>0</v>
      </c>
      <c r="P35" s="226" t="str">
        <f>'Mapa de Riesgos'!AE35</f>
        <v/>
      </c>
      <c r="Q35" s="242">
        <f>'Mapa de Riesgos'!AF35</f>
        <v>0</v>
      </c>
      <c r="R35" s="304"/>
      <c r="S35" s="243"/>
      <c r="T35" s="244"/>
    </row>
    <row r="36" spans="1:20" ht="43.5" customHeight="1" x14ac:dyDescent="0.3">
      <c r="A36" s="596"/>
      <c r="B36" s="598"/>
      <c r="C36" s="598"/>
      <c r="D36" s="600"/>
      <c r="E36" s="280">
        <f>'Mapa de Riesgos'!E36</f>
        <v>0</v>
      </c>
      <c r="F36" s="281">
        <f>'Mapa de Riesgos'!F36</f>
        <v>0</v>
      </c>
      <c r="G36" s="282">
        <f>'Mapa de Riesgos'!G36</f>
        <v>0</v>
      </c>
      <c r="H36" s="594"/>
      <c r="I36" s="240">
        <f>'Mapa de Riesgos'!Q36</f>
        <v>2</v>
      </c>
      <c r="J36" s="302">
        <f>'Mapa de Riesgos'!R36</f>
        <v>0</v>
      </c>
      <c r="K36" s="241">
        <f>'Mapa de Riesgos'!T36</f>
        <v>0</v>
      </c>
      <c r="L36" s="241">
        <f>'Mapa de Riesgos'!U36</f>
        <v>0</v>
      </c>
      <c r="M36" s="241">
        <f>'Mapa de Riesgos'!W36</f>
        <v>0</v>
      </c>
      <c r="N36" s="241">
        <f>'Mapa de Riesgos'!X36</f>
        <v>0</v>
      </c>
      <c r="O36" s="241">
        <f>'Mapa de Riesgos'!Y36</f>
        <v>0</v>
      </c>
      <c r="P36" s="226" t="str">
        <f>'Mapa de Riesgos'!AE36</f>
        <v/>
      </c>
      <c r="Q36" s="242">
        <f>'Mapa de Riesgos'!AF36</f>
        <v>0</v>
      </c>
      <c r="R36" s="304"/>
      <c r="S36" s="243"/>
      <c r="T36" s="244"/>
    </row>
    <row r="37" spans="1:20" ht="43.5" customHeight="1" x14ac:dyDescent="0.3">
      <c r="A37" s="596"/>
      <c r="B37" s="598"/>
      <c r="C37" s="598"/>
      <c r="D37" s="600"/>
      <c r="E37" s="280">
        <f>'Mapa de Riesgos'!E37</f>
        <v>0</v>
      </c>
      <c r="F37" s="281">
        <f>'Mapa de Riesgos'!F37</f>
        <v>0</v>
      </c>
      <c r="G37" s="282">
        <f>'Mapa de Riesgos'!G37</f>
        <v>0</v>
      </c>
      <c r="H37" s="594"/>
      <c r="I37" s="240">
        <f>'Mapa de Riesgos'!Q37</f>
        <v>3</v>
      </c>
      <c r="J37" s="302">
        <f>'Mapa de Riesgos'!R37</f>
        <v>0</v>
      </c>
      <c r="K37" s="241">
        <f>'Mapa de Riesgos'!T37</f>
        <v>0</v>
      </c>
      <c r="L37" s="241">
        <f>'Mapa de Riesgos'!U37</f>
        <v>0</v>
      </c>
      <c r="M37" s="241">
        <f>'Mapa de Riesgos'!W37</f>
        <v>0</v>
      </c>
      <c r="N37" s="241">
        <f>'Mapa de Riesgos'!X37</f>
        <v>0</v>
      </c>
      <c r="O37" s="241">
        <f>'Mapa de Riesgos'!Y37</f>
        <v>0</v>
      </c>
      <c r="P37" s="226" t="str">
        <f>'Mapa de Riesgos'!AE37</f>
        <v/>
      </c>
      <c r="Q37" s="242">
        <f>'Mapa de Riesgos'!AF37</f>
        <v>0</v>
      </c>
      <c r="R37" s="304"/>
      <c r="S37" s="243"/>
      <c r="T37" s="244"/>
    </row>
    <row r="38" spans="1:20" ht="43.5" customHeight="1" x14ac:dyDescent="0.3">
      <c r="A38" s="596"/>
      <c r="B38" s="598"/>
      <c r="C38" s="598"/>
      <c r="D38" s="600"/>
      <c r="E38" s="280">
        <f>'Mapa de Riesgos'!E38</f>
        <v>0</v>
      </c>
      <c r="F38" s="281">
        <f>'Mapa de Riesgos'!F38</f>
        <v>0</v>
      </c>
      <c r="G38" s="282">
        <f>'Mapa de Riesgos'!G38</f>
        <v>0</v>
      </c>
      <c r="H38" s="594"/>
      <c r="I38" s="240">
        <f>'Mapa de Riesgos'!Q38</f>
        <v>4</v>
      </c>
      <c r="J38" s="302">
        <f>'Mapa de Riesgos'!R38</f>
        <v>0</v>
      </c>
      <c r="K38" s="241">
        <f>'Mapa de Riesgos'!T38</f>
        <v>0</v>
      </c>
      <c r="L38" s="241">
        <f>'Mapa de Riesgos'!U38</f>
        <v>0</v>
      </c>
      <c r="M38" s="241">
        <f>'Mapa de Riesgos'!W38</f>
        <v>0</v>
      </c>
      <c r="N38" s="241">
        <f>'Mapa de Riesgos'!X38</f>
        <v>0</v>
      </c>
      <c r="O38" s="241">
        <f>'Mapa de Riesgos'!Y38</f>
        <v>0</v>
      </c>
      <c r="P38" s="226" t="str">
        <f>'Mapa de Riesgos'!AE38</f>
        <v/>
      </c>
      <c r="Q38" s="242">
        <f>'Mapa de Riesgos'!AF38</f>
        <v>0</v>
      </c>
      <c r="R38" s="304"/>
      <c r="S38" s="243"/>
      <c r="T38" s="244"/>
    </row>
    <row r="39" spans="1:20" ht="43.5" customHeight="1" x14ac:dyDescent="0.3">
      <c r="A39" s="596"/>
      <c r="B39" s="598"/>
      <c r="C39" s="598"/>
      <c r="D39" s="600"/>
      <c r="E39" s="280">
        <f>'Mapa de Riesgos'!E39</f>
        <v>0</v>
      </c>
      <c r="F39" s="281">
        <f>'Mapa de Riesgos'!F39</f>
        <v>0</v>
      </c>
      <c r="G39" s="282">
        <f>'Mapa de Riesgos'!G39</f>
        <v>0</v>
      </c>
      <c r="H39" s="594"/>
      <c r="I39" s="240">
        <f>'Mapa de Riesgos'!Q39</f>
        <v>5</v>
      </c>
      <c r="J39" s="302">
        <f>'Mapa de Riesgos'!R39</f>
        <v>0</v>
      </c>
      <c r="K39" s="241">
        <f>'Mapa de Riesgos'!T39</f>
        <v>0</v>
      </c>
      <c r="L39" s="241">
        <f>'Mapa de Riesgos'!U39</f>
        <v>0</v>
      </c>
      <c r="M39" s="241">
        <f>'Mapa de Riesgos'!W39</f>
        <v>0</v>
      </c>
      <c r="N39" s="241">
        <f>'Mapa de Riesgos'!X39</f>
        <v>0</v>
      </c>
      <c r="O39" s="241">
        <f>'Mapa de Riesgos'!Y39</f>
        <v>0</v>
      </c>
      <c r="P39" s="226" t="str">
        <f>'Mapa de Riesgos'!AE39</f>
        <v/>
      </c>
      <c r="Q39" s="242">
        <f>'Mapa de Riesgos'!AF39</f>
        <v>0</v>
      </c>
      <c r="R39" s="304"/>
      <c r="S39" s="243"/>
      <c r="T39" s="244"/>
    </row>
    <row r="40" spans="1:20" ht="43.5" customHeight="1" thickBot="1" x14ac:dyDescent="0.35">
      <c r="A40" s="597"/>
      <c r="B40" s="599"/>
      <c r="C40" s="599"/>
      <c r="D40" s="601"/>
      <c r="E40" s="283">
        <f>'Mapa de Riesgos'!E40</f>
        <v>0</v>
      </c>
      <c r="F40" s="284">
        <f>'Mapa de Riesgos'!F40</f>
        <v>0</v>
      </c>
      <c r="G40" s="285">
        <f>'Mapa de Riesgos'!G40</f>
        <v>0</v>
      </c>
      <c r="H40" s="595"/>
      <c r="I40" s="245">
        <f>'Mapa de Riesgos'!Q40</f>
        <v>6</v>
      </c>
      <c r="J40" s="303">
        <f>'Mapa de Riesgos'!R40</f>
        <v>0</v>
      </c>
      <c r="K40" s="246">
        <f>'Mapa de Riesgos'!T40</f>
        <v>0</v>
      </c>
      <c r="L40" s="246">
        <f>'Mapa de Riesgos'!U40</f>
        <v>0</v>
      </c>
      <c r="M40" s="246">
        <f>'Mapa de Riesgos'!W40</f>
        <v>0</v>
      </c>
      <c r="N40" s="246">
        <f>'Mapa de Riesgos'!X40</f>
        <v>0</v>
      </c>
      <c r="O40" s="246">
        <f>'Mapa de Riesgos'!Y40</f>
        <v>0</v>
      </c>
      <c r="P40" s="232" t="str">
        <f>'Mapa de Riesgos'!AE40</f>
        <v/>
      </c>
      <c r="Q40" s="247">
        <f>'Mapa de Riesgos'!AF40</f>
        <v>0</v>
      </c>
      <c r="R40" s="306"/>
      <c r="S40" s="248"/>
      <c r="T40" s="249"/>
    </row>
    <row r="41" spans="1:20" ht="43.5" customHeight="1" x14ac:dyDescent="0.3">
      <c r="A41" s="596">
        <f>'Mapa de Riesgos'!A41</f>
        <v>7</v>
      </c>
      <c r="B41" s="598">
        <f>'Mapa de Riesgos'!B41</f>
        <v>0</v>
      </c>
      <c r="C41" s="598">
        <f>'Mapa de Riesgos'!C41</f>
        <v>0</v>
      </c>
      <c r="D41" s="600">
        <f>'Mapa de Riesgos'!D41</f>
        <v>0</v>
      </c>
      <c r="E41" s="280">
        <f>'Mapa de Riesgos'!E41</f>
        <v>0</v>
      </c>
      <c r="F41" s="281">
        <f>'Mapa de Riesgos'!F41</f>
        <v>0</v>
      </c>
      <c r="G41" s="282">
        <f>'Mapa de Riesgos'!G41</f>
        <v>0</v>
      </c>
      <c r="H41" s="594">
        <f>'Mapa de Riesgos'!P41</f>
        <v>0</v>
      </c>
      <c r="I41" s="240">
        <f>'Mapa de Riesgos'!Q41</f>
        <v>0</v>
      </c>
      <c r="J41" s="302">
        <f>'Mapa de Riesgos'!R41</f>
        <v>0</v>
      </c>
      <c r="K41" s="241">
        <f>'Mapa de Riesgos'!T41</f>
        <v>0</v>
      </c>
      <c r="L41" s="241">
        <f>'Mapa de Riesgos'!U41</f>
        <v>0</v>
      </c>
      <c r="M41" s="241">
        <f>'Mapa de Riesgos'!W41</f>
        <v>0</v>
      </c>
      <c r="N41" s="241">
        <f>'Mapa de Riesgos'!X41</f>
        <v>0</v>
      </c>
      <c r="O41" s="241">
        <f>'Mapa de Riesgos'!Y41</f>
        <v>0</v>
      </c>
      <c r="P41" s="226" t="str">
        <f>'Mapa de Riesgos'!AE41</f>
        <v/>
      </c>
      <c r="Q41" s="242">
        <f>'Mapa de Riesgos'!AF41</f>
        <v>0</v>
      </c>
      <c r="R41" s="304"/>
      <c r="S41" s="243"/>
      <c r="T41" s="244"/>
    </row>
    <row r="42" spans="1:20" ht="43.5" customHeight="1" x14ac:dyDescent="0.3">
      <c r="A42" s="596"/>
      <c r="B42" s="598"/>
      <c r="C42" s="598"/>
      <c r="D42" s="600"/>
      <c r="E42" s="280">
        <f>'Mapa de Riesgos'!E42</f>
        <v>0</v>
      </c>
      <c r="F42" s="281">
        <f>'Mapa de Riesgos'!F42</f>
        <v>0</v>
      </c>
      <c r="G42" s="282">
        <f>'Mapa de Riesgos'!G42</f>
        <v>0</v>
      </c>
      <c r="H42" s="594"/>
      <c r="I42" s="240">
        <f>'Mapa de Riesgos'!Q42</f>
        <v>0</v>
      </c>
      <c r="J42" s="302">
        <f>'Mapa de Riesgos'!R42</f>
        <v>0</v>
      </c>
      <c r="K42" s="241">
        <f>'Mapa de Riesgos'!T42</f>
        <v>0</v>
      </c>
      <c r="L42" s="241">
        <f>'Mapa de Riesgos'!U42</f>
        <v>0</v>
      </c>
      <c r="M42" s="241">
        <f>'Mapa de Riesgos'!W42</f>
        <v>0</v>
      </c>
      <c r="N42" s="241">
        <f>'Mapa de Riesgos'!X42</f>
        <v>0</v>
      </c>
      <c r="O42" s="241">
        <f>'Mapa de Riesgos'!Y42</f>
        <v>0</v>
      </c>
      <c r="P42" s="226" t="str">
        <f>'Mapa de Riesgos'!AE42</f>
        <v/>
      </c>
      <c r="Q42" s="242">
        <f>'Mapa de Riesgos'!AF42</f>
        <v>0</v>
      </c>
      <c r="R42" s="304"/>
      <c r="S42" s="243"/>
      <c r="T42" s="244"/>
    </row>
    <row r="43" spans="1:20" ht="43.5" customHeight="1" x14ac:dyDescent="0.3">
      <c r="A43" s="596"/>
      <c r="B43" s="598"/>
      <c r="C43" s="598"/>
      <c r="D43" s="600"/>
      <c r="E43" s="280">
        <f>'Mapa de Riesgos'!E43</f>
        <v>0</v>
      </c>
      <c r="F43" s="281">
        <f>'Mapa de Riesgos'!F43</f>
        <v>0</v>
      </c>
      <c r="G43" s="282">
        <f>'Mapa de Riesgos'!G43</f>
        <v>0</v>
      </c>
      <c r="H43" s="594"/>
      <c r="I43" s="240">
        <f>'Mapa de Riesgos'!Q43</f>
        <v>0</v>
      </c>
      <c r="J43" s="302">
        <f>'Mapa de Riesgos'!R43</f>
        <v>0</v>
      </c>
      <c r="K43" s="241">
        <f>'Mapa de Riesgos'!T43</f>
        <v>0</v>
      </c>
      <c r="L43" s="241">
        <f>'Mapa de Riesgos'!U43</f>
        <v>0</v>
      </c>
      <c r="M43" s="241">
        <f>'Mapa de Riesgos'!W43</f>
        <v>0</v>
      </c>
      <c r="N43" s="241">
        <f>'Mapa de Riesgos'!X43</f>
        <v>0</v>
      </c>
      <c r="O43" s="241">
        <f>'Mapa de Riesgos'!Y43</f>
        <v>0</v>
      </c>
      <c r="P43" s="226" t="str">
        <f>'Mapa de Riesgos'!AE43</f>
        <v/>
      </c>
      <c r="Q43" s="242">
        <f>'Mapa de Riesgos'!AF43</f>
        <v>0</v>
      </c>
      <c r="R43" s="304"/>
      <c r="S43" s="243"/>
      <c r="T43" s="244"/>
    </row>
    <row r="44" spans="1:20" ht="43.5" customHeight="1" x14ac:dyDescent="0.3">
      <c r="A44" s="596"/>
      <c r="B44" s="598"/>
      <c r="C44" s="598"/>
      <c r="D44" s="600"/>
      <c r="E44" s="280">
        <f>'Mapa de Riesgos'!E44</f>
        <v>0</v>
      </c>
      <c r="F44" s="281">
        <f>'Mapa de Riesgos'!F44</f>
        <v>0</v>
      </c>
      <c r="G44" s="282">
        <f>'Mapa de Riesgos'!G44</f>
        <v>0</v>
      </c>
      <c r="H44" s="594"/>
      <c r="I44" s="240">
        <f>'Mapa de Riesgos'!Q44</f>
        <v>0</v>
      </c>
      <c r="J44" s="302">
        <f>'Mapa de Riesgos'!R44</f>
        <v>0</v>
      </c>
      <c r="K44" s="241">
        <f>'Mapa de Riesgos'!T44</f>
        <v>0</v>
      </c>
      <c r="L44" s="241">
        <f>'Mapa de Riesgos'!U44</f>
        <v>0</v>
      </c>
      <c r="M44" s="241">
        <f>'Mapa de Riesgos'!W44</f>
        <v>0</v>
      </c>
      <c r="N44" s="241">
        <f>'Mapa de Riesgos'!X44</f>
        <v>0</v>
      </c>
      <c r="O44" s="241">
        <f>'Mapa de Riesgos'!Y44</f>
        <v>0</v>
      </c>
      <c r="P44" s="226" t="str">
        <f>'Mapa de Riesgos'!AE44</f>
        <v/>
      </c>
      <c r="Q44" s="242">
        <f>'Mapa de Riesgos'!AF44</f>
        <v>0</v>
      </c>
      <c r="R44" s="304"/>
      <c r="S44" s="243"/>
      <c r="T44" s="244"/>
    </row>
    <row r="45" spans="1:20" ht="43.5" customHeight="1" x14ac:dyDescent="0.3">
      <c r="A45" s="596"/>
      <c r="B45" s="598"/>
      <c r="C45" s="598"/>
      <c r="D45" s="600"/>
      <c r="E45" s="280">
        <f>'Mapa de Riesgos'!E45</f>
        <v>0</v>
      </c>
      <c r="F45" s="281">
        <f>'Mapa de Riesgos'!F45</f>
        <v>0</v>
      </c>
      <c r="G45" s="282">
        <f>'Mapa de Riesgos'!G45</f>
        <v>0</v>
      </c>
      <c r="H45" s="594"/>
      <c r="I45" s="240">
        <f>'Mapa de Riesgos'!Q45</f>
        <v>0</v>
      </c>
      <c r="J45" s="302">
        <f>'Mapa de Riesgos'!R45</f>
        <v>0</v>
      </c>
      <c r="K45" s="241">
        <f>'Mapa de Riesgos'!T45</f>
        <v>0</v>
      </c>
      <c r="L45" s="241">
        <f>'Mapa de Riesgos'!U45</f>
        <v>0</v>
      </c>
      <c r="M45" s="241">
        <f>'Mapa de Riesgos'!W45</f>
        <v>0</v>
      </c>
      <c r="N45" s="241">
        <f>'Mapa de Riesgos'!X45</f>
        <v>0</v>
      </c>
      <c r="O45" s="241">
        <f>'Mapa de Riesgos'!Y45</f>
        <v>0</v>
      </c>
      <c r="P45" s="226" t="str">
        <f>'Mapa de Riesgos'!AE45</f>
        <v/>
      </c>
      <c r="Q45" s="242">
        <f>'Mapa de Riesgos'!AF45</f>
        <v>0</v>
      </c>
      <c r="R45" s="304"/>
      <c r="S45" s="243"/>
      <c r="T45" s="244"/>
    </row>
    <row r="46" spans="1:20" ht="43.5" customHeight="1" thickBot="1" x14ac:dyDescent="0.35">
      <c r="A46" s="597"/>
      <c r="B46" s="599"/>
      <c r="C46" s="599"/>
      <c r="D46" s="601"/>
      <c r="E46" s="283">
        <f>'Mapa de Riesgos'!E46</f>
        <v>0</v>
      </c>
      <c r="F46" s="284">
        <f>'Mapa de Riesgos'!F46</f>
        <v>0</v>
      </c>
      <c r="G46" s="285">
        <f>'Mapa de Riesgos'!G46</f>
        <v>0</v>
      </c>
      <c r="H46" s="595"/>
      <c r="I46" s="245">
        <f>'Mapa de Riesgos'!Q46</f>
        <v>0</v>
      </c>
      <c r="J46" s="303">
        <f>'Mapa de Riesgos'!R46</f>
        <v>0</v>
      </c>
      <c r="K46" s="246">
        <f>'Mapa de Riesgos'!T46</f>
        <v>0</v>
      </c>
      <c r="L46" s="246">
        <f>'Mapa de Riesgos'!U46</f>
        <v>0</v>
      </c>
      <c r="M46" s="246">
        <f>'Mapa de Riesgos'!W46</f>
        <v>0</v>
      </c>
      <c r="N46" s="246">
        <f>'Mapa de Riesgos'!X46</f>
        <v>0</v>
      </c>
      <c r="O46" s="246">
        <f>'Mapa de Riesgos'!Y46</f>
        <v>0</v>
      </c>
      <c r="P46" s="232" t="str">
        <f>'Mapa de Riesgos'!AE46</f>
        <v/>
      </c>
      <c r="Q46" s="247">
        <f>'Mapa de Riesgos'!AF46</f>
        <v>0</v>
      </c>
      <c r="R46" s="306"/>
      <c r="S46" s="248"/>
      <c r="T46" s="249"/>
    </row>
    <row r="47" spans="1:20" ht="43.5" customHeight="1" x14ac:dyDescent="0.3">
      <c r="A47" s="596">
        <f>'Mapa de Riesgos'!A47</f>
        <v>8</v>
      </c>
      <c r="B47" s="598">
        <f>'Mapa de Riesgos'!B47</f>
        <v>0</v>
      </c>
      <c r="C47" s="598">
        <f>'Mapa de Riesgos'!C47</f>
        <v>0</v>
      </c>
      <c r="D47" s="600">
        <f>'Mapa de Riesgos'!D47</f>
        <v>0</v>
      </c>
      <c r="E47" s="280">
        <f>'Mapa de Riesgos'!E47</f>
        <v>0</v>
      </c>
      <c r="F47" s="281">
        <f>'Mapa de Riesgos'!F47</f>
        <v>0</v>
      </c>
      <c r="G47" s="282">
        <f>'Mapa de Riesgos'!G47</f>
        <v>0</v>
      </c>
      <c r="H47" s="594">
        <f>'Mapa de Riesgos'!P47</f>
        <v>0</v>
      </c>
      <c r="I47" s="240">
        <f>'Mapa de Riesgos'!Q47</f>
        <v>1</v>
      </c>
      <c r="J47" s="302">
        <f>'Mapa de Riesgos'!R47</f>
        <v>0</v>
      </c>
      <c r="K47" s="241">
        <f>'Mapa de Riesgos'!T47</f>
        <v>0</v>
      </c>
      <c r="L47" s="241">
        <f>'Mapa de Riesgos'!U47</f>
        <v>0</v>
      </c>
      <c r="M47" s="241">
        <f>'Mapa de Riesgos'!W47</f>
        <v>0</v>
      </c>
      <c r="N47" s="241">
        <f>'Mapa de Riesgos'!X47</f>
        <v>0</v>
      </c>
      <c r="O47" s="241">
        <f>'Mapa de Riesgos'!Y47</f>
        <v>0</v>
      </c>
      <c r="P47" s="226" t="str">
        <f>'Mapa de Riesgos'!AE47</f>
        <v/>
      </c>
      <c r="Q47" s="242">
        <f>'Mapa de Riesgos'!AF47</f>
        <v>0</v>
      </c>
      <c r="R47" s="304"/>
      <c r="S47" s="243"/>
      <c r="T47" s="244"/>
    </row>
    <row r="48" spans="1:20" ht="43.5" customHeight="1" x14ac:dyDescent="0.3">
      <c r="A48" s="596"/>
      <c r="B48" s="598"/>
      <c r="C48" s="598"/>
      <c r="D48" s="600"/>
      <c r="E48" s="280">
        <f>'Mapa de Riesgos'!E48</f>
        <v>0</v>
      </c>
      <c r="F48" s="281">
        <f>'Mapa de Riesgos'!F48</f>
        <v>0</v>
      </c>
      <c r="G48" s="282">
        <f>'Mapa de Riesgos'!G48</f>
        <v>0</v>
      </c>
      <c r="H48" s="594"/>
      <c r="I48" s="240">
        <f>'Mapa de Riesgos'!Q48</f>
        <v>2</v>
      </c>
      <c r="J48" s="302">
        <f>'Mapa de Riesgos'!R48</f>
        <v>0</v>
      </c>
      <c r="K48" s="241">
        <f>'Mapa de Riesgos'!T48</f>
        <v>0</v>
      </c>
      <c r="L48" s="241">
        <f>'Mapa de Riesgos'!U48</f>
        <v>0</v>
      </c>
      <c r="M48" s="241">
        <f>'Mapa de Riesgos'!W48</f>
        <v>0</v>
      </c>
      <c r="N48" s="241">
        <f>'Mapa de Riesgos'!X48</f>
        <v>0</v>
      </c>
      <c r="O48" s="241">
        <f>'Mapa de Riesgos'!Y48</f>
        <v>0</v>
      </c>
      <c r="P48" s="226" t="str">
        <f>'Mapa de Riesgos'!AE48</f>
        <v/>
      </c>
      <c r="Q48" s="242">
        <f>'Mapa de Riesgos'!AF48</f>
        <v>0</v>
      </c>
      <c r="R48" s="304"/>
      <c r="S48" s="243"/>
      <c r="T48" s="244"/>
    </row>
    <row r="49" spans="1:20" ht="43.5" customHeight="1" x14ac:dyDescent="0.3">
      <c r="A49" s="596"/>
      <c r="B49" s="598"/>
      <c r="C49" s="598"/>
      <c r="D49" s="600"/>
      <c r="E49" s="280">
        <f>'Mapa de Riesgos'!E49</f>
        <v>0</v>
      </c>
      <c r="F49" s="281">
        <f>'Mapa de Riesgos'!F49</f>
        <v>0</v>
      </c>
      <c r="G49" s="282">
        <f>'Mapa de Riesgos'!G49</f>
        <v>0</v>
      </c>
      <c r="H49" s="594"/>
      <c r="I49" s="240">
        <f>'Mapa de Riesgos'!Q49</f>
        <v>3</v>
      </c>
      <c r="J49" s="302">
        <f>'Mapa de Riesgos'!R49</f>
        <v>0</v>
      </c>
      <c r="K49" s="241">
        <f>'Mapa de Riesgos'!T49</f>
        <v>0</v>
      </c>
      <c r="L49" s="241">
        <f>'Mapa de Riesgos'!U49</f>
        <v>0</v>
      </c>
      <c r="M49" s="241">
        <f>'Mapa de Riesgos'!W49</f>
        <v>0</v>
      </c>
      <c r="N49" s="241">
        <f>'Mapa de Riesgos'!X49</f>
        <v>0</v>
      </c>
      <c r="O49" s="241">
        <f>'Mapa de Riesgos'!Y49</f>
        <v>0</v>
      </c>
      <c r="P49" s="226" t="str">
        <f>'Mapa de Riesgos'!AE49</f>
        <v/>
      </c>
      <c r="Q49" s="242">
        <f>'Mapa de Riesgos'!AF49</f>
        <v>0</v>
      </c>
      <c r="R49" s="304"/>
      <c r="S49" s="243"/>
      <c r="T49" s="244"/>
    </row>
    <row r="50" spans="1:20" ht="43.5" customHeight="1" x14ac:dyDescent="0.3">
      <c r="A50" s="596"/>
      <c r="B50" s="598"/>
      <c r="C50" s="598"/>
      <c r="D50" s="600"/>
      <c r="E50" s="280">
        <f>'Mapa de Riesgos'!E50</f>
        <v>0</v>
      </c>
      <c r="F50" s="281">
        <f>'Mapa de Riesgos'!F50</f>
        <v>0</v>
      </c>
      <c r="G50" s="282">
        <f>'Mapa de Riesgos'!G50</f>
        <v>0</v>
      </c>
      <c r="H50" s="594"/>
      <c r="I50" s="240">
        <f>'Mapa de Riesgos'!Q50</f>
        <v>4</v>
      </c>
      <c r="J50" s="302">
        <f>'Mapa de Riesgos'!R50</f>
        <v>0</v>
      </c>
      <c r="K50" s="241">
        <f>'Mapa de Riesgos'!T50</f>
        <v>0</v>
      </c>
      <c r="L50" s="241">
        <f>'Mapa de Riesgos'!U50</f>
        <v>0</v>
      </c>
      <c r="M50" s="241">
        <f>'Mapa de Riesgos'!W50</f>
        <v>0</v>
      </c>
      <c r="N50" s="241">
        <f>'Mapa de Riesgos'!X50</f>
        <v>0</v>
      </c>
      <c r="O50" s="241">
        <f>'Mapa de Riesgos'!Y50</f>
        <v>0</v>
      </c>
      <c r="P50" s="226" t="str">
        <f>'Mapa de Riesgos'!AE50</f>
        <v/>
      </c>
      <c r="Q50" s="242">
        <f>'Mapa de Riesgos'!AF50</f>
        <v>0</v>
      </c>
      <c r="R50" s="304"/>
      <c r="S50" s="243"/>
      <c r="T50" s="244"/>
    </row>
    <row r="51" spans="1:20" ht="43.5" customHeight="1" x14ac:dyDescent="0.3">
      <c r="A51" s="596"/>
      <c r="B51" s="598"/>
      <c r="C51" s="598"/>
      <c r="D51" s="600"/>
      <c r="E51" s="280">
        <f>'Mapa de Riesgos'!E51</f>
        <v>0</v>
      </c>
      <c r="F51" s="281">
        <f>'Mapa de Riesgos'!F51</f>
        <v>0</v>
      </c>
      <c r="G51" s="282">
        <f>'Mapa de Riesgos'!G51</f>
        <v>0</v>
      </c>
      <c r="H51" s="594"/>
      <c r="I51" s="240">
        <f>'Mapa de Riesgos'!Q51</f>
        <v>5</v>
      </c>
      <c r="J51" s="302">
        <f>'Mapa de Riesgos'!R51</f>
        <v>0</v>
      </c>
      <c r="K51" s="241">
        <f>'Mapa de Riesgos'!T51</f>
        <v>0</v>
      </c>
      <c r="L51" s="241">
        <f>'Mapa de Riesgos'!U51</f>
        <v>0</v>
      </c>
      <c r="M51" s="241">
        <f>'Mapa de Riesgos'!W51</f>
        <v>0</v>
      </c>
      <c r="N51" s="241">
        <f>'Mapa de Riesgos'!X51</f>
        <v>0</v>
      </c>
      <c r="O51" s="241">
        <f>'Mapa de Riesgos'!Y51</f>
        <v>0</v>
      </c>
      <c r="P51" s="226" t="str">
        <f>'Mapa de Riesgos'!AE51</f>
        <v/>
      </c>
      <c r="Q51" s="242">
        <f>'Mapa de Riesgos'!AF51</f>
        <v>0</v>
      </c>
      <c r="R51" s="304"/>
      <c r="S51" s="243"/>
      <c r="T51" s="244"/>
    </row>
    <row r="52" spans="1:20" ht="43.5" customHeight="1" thickBot="1" x14ac:dyDescent="0.35">
      <c r="A52" s="597"/>
      <c r="B52" s="599"/>
      <c r="C52" s="599"/>
      <c r="D52" s="601"/>
      <c r="E52" s="283">
        <f>'Mapa de Riesgos'!E52</f>
        <v>0</v>
      </c>
      <c r="F52" s="284">
        <f>'Mapa de Riesgos'!F52</f>
        <v>0</v>
      </c>
      <c r="G52" s="285">
        <f>'Mapa de Riesgos'!G52</f>
        <v>0</v>
      </c>
      <c r="H52" s="595"/>
      <c r="I52" s="245">
        <f>'Mapa de Riesgos'!Q52</f>
        <v>6</v>
      </c>
      <c r="J52" s="303">
        <f>'Mapa de Riesgos'!R52</f>
        <v>0</v>
      </c>
      <c r="K52" s="246">
        <f>'Mapa de Riesgos'!T52</f>
        <v>0</v>
      </c>
      <c r="L52" s="246">
        <f>'Mapa de Riesgos'!U52</f>
        <v>0</v>
      </c>
      <c r="M52" s="246">
        <f>'Mapa de Riesgos'!W52</f>
        <v>0</v>
      </c>
      <c r="N52" s="246">
        <f>'Mapa de Riesgos'!X52</f>
        <v>0</v>
      </c>
      <c r="O52" s="246">
        <f>'Mapa de Riesgos'!Y52</f>
        <v>0</v>
      </c>
      <c r="P52" s="232" t="str">
        <f>'Mapa de Riesgos'!AE52</f>
        <v/>
      </c>
      <c r="Q52" s="247">
        <f>'Mapa de Riesgos'!AF52</f>
        <v>0</v>
      </c>
      <c r="R52" s="306"/>
      <c r="S52" s="248"/>
      <c r="T52" s="249"/>
    </row>
    <row r="53" spans="1:20" ht="43.5" customHeight="1" x14ac:dyDescent="0.3">
      <c r="A53" s="596">
        <f>'Mapa de Riesgos'!A53</f>
        <v>9</v>
      </c>
      <c r="B53" s="598">
        <f>'Mapa de Riesgos'!B53</f>
        <v>0</v>
      </c>
      <c r="C53" s="598">
        <f>'Mapa de Riesgos'!C53</f>
        <v>0</v>
      </c>
      <c r="D53" s="600">
        <f>'Mapa de Riesgos'!D53</f>
        <v>0</v>
      </c>
      <c r="E53" s="280">
        <f>'Mapa de Riesgos'!E53</f>
        <v>0</v>
      </c>
      <c r="F53" s="281">
        <f>'Mapa de Riesgos'!F53</f>
        <v>0</v>
      </c>
      <c r="G53" s="282">
        <f>'Mapa de Riesgos'!G53</f>
        <v>0</v>
      </c>
      <c r="H53" s="594" t="str">
        <f>'Mapa de Riesgos'!P53</f>
        <v/>
      </c>
      <c r="I53" s="240">
        <f>'Mapa de Riesgos'!Q53</f>
        <v>1</v>
      </c>
      <c r="J53" s="302">
        <f>'Mapa de Riesgos'!R53</f>
        <v>0</v>
      </c>
      <c r="K53" s="241">
        <f>'Mapa de Riesgos'!T53</f>
        <v>0</v>
      </c>
      <c r="L53" s="241">
        <f>'Mapa de Riesgos'!U53</f>
        <v>0</v>
      </c>
      <c r="M53" s="241">
        <f>'Mapa de Riesgos'!W53</f>
        <v>0</v>
      </c>
      <c r="N53" s="241">
        <f>'Mapa de Riesgos'!X53</f>
        <v>0</v>
      </c>
      <c r="O53" s="241">
        <f>'Mapa de Riesgos'!Y53</f>
        <v>0</v>
      </c>
      <c r="P53" s="226" t="str">
        <f>'Mapa de Riesgos'!AE53</f>
        <v/>
      </c>
      <c r="Q53" s="242">
        <f>'Mapa de Riesgos'!AF53</f>
        <v>0</v>
      </c>
      <c r="R53" s="304"/>
      <c r="S53" s="243"/>
      <c r="T53" s="244"/>
    </row>
    <row r="54" spans="1:20" ht="43.5" customHeight="1" x14ac:dyDescent="0.3">
      <c r="A54" s="596"/>
      <c r="B54" s="598"/>
      <c r="C54" s="598"/>
      <c r="D54" s="600"/>
      <c r="E54" s="280">
        <f>'Mapa de Riesgos'!E54</f>
        <v>0</v>
      </c>
      <c r="F54" s="281">
        <f>'Mapa de Riesgos'!F54</f>
        <v>0</v>
      </c>
      <c r="G54" s="282">
        <f>'Mapa de Riesgos'!G54</f>
        <v>0</v>
      </c>
      <c r="H54" s="594"/>
      <c r="I54" s="240">
        <f>'Mapa de Riesgos'!Q54</f>
        <v>2</v>
      </c>
      <c r="J54" s="302">
        <f>'Mapa de Riesgos'!R54</f>
        <v>0</v>
      </c>
      <c r="K54" s="241">
        <f>'Mapa de Riesgos'!T54</f>
        <v>0</v>
      </c>
      <c r="L54" s="241">
        <f>'Mapa de Riesgos'!U54</f>
        <v>0</v>
      </c>
      <c r="M54" s="241">
        <f>'Mapa de Riesgos'!W54</f>
        <v>0</v>
      </c>
      <c r="N54" s="241">
        <f>'Mapa de Riesgos'!X54</f>
        <v>0</v>
      </c>
      <c r="O54" s="241">
        <f>'Mapa de Riesgos'!Y54</f>
        <v>0</v>
      </c>
      <c r="P54" s="226" t="str">
        <f>'Mapa de Riesgos'!AE54</f>
        <v/>
      </c>
      <c r="Q54" s="242">
        <f>'Mapa de Riesgos'!AF54</f>
        <v>0</v>
      </c>
      <c r="R54" s="304"/>
      <c r="S54" s="243"/>
      <c r="T54" s="244"/>
    </row>
    <row r="55" spans="1:20" ht="43.5" customHeight="1" x14ac:dyDescent="0.3">
      <c r="A55" s="596"/>
      <c r="B55" s="598"/>
      <c r="C55" s="598"/>
      <c r="D55" s="600"/>
      <c r="E55" s="280">
        <f>'Mapa de Riesgos'!E55</f>
        <v>0</v>
      </c>
      <c r="F55" s="281">
        <f>'Mapa de Riesgos'!F55</f>
        <v>0</v>
      </c>
      <c r="G55" s="282">
        <f>'Mapa de Riesgos'!G55</f>
        <v>0</v>
      </c>
      <c r="H55" s="594"/>
      <c r="I55" s="240">
        <f>'Mapa de Riesgos'!Q55</f>
        <v>3</v>
      </c>
      <c r="J55" s="302">
        <f>'Mapa de Riesgos'!R55</f>
        <v>0</v>
      </c>
      <c r="K55" s="241">
        <f>'Mapa de Riesgos'!T55</f>
        <v>0</v>
      </c>
      <c r="L55" s="241">
        <f>'Mapa de Riesgos'!U55</f>
        <v>0</v>
      </c>
      <c r="M55" s="241">
        <f>'Mapa de Riesgos'!W55</f>
        <v>0</v>
      </c>
      <c r="N55" s="241">
        <f>'Mapa de Riesgos'!X55</f>
        <v>0</v>
      </c>
      <c r="O55" s="241">
        <f>'Mapa de Riesgos'!Y55</f>
        <v>0</v>
      </c>
      <c r="P55" s="226" t="str">
        <f>'Mapa de Riesgos'!AE55</f>
        <v/>
      </c>
      <c r="Q55" s="242">
        <f>'Mapa de Riesgos'!AF55</f>
        <v>0</v>
      </c>
      <c r="R55" s="304"/>
      <c r="S55" s="243"/>
      <c r="T55" s="244"/>
    </row>
    <row r="56" spans="1:20" ht="43.5" customHeight="1" x14ac:dyDescent="0.3">
      <c r="A56" s="596"/>
      <c r="B56" s="598"/>
      <c r="C56" s="598"/>
      <c r="D56" s="600"/>
      <c r="E56" s="280">
        <f>'Mapa de Riesgos'!E56</f>
        <v>0</v>
      </c>
      <c r="F56" s="281">
        <f>'Mapa de Riesgos'!F56</f>
        <v>0</v>
      </c>
      <c r="G56" s="282">
        <f>'Mapa de Riesgos'!G56</f>
        <v>0</v>
      </c>
      <c r="H56" s="594"/>
      <c r="I56" s="240">
        <f>'Mapa de Riesgos'!Q56</f>
        <v>4</v>
      </c>
      <c r="J56" s="302">
        <f>'Mapa de Riesgos'!R56</f>
        <v>0</v>
      </c>
      <c r="K56" s="241">
        <f>'Mapa de Riesgos'!T56</f>
        <v>0</v>
      </c>
      <c r="L56" s="241">
        <f>'Mapa de Riesgos'!U56</f>
        <v>0</v>
      </c>
      <c r="M56" s="241">
        <f>'Mapa de Riesgos'!W56</f>
        <v>0</v>
      </c>
      <c r="N56" s="241">
        <f>'Mapa de Riesgos'!X56</f>
        <v>0</v>
      </c>
      <c r="O56" s="241">
        <f>'Mapa de Riesgos'!Y56</f>
        <v>0</v>
      </c>
      <c r="P56" s="226" t="str">
        <f>'Mapa de Riesgos'!AE56</f>
        <v/>
      </c>
      <c r="Q56" s="242">
        <f>'Mapa de Riesgos'!AF56</f>
        <v>0</v>
      </c>
      <c r="R56" s="304"/>
      <c r="S56" s="243"/>
      <c r="T56" s="244"/>
    </row>
    <row r="57" spans="1:20" ht="43.5" customHeight="1" x14ac:dyDescent="0.3">
      <c r="A57" s="596"/>
      <c r="B57" s="598"/>
      <c r="C57" s="598"/>
      <c r="D57" s="600"/>
      <c r="E57" s="280">
        <f>'Mapa de Riesgos'!E57</f>
        <v>0</v>
      </c>
      <c r="F57" s="281">
        <f>'Mapa de Riesgos'!F57</f>
        <v>0</v>
      </c>
      <c r="G57" s="282">
        <f>'Mapa de Riesgos'!G57</f>
        <v>0</v>
      </c>
      <c r="H57" s="594"/>
      <c r="I57" s="240">
        <f>'Mapa de Riesgos'!Q57</f>
        <v>5</v>
      </c>
      <c r="J57" s="302">
        <f>'Mapa de Riesgos'!R57</f>
        <v>0</v>
      </c>
      <c r="K57" s="241">
        <f>'Mapa de Riesgos'!T57</f>
        <v>0</v>
      </c>
      <c r="L57" s="241">
        <f>'Mapa de Riesgos'!U57</f>
        <v>0</v>
      </c>
      <c r="M57" s="241">
        <f>'Mapa de Riesgos'!W57</f>
        <v>0</v>
      </c>
      <c r="N57" s="241">
        <f>'Mapa de Riesgos'!X57</f>
        <v>0</v>
      </c>
      <c r="O57" s="241">
        <f>'Mapa de Riesgos'!Y57</f>
        <v>0</v>
      </c>
      <c r="P57" s="226" t="str">
        <f>'Mapa de Riesgos'!AE57</f>
        <v/>
      </c>
      <c r="Q57" s="242">
        <f>'Mapa de Riesgos'!AF57</f>
        <v>0</v>
      </c>
      <c r="R57" s="304"/>
      <c r="S57" s="243"/>
      <c r="T57" s="244"/>
    </row>
    <row r="58" spans="1:20" ht="43.5" customHeight="1" thickBot="1" x14ac:dyDescent="0.35">
      <c r="A58" s="597"/>
      <c r="B58" s="599"/>
      <c r="C58" s="599"/>
      <c r="D58" s="601"/>
      <c r="E58" s="283">
        <f>'Mapa de Riesgos'!E58</f>
        <v>0</v>
      </c>
      <c r="F58" s="284">
        <f>'Mapa de Riesgos'!F58</f>
        <v>0</v>
      </c>
      <c r="G58" s="285">
        <f>'Mapa de Riesgos'!G58</f>
        <v>0</v>
      </c>
      <c r="H58" s="595"/>
      <c r="I58" s="245">
        <f>'Mapa de Riesgos'!Q58</f>
        <v>6</v>
      </c>
      <c r="J58" s="303">
        <f>'Mapa de Riesgos'!R58</f>
        <v>0</v>
      </c>
      <c r="K58" s="246">
        <f>'Mapa de Riesgos'!T58</f>
        <v>0</v>
      </c>
      <c r="L58" s="246">
        <f>'Mapa de Riesgos'!U58</f>
        <v>0</v>
      </c>
      <c r="M58" s="246">
        <f>'Mapa de Riesgos'!W58</f>
        <v>0</v>
      </c>
      <c r="N58" s="246">
        <f>'Mapa de Riesgos'!X58</f>
        <v>0</v>
      </c>
      <c r="O58" s="246">
        <f>'Mapa de Riesgos'!Y58</f>
        <v>0</v>
      </c>
      <c r="P58" s="232" t="str">
        <f>'Mapa de Riesgos'!AE58</f>
        <v/>
      </c>
      <c r="Q58" s="247">
        <f>'Mapa de Riesgos'!AF58</f>
        <v>0</v>
      </c>
      <c r="R58" s="306"/>
      <c r="S58" s="248"/>
      <c r="T58" s="249"/>
    </row>
    <row r="59" spans="1:20" ht="43.5" customHeight="1" x14ac:dyDescent="0.3">
      <c r="A59" s="596">
        <f>'Mapa de Riesgos'!A59</f>
        <v>10</v>
      </c>
      <c r="B59" s="598">
        <f>'Mapa de Riesgos'!B59</f>
        <v>0</v>
      </c>
      <c r="C59" s="598">
        <f>'Mapa de Riesgos'!C59</f>
        <v>0</v>
      </c>
      <c r="D59" s="600">
        <f>'Mapa de Riesgos'!D59</f>
        <v>0</v>
      </c>
      <c r="E59" s="280">
        <f>'Mapa de Riesgos'!E59</f>
        <v>0</v>
      </c>
      <c r="F59" s="281">
        <f>'Mapa de Riesgos'!F59</f>
        <v>0</v>
      </c>
      <c r="G59" s="282">
        <f>'Mapa de Riesgos'!G59</f>
        <v>0</v>
      </c>
      <c r="H59" s="594" t="str">
        <f>'Mapa de Riesgos'!P59</f>
        <v/>
      </c>
      <c r="I59" s="240">
        <f>'Mapa de Riesgos'!Q59</f>
        <v>1</v>
      </c>
      <c r="J59" s="302">
        <f>'Mapa de Riesgos'!R59</f>
        <v>0</v>
      </c>
      <c r="K59" s="241">
        <f>'Mapa de Riesgos'!T59</f>
        <v>0</v>
      </c>
      <c r="L59" s="241">
        <f>'Mapa de Riesgos'!U59</f>
        <v>0</v>
      </c>
      <c r="M59" s="241">
        <f>'Mapa de Riesgos'!W59</f>
        <v>0</v>
      </c>
      <c r="N59" s="241">
        <f>'Mapa de Riesgos'!X59</f>
        <v>0</v>
      </c>
      <c r="O59" s="241">
        <f>'Mapa de Riesgos'!Y59</f>
        <v>0</v>
      </c>
      <c r="P59" s="226" t="str">
        <f>'Mapa de Riesgos'!AE59</f>
        <v/>
      </c>
      <c r="Q59" s="242">
        <f>'Mapa de Riesgos'!AF59</f>
        <v>0</v>
      </c>
      <c r="R59" s="304"/>
      <c r="S59" s="243"/>
      <c r="T59" s="244"/>
    </row>
    <row r="60" spans="1:20" ht="43.5" customHeight="1" x14ac:dyDescent="0.3">
      <c r="A60" s="596"/>
      <c r="B60" s="598"/>
      <c r="C60" s="598"/>
      <c r="D60" s="600"/>
      <c r="E60" s="280">
        <f>'Mapa de Riesgos'!E60</f>
        <v>0</v>
      </c>
      <c r="F60" s="281">
        <f>'Mapa de Riesgos'!F60</f>
        <v>0</v>
      </c>
      <c r="G60" s="282">
        <f>'Mapa de Riesgos'!G60</f>
        <v>0</v>
      </c>
      <c r="H60" s="594"/>
      <c r="I60" s="240">
        <f>'Mapa de Riesgos'!Q60</f>
        <v>2</v>
      </c>
      <c r="J60" s="302">
        <f>'Mapa de Riesgos'!R60</f>
        <v>0</v>
      </c>
      <c r="K60" s="241">
        <f>'Mapa de Riesgos'!T60</f>
        <v>0</v>
      </c>
      <c r="L60" s="241">
        <f>'Mapa de Riesgos'!U60</f>
        <v>0</v>
      </c>
      <c r="M60" s="241">
        <f>'Mapa de Riesgos'!W60</f>
        <v>0</v>
      </c>
      <c r="N60" s="241">
        <f>'Mapa de Riesgos'!X60</f>
        <v>0</v>
      </c>
      <c r="O60" s="241">
        <f>'Mapa de Riesgos'!Y60</f>
        <v>0</v>
      </c>
      <c r="P60" s="226" t="str">
        <f>'Mapa de Riesgos'!AE60</f>
        <v/>
      </c>
      <c r="Q60" s="242">
        <f>'Mapa de Riesgos'!AF60</f>
        <v>0</v>
      </c>
      <c r="R60" s="304"/>
      <c r="S60" s="243"/>
      <c r="T60" s="244"/>
    </row>
    <row r="61" spans="1:20" ht="43.5" customHeight="1" x14ac:dyDescent="0.3">
      <c r="A61" s="596"/>
      <c r="B61" s="598"/>
      <c r="C61" s="598"/>
      <c r="D61" s="600"/>
      <c r="E61" s="280">
        <f>'Mapa de Riesgos'!E61</f>
        <v>0</v>
      </c>
      <c r="F61" s="281">
        <f>'Mapa de Riesgos'!F61</f>
        <v>0</v>
      </c>
      <c r="G61" s="282">
        <f>'Mapa de Riesgos'!G61</f>
        <v>0</v>
      </c>
      <c r="H61" s="594"/>
      <c r="I61" s="240">
        <f>'Mapa de Riesgos'!Q61</f>
        <v>3</v>
      </c>
      <c r="J61" s="302">
        <f>'Mapa de Riesgos'!R61</f>
        <v>0</v>
      </c>
      <c r="K61" s="241">
        <f>'Mapa de Riesgos'!T61</f>
        <v>0</v>
      </c>
      <c r="L61" s="241">
        <f>'Mapa de Riesgos'!U61</f>
        <v>0</v>
      </c>
      <c r="M61" s="241">
        <f>'Mapa de Riesgos'!W61</f>
        <v>0</v>
      </c>
      <c r="N61" s="241">
        <f>'Mapa de Riesgos'!X61</f>
        <v>0</v>
      </c>
      <c r="O61" s="241">
        <f>'Mapa de Riesgos'!Y61</f>
        <v>0</v>
      </c>
      <c r="P61" s="226" t="str">
        <f>'Mapa de Riesgos'!AE61</f>
        <v/>
      </c>
      <c r="Q61" s="242">
        <f>'Mapa de Riesgos'!AF61</f>
        <v>0</v>
      </c>
      <c r="R61" s="304"/>
      <c r="S61" s="243"/>
      <c r="T61" s="244"/>
    </row>
    <row r="62" spans="1:20" ht="43.5" customHeight="1" x14ac:dyDescent="0.3">
      <c r="A62" s="596"/>
      <c r="B62" s="598"/>
      <c r="C62" s="598"/>
      <c r="D62" s="600"/>
      <c r="E62" s="280">
        <f>'Mapa de Riesgos'!E62</f>
        <v>0</v>
      </c>
      <c r="F62" s="281">
        <f>'Mapa de Riesgos'!F62</f>
        <v>0</v>
      </c>
      <c r="G62" s="282">
        <f>'Mapa de Riesgos'!G62</f>
        <v>0</v>
      </c>
      <c r="H62" s="594"/>
      <c r="I62" s="240">
        <f>'Mapa de Riesgos'!Q62</f>
        <v>4</v>
      </c>
      <c r="J62" s="302">
        <f>'Mapa de Riesgos'!R62</f>
        <v>0</v>
      </c>
      <c r="K62" s="241">
        <f>'Mapa de Riesgos'!T62</f>
        <v>0</v>
      </c>
      <c r="L62" s="241">
        <f>'Mapa de Riesgos'!U62</f>
        <v>0</v>
      </c>
      <c r="M62" s="241">
        <f>'Mapa de Riesgos'!W62</f>
        <v>0</v>
      </c>
      <c r="N62" s="241">
        <f>'Mapa de Riesgos'!X62</f>
        <v>0</v>
      </c>
      <c r="O62" s="241">
        <f>'Mapa de Riesgos'!Y62</f>
        <v>0</v>
      </c>
      <c r="P62" s="226" t="str">
        <f>'Mapa de Riesgos'!AE62</f>
        <v/>
      </c>
      <c r="Q62" s="242">
        <f>'Mapa de Riesgos'!AF62</f>
        <v>0</v>
      </c>
      <c r="R62" s="304"/>
      <c r="S62" s="243"/>
      <c r="T62" s="244"/>
    </row>
    <row r="63" spans="1:20" ht="43.5" customHeight="1" x14ac:dyDescent="0.3">
      <c r="A63" s="596"/>
      <c r="B63" s="598"/>
      <c r="C63" s="598"/>
      <c r="D63" s="600"/>
      <c r="E63" s="280">
        <f>'Mapa de Riesgos'!E63</f>
        <v>0</v>
      </c>
      <c r="F63" s="281">
        <f>'Mapa de Riesgos'!F63</f>
        <v>0</v>
      </c>
      <c r="G63" s="282">
        <f>'Mapa de Riesgos'!G63</f>
        <v>0</v>
      </c>
      <c r="H63" s="594"/>
      <c r="I63" s="240">
        <f>'Mapa de Riesgos'!Q63</f>
        <v>5</v>
      </c>
      <c r="J63" s="302">
        <f>'Mapa de Riesgos'!R63</f>
        <v>0</v>
      </c>
      <c r="K63" s="241">
        <f>'Mapa de Riesgos'!T63</f>
        <v>0</v>
      </c>
      <c r="L63" s="241">
        <f>'Mapa de Riesgos'!U63</f>
        <v>0</v>
      </c>
      <c r="M63" s="241">
        <f>'Mapa de Riesgos'!W63</f>
        <v>0</v>
      </c>
      <c r="N63" s="241">
        <f>'Mapa de Riesgos'!X63</f>
        <v>0</v>
      </c>
      <c r="O63" s="241">
        <f>'Mapa de Riesgos'!Y63</f>
        <v>0</v>
      </c>
      <c r="P63" s="226" t="str">
        <f>'Mapa de Riesgos'!AE63</f>
        <v/>
      </c>
      <c r="Q63" s="242">
        <f>'Mapa de Riesgos'!AF63</f>
        <v>0</v>
      </c>
      <c r="R63" s="304"/>
      <c r="S63" s="243"/>
      <c r="T63" s="244"/>
    </row>
    <row r="64" spans="1:20" ht="43.5" customHeight="1" thickBot="1" x14ac:dyDescent="0.35">
      <c r="A64" s="597"/>
      <c r="B64" s="599"/>
      <c r="C64" s="599"/>
      <c r="D64" s="601"/>
      <c r="E64" s="283">
        <f>'Mapa de Riesgos'!E64</f>
        <v>0</v>
      </c>
      <c r="F64" s="284">
        <f>'Mapa de Riesgos'!F64</f>
        <v>0</v>
      </c>
      <c r="G64" s="285">
        <f>'Mapa de Riesgos'!G64</f>
        <v>0</v>
      </c>
      <c r="H64" s="595"/>
      <c r="I64" s="245">
        <f>'Mapa de Riesgos'!Q64</f>
        <v>6</v>
      </c>
      <c r="J64" s="303">
        <f>'Mapa de Riesgos'!R64</f>
        <v>0</v>
      </c>
      <c r="K64" s="246">
        <f>'Mapa de Riesgos'!T64</f>
        <v>0</v>
      </c>
      <c r="L64" s="246">
        <f>'Mapa de Riesgos'!U64</f>
        <v>0</v>
      </c>
      <c r="M64" s="246">
        <f>'Mapa de Riesgos'!W64</f>
        <v>0</v>
      </c>
      <c r="N64" s="246">
        <f>'Mapa de Riesgos'!X64</f>
        <v>0</v>
      </c>
      <c r="O64" s="246">
        <f>'Mapa de Riesgos'!Y64</f>
        <v>0</v>
      </c>
      <c r="P64" s="232" t="str">
        <f>'Mapa de Riesgos'!AE64</f>
        <v/>
      </c>
      <c r="Q64" s="247">
        <f>'Mapa de Riesgos'!AF64</f>
        <v>0</v>
      </c>
      <c r="R64" s="306"/>
      <c r="S64" s="248"/>
      <c r="T64" s="249"/>
    </row>
    <row r="65" spans="1:20" x14ac:dyDescent="0.3">
      <c r="A65" s="197"/>
      <c r="B65" s="197"/>
      <c r="C65" s="197"/>
      <c r="D65" s="4"/>
      <c r="E65" s="4"/>
      <c r="F65" s="198"/>
      <c r="G65" s="198"/>
      <c r="H65" s="4"/>
      <c r="I65" s="4"/>
      <c r="J65" s="4"/>
      <c r="K65" s="4"/>
      <c r="L65" s="4"/>
      <c r="M65" s="4"/>
      <c r="N65" s="4"/>
      <c r="O65" s="4"/>
      <c r="P65" s="4"/>
      <c r="Q65" s="4"/>
      <c r="R65" s="4"/>
    </row>
    <row r="66" spans="1:20" customFormat="1" ht="15" x14ac:dyDescent="0.25">
      <c r="A66" s="73"/>
      <c r="B66" s="73"/>
      <c r="C66" s="73"/>
      <c r="D66" s="73"/>
      <c r="E66" s="73"/>
      <c r="F66" s="73"/>
      <c r="G66" s="73"/>
      <c r="H66" s="73"/>
      <c r="I66" s="73"/>
      <c r="J66" s="73"/>
      <c r="K66" s="73"/>
      <c r="L66" s="73"/>
      <c r="M66" s="73"/>
      <c r="N66" s="73"/>
      <c r="O66" s="73"/>
      <c r="P66" s="73"/>
      <c r="Q66" s="73"/>
      <c r="R66" s="73"/>
    </row>
    <row r="67" spans="1:20" s="5" customFormat="1" ht="24.75" customHeight="1" x14ac:dyDescent="0.2">
      <c r="A67" s="480" t="s">
        <v>217</v>
      </c>
      <c r="B67" s="480"/>
      <c r="C67" s="481" t="s">
        <v>185</v>
      </c>
      <c r="D67" s="481"/>
      <c r="E67" s="481"/>
      <c r="F67" s="481"/>
      <c r="G67" s="567" t="s">
        <v>218</v>
      </c>
      <c r="H67" s="569" t="str">
        <f>'Mapa de Riesgos'!H67</f>
        <v>SISTEMA INTEGRADO DE GESTIÓN SIG</v>
      </c>
      <c r="I67" s="570"/>
      <c r="J67" s="570"/>
      <c r="K67" s="570"/>
      <c r="L67" s="570"/>
      <c r="M67" s="570"/>
      <c r="N67" s="570"/>
      <c r="O67" s="571"/>
      <c r="P67" s="480" t="s">
        <v>220</v>
      </c>
      <c r="Q67" s="480"/>
      <c r="R67" s="481" t="str">
        <f>'Mapa de Riesgos'!T67</f>
        <v>LÍDER DEL SISTEMA INTEGRADO DE GESTIÓN</v>
      </c>
      <c r="S67" s="481"/>
      <c r="T67" s="481"/>
    </row>
    <row r="68" spans="1:20" s="5" customFormat="1" ht="24.75" customHeight="1" x14ac:dyDescent="0.2">
      <c r="A68" s="480"/>
      <c r="B68" s="480"/>
      <c r="C68" s="481"/>
      <c r="D68" s="481"/>
      <c r="E68" s="481"/>
      <c r="F68" s="481"/>
      <c r="G68" s="568"/>
      <c r="H68" s="572"/>
      <c r="I68" s="573"/>
      <c r="J68" s="573"/>
      <c r="K68" s="573"/>
      <c r="L68" s="573"/>
      <c r="M68" s="573"/>
      <c r="N68" s="573"/>
      <c r="O68" s="574"/>
      <c r="P68" s="480" t="s">
        <v>316</v>
      </c>
      <c r="Q68" s="480"/>
      <c r="R68" s="481" t="str">
        <f>'Mapa de Riesgos'!T68</f>
        <v>ABRIL DE 2022</v>
      </c>
      <c r="S68" s="481"/>
      <c r="T68" s="481"/>
    </row>
    <row r="69" spans="1:20" customFormat="1" ht="15" x14ac:dyDescent="0.25"/>
  </sheetData>
  <dataConsolidate/>
  <mergeCells count="86">
    <mergeCell ref="H59:H64"/>
    <mergeCell ref="A59:A64"/>
    <mergeCell ref="B59:B64"/>
    <mergeCell ref="C59:C64"/>
    <mergeCell ref="D59:D64"/>
    <mergeCell ref="H47:H52"/>
    <mergeCell ref="A53:A58"/>
    <mergeCell ref="B53:B58"/>
    <mergeCell ref="C53:C58"/>
    <mergeCell ref="D53:D58"/>
    <mergeCell ref="H53:H58"/>
    <mergeCell ref="A47:A52"/>
    <mergeCell ref="B47:B52"/>
    <mergeCell ref="C47:C52"/>
    <mergeCell ref="D47:D52"/>
    <mergeCell ref="H35:H40"/>
    <mergeCell ref="A41:A46"/>
    <mergeCell ref="B41:B46"/>
    <mergeCell ref="C41:C46"/>
    <mergeCell ref="D41:D46"/>
    <mergeCell ref="H41:H46"/>
    <mergeCell ref="A35:A40"/>
    <mergeCell ref="B35:B40"/>
    <mergeCell ref="C35:C40"/>
    <mergeCell ref="D35:D40"/>
    <mergeCell ref="H23:H28"/>
    <mergeCell ref="A29:A34"/>
    <mergeCell ref="B29:B34"/>
    <mergeCell ref="C29:C34"/>
    <mergeCell ref="D29:D34"/>
    <mergeCell ref="H29:H34"/>
    <mergeCell ref="A23:A28"/>
    <mergeCell ref="B23:B28"/>
    <mergeCell ref="C23:C28"/>
    <mergeCell ref="D23:D28"/>
    <mergeCell ref="H17:H22"/>
    <mergeCell ref="A17:A22"/>
    <mergeCell ref="B17:B22"/>
    <mergeCell ref="C17:C22"/>
    <mergeCell ref="D17:D22"/>
    <mergeCell ref="H10:H16"/>
    <mergeCell ref="A10:A16"/>
    <mergeCell ref="B10:B16"/>
    <mergeCell ref="C10:C16"/>
    <mergeCell ref="D10:D16"/>
    <mergeCell ref="T8:T9"/>
    <mergeCell ref="K8:O8"/>
    <mergeCell ref="P8:P9"/>
    <mergeCell ref="Q8:Q9"/>
    <mergeCell ref="R8:R9"/>
    <mergeCell ref="S8:S9"/>
    <mergeCell ref="C8:C9"/>
    <mergeCell ref="D8:D9"/>
    <mergeCell ref="J8:J9"/>
    <mergeCell ref="F8:F9"/>
    <mergeCell ref="G8:G9"/>
    <mergeCell ref="H8:H9"/>
    <mergeCell ref="I8:I9"/>
    <mergeCell ref="E8:E9"/>
    <mergeCell ref="A1:C1"/>
    <mergeCell ref="A2:C2"/>
    <mergeCell ref="P67:Q67"/>
    <mergeCell ref="P68:Q68"/>
    <mergeCell ref="R67:T67"/>
    <mergeCell ref="R68:T68"/>
    <mergeCell ref="C67:F68"/>
    <mergeCell ref="G67:G68"/>
    <mergeCell ref="H67:O68"/>
    <mergeCell ref="A67:B68"/>
    <mergeCell ref="A7:G7"/>
    <mergeCell ref="I7:O7"/>
    <mergeCell ref="P7:Q7"/>
    <mergeCell ref="R7:T7"/>
    <mergeCell ref="A8:A9"/>
    <mergeCell ref="B8:B9"/>
    <mergeCell ref="A5:C5"/>
    <mergeCell ref="J5:M5"/>
    <mergeCell ref="A6:T6"/>
    <mergeCell ref="A4:C4"/>
    <mergeCell ref="J4:M4"/>
    <mergeCell ref="D1:S1"/>
    <mergeCell ref="D2:S2"/>
    <mergeCell ref="D4:I4"/>
    <mergeCell ref="D5:I5"/>
    <mergeCell ref="N4:T4"/>
    <mergeCell ref="N5:T5"/>
  </mergeCells>
  <conditionalFormatting sqref="H10 P10:P64">
    <cfRule type="cellIs" dxfId="39" priority="502" operator="equal">
      <formula>"Bajo"</formula>
    </cfRule>
    <cfRule type="cellIs" dxfId="38" priority="501" operator="equal">
      <formula>"Moderado"</formula>
    </cfRule>
    <cfRule type="cellIs" dxfId="37" priority="500" operator="equal">
      <formula>"Alto"</formula>
    </cfRule>
    <cfRule type="cellIs" dxfId="36" priority="499" operator="equal">
      <formula>"Extremo"</formula>
    </cfRule>
  </conditionalFormatting>
  <conditionalFormatting sqref="H17">
    <cfRule type="cellIs" dxfId="35" priority="256" operator="equal">
      <formula>"Bajo"</formula>
    </cfRule>
    <cfRule type="cellIs" dxfId="34" priority="255" operator="equal">
      <formula>"Moderado"</formula>
    </cfRule>
    <cfRule type="cellIs" dxfId="33" priority="254" operator="equal">
      <formula>"Alto"</formula>
    </cfRule>
    <cfRule type="cellIs" dxfId="32" priority="253" operator="equal">
      <formula>"Extremo"</formula>
    </cfRule>
  </conditionalFormatting>
  <conditionalFormatting sqref="H23">
    <cfRule type="cellIs" dxfId="31" priority="200" operator="equal">
      <formula>"Bajo"</formula>
    </cfRule>
    <cfRule type="cellIs" dxfId="30" priority="199" operator="equal">
      <formula>"Moderado"</formula>
    </cfRule>
    <cfRule type="cellIs" dxfId="29" priority="198" operator="equal">
      <formula>"Alto"</formula>
    </cfRule>
    <cfRule type="cellIs" dxfId="28" priority="197" operator="equal">
      <formula>"Extremo"</formula>
    </cfRule>
  </conditionalFormatting>
  <conditionalFormatting sqref="H29">
    <cfRule type="cellIs" dxfId="27" priority="172" operator="equal">
      <formula>"Bajo"</formula>
    </cfRule>
    <cfRule type="cellIs" dxfId="26" priority="171" operator="equal">
      <formula>"Moderado"</formula>
    </cfRule>
    <cfRule type="cellIs" dxfId="25" priority="170" operator="equal">
      <formula>"Alto"</formula>
    </cfRule>
    <cfRule type="cellIs" dxfId="24" priority="169" operator="equal">
      <formula>"Extremo"</formula>
    </cfRule>
  </conditionalFormatting>
  <conditionalFormatting sqref="H35">
    <cfRule type="cellIs" dxfId="23" priority="141" operator="equal">
      <formula>"Extremo"</formula>
    </cfRule>
    <cfRule type="cellIs" dxfId="22" priority="142" operator="equal">
      <formula>"Alto"</formula>
    </cfRule>
    <cfRule type="cellIs" dxfId="21" priority="143" operator="equal">
      <formula>"Moderado"</formula>
    </cfRule>
    <cfRule type="cellIs" dxfId="20" priority="144" operator="equal">
      <formula>"Bajo"</formula>
    </cfRule>
  </conditionalFormatting>
  <conditionalFormatting sqref="H41">
    <cfRule type="cellIs" dxfId="19" priority="116" operator="equal">
      <formula>"Bajo"</formula>
    </cfRule>
    <cfRule type="cellIs" dxfId="18" priority="115" operator="equal">
      <formula>"Moderado"</formula>
    </cfRule>
    <cfRule type="cellIs" dxfId="17" priority="114" operator="equal">
      <formula>"Alto"</formula>
    </cfRule>
    <cfRule type="cellIs" dxfId="16" priority="113" operator="equal">
      <formula>"Extremo"</formula>
    </cfRule>
  </conditionalFormatting>
  <conditionalFormatting sqref="H47">
    <cfRule type="cellIs" dxfId="15" priority="88" operator="equal">
      <formula>"Bajo"</formula>
    </cfRule>
    <cfRule type="cellIs" dxfId="14" priority="87" operator="equal">
      <formula>"Moderado"</formula>
    </cfRule>
    <cfRule type="cellIs" dxfId="13" priority="86" operator="equal">
      <formula>"Alto"</formula>
    </cfRule>
    <cfRule type="cellIs" dxfId="12" priority="85" operator="equal">
      <formula>"Extremo"</formula>
    </cfRule>
  </conditionalFormatting>
  <conditionalFormatting sqref="H53">
    <cfRule type="cellIs" dxfId="11" priority="60" operator="equal">
      <formula>"Bajo"</formula>
    </cfRule>
    <cfRule type="cellIs" dxfId="10" priority="59" operator="equal">
      <formula>"Moderado"</formula>
    </cfRule>
    <cfRule type="cellIs" dxfId="9" priority="58" operator="equal">
      <formula>"Alto"</formula>
    </cfRule>
    <cfRule type="cellIs" dxfId="8" priority="57" operator="equal">
      <formula>"Extremo"</formula>
    </cfRule>
  </conditionalFormatting>
  <conditionalFormatting sqref="H59">
    <cfRule type="cellIs" dxfId="7" priority="32" operator="equal">
      <formula>"Bajo"</formula>
    </cfRule>
    <cfRule type="cellIs" dxfId="6" priority="31" operator="equal">
      <formula>"Moderado"</formula>
    </cfRule>
    <cfRule type="cellIs" dxfId="5" priority="30" operator="equal">
      <formula>"Alto"</formula>
    </cfRule>
    <cfRule type="cellIs" dxfId="4" priority="29" operator="equal">
      <formula>"Extremo"</formula>
    </cfRule>
  </conditionalFormatting>
  <pageMargins left="0.7" right="0.7" top="0.75" bottom="0.75" header="0.3" footer="0.3"/>
  <pageSetup orientation="portrait" r:id="rId1"/>
  <ignoredErrors>
    <ignoredError sqref="Q15:Q16 J15:O16 H17:Q22 H23:Q28 H59:Q64 B29:D64 B23:D28 B17:D22 B15:D16 H29:Q34 H35:Q40 H41:Q46 H47:Q52 H53:Q58 B10:D13 J10:O13 Q10:Q13"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'Opciones Tratamiento'!$G$18:$G$21</xm:f>
          </x14:formula1>
          <xm:sqref>T27:T28 T20:T22 T15:T16 T39:T64 T33:T34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tabColor theme="6" tint="0.39997558519241921"/>
  </sheetPr>
  <dimension ref="A1:V70"/>
  <sheetViews>
    <sheetView tabSelected="1" topLeftCell="N1" zoomScaleNormal="100" workbookViewId="0">
      <selection activeCell="M5" sqref="M5:V5"/>
    </sheetView>
  </sheetViews>
  <sheetFormatPr baseColWidth="10" defaultColWidth="11.42578125" defaultRowHeight="16.5" x14ac:dyDescent="0.3"/>
  <cols>
    <col min="1" max="1" width="5.85546875" style="2" customWidth="1"/>
    <col min="2" max="2" width="16.140625" style="2" customWidth="1"/>
    <col min="3" max="3" width="19" style="2" customWidth="1"/>
    <col min="4" max="4" width="25.42578125" style="1" customWidth="1"/>
    <col min="5" max="5" width="19.5703125" style="1" customWidth="1"/>
    <col min="6" max="6" width="51" style="1" customWidth="1"/>
    <col min="7" max="7" width="31.42578125" style="3" customWidth="1"/>
    <col min="8" max="8" width="45.7109375" style="1" customWidth="1"/>
    <col min="9" max="9" width="18.85546875" style="1" customWidth="1"/>
    <col min="10" max="10" width="21.85546875" style="1" customWidth="1"/>
    <col min="11" max="11" width="20.28515625" style="1" customWidth="1"/>
    <col min="12" max="12" width="48.140625" style="1" customWidth="1"/>
    <col min="13" max="13" width="32.42578125" style="1" customWidth="1"/>
    <col min="14" max="14" width="18" style="1" customWidth="1"/>
    <col min="15" max="15" width="22.85546875" style="1" customWidth="1"/>
    <col min="16" max="16" width="45.5703125" style="1" customWidth="1"/>
    <col min="17" max="17" width="38.42578125" style="1" customWidth="1"/>
    <col min="18" max="18" width="18.5703125" style="1" customWidth="1"/>
    <col min="19" max="19" width="19.85546875" style="1" customWidth="1"/>
    <col min="20" max="20" width="41.140625" style="1" customWidth="1"/>
    <col min="21" max="21" width="41.28515625" style="1" customWidth="1"/>
    <col min="22" max="22" width="21" style="1" customWidth="1"/>
    <col min="23" max="16384" width="11.42578125" style="1"/>
  </cols>
  <sheetData>
    <row r="1" spans="1:22" ht="79.5" customHeight="1" x14ac:dyDescent="0.3">
      <c r="A1" s="496"/>
      <c r="B1" s="496"/>
      <c r="C1" s="496"/>
      <c r="D1" s="495" t="str">
        <f>'Mapa de Riesgos'!D1</f>
        <v>PLANEACIÓN INSTITUCIONAL</v>
      </c>
      <c r="E1" s="495"/>
      <c r="F1" s="495"/>
      <c r="G1" s="495"/>
      <c r="H1" s="495"/>
      <c r="I1" s="495"/>
      <c r="J1" s="495"/>
      <c r="K1" s="495"/>
      <c r="L1" s="495"/>
      <c r="M1" s="495"/>
      <c r="N1" s="495"/>
      <c r="O1" s="495"/>
      <c r="P1" s="495"/>
      <c r="Q1" s="495"/>
      <c r="R1" s="495"/>
      <c r="S1" s="495"/>
      <c r="T1" s="495"/>
      <c r="U1" s="495"/>
      <c r="V1" s="194" t="s">
        <v>329</v>
      </c>
    </row>
    <row r="2" spans="1:22" ht="20.25" customHeight="1" x14ac:dyDescent="0.3">
      <c r="A2" s="566" t="str">
        <f>'Mapa de Riesgos'!A2</f>
        <v>F - PL - 13</v>
      </c>
      <c r="B2" s="566"/>
      <c r="C2" s="566"/>
      <c r="D2" s="565" t="str">
        <f>'Mapa de Riesgos'!D2</f>
        <v>MAPA DE RIESGOS INSTITUCIONAL</v>
      </c>
      <c r="E2" s="565"/>
      <c r="F2" s="565"/>
      <c r="G2" s="565"/>
      <c r="H2" s="565"/>
      <c r="I2" s="565"/>
      <c r="J2" s="565"/>
      <c r="K2" s="565"/>
      <c r="L2" s="565"/>
      <c r="M2" s="565"/>
      <c r="N2" s="565"/>
      <c r="O2" s="565"/>
      <c r="P2" s="565"/>
      <c r="Q2" s="565"/>
      <c r="R2" s="565"/>
      <c r="S2" s="565"/>
      <c r="T2" s="565"/>
      <c r="U2" s="565"/>
      <c r="V2" s="215" t="str">
        <f>'Mapa de Riesgos'!AE2</f>
        <v>VERSIÓN: 7.0</v>
      </c>
    </row>
    <row r="3" spans="1:22" x14ac:dyDescent="0.3">
      <c r="A3" s="200"/>
      <c r="B3" s="200"/>
      <c r="C3" s="200"/>
      <c r="D3" s="200"/>
      <c r="E3" s="200"/>
      <c r="F3" s="200"/>
      <c r="G3" s="200"/>
      <c r="H3" s="200"/>
      <c r="I3" s="200"/>
      <c r="J3" s="200"/>
      <c r="K3" s="200"/>
      <c r="L3" s="200"/>
      <c r="M3" s="200"/>
      <c r="N3" s="200"/>
      <c r="O3" s="200"/>
      <c r="P3" s="200"/>
      <c r="Q3" s="200"/>
      <c r="R3" s="200"/>
      <c r="S3" s="200"/>
      <c r="T3" s="200"/>
      <c r="U3" s="200"/>
      <c r="V3" s="200"/>
    </row>
    <row r="4" spans="1:22" ht="35.25" customHeight="1" x14ac:dyDescent="0.3">
      <c r="A4" s="490" t="s">
        <v>226</v>
      </c>
      <c r="B4" s="490"/>
      <c r="C4" s="490"/>
      <c r="D4" s="494" t="str">
        <f>'Mapa de Riesgos'!D4</f>
        <v>PLANEACIÓN INSTITUCIONAL</v>
      </c>
      <c r="E4" s="494"/>
      <c r="F4" s="494"/>
      <c r="G4" s="494"/>
      <c r="H4" s="494"/>
      <c r="I4" s="494"/>
      <c r="J4" s="494"/>
      <c r="K4" s="491" t="s">
        <v>227</v>
      </c>
      <c r="L4" s="491"/>
      <c r="M4" s="492">
        <v>2024</v>
      </c>
      <c r="N4" s="492"/>
      <c r="O4" s="492"/>
      <c r="P4" s="492"/>
      <c r="Q4" s="492"/>
      <c r="R4" s="492"/>
      <c r="S4" s="492"/>
      <c r="T4" s="492"/>
      <c r="U4" s="492"/>
      <c r="V4" s="492"/>
    </row>
    <row r="5" spans="1:22" ht="35.25" customHeight="1" x14ac:dyDescent="0.3">
      <c r="A5" s="490" t="s">
        <v>228</v>
      </c>
      <c r="B5" s="490"/>
      <c r="C5" s="490"/>
      <c r="D5" s="494" t="str">
        <f>'Mapa de Riesgos'!D5</f>
        <v>Oficina de Planeación</v>
      </c>
      <c r="E5" s="494"/>
      <c r="F5" s="494"/>
      <c r="G5" s="494"/>
      <c r="H5" s="494"/>
      <c r="I5" s="494"/>
      <c r="J5" s="494"/>
      <c r="K5" s="491" t="s">
        <v>230</v>
      </c>
      <c r="L5" s="491"/>
      <c r="M5" s="633" t="s">
        <v>507</v>
      </c>
      <c r="N5" s="633"/>
      <c r="O5" s="633"/>
      <c r="P5" s="633"/>
      <c r="Q5" s="633"/>
      <c r="R5" s="633"/>
      <c r="S5" s="633"/>
      <c r="T5" s="633"/>
      <c r="U5" s="633"/>
      <c r="V5" s="633"/>
    </row>
    <row r="6" spans="1:22" ht="17.25" thickBot="1" x14ac:dyDescent="0.35">
      <c r="A6" s="555"/>
      <c r="B6" s="555"/>
      <c r="C6" s="555"/>
      <c r="D6" s="555"/>
      <c r="E6" s="555"/>
      <c r="F6" s="555"/>
      <c r="G6" s="555"/>
      <c r="H6" s="555"/>
      <c r="I6" s="555"/>
      <c r="J6" s="555"/>
      <c r="K6" s="555"/>
      <c r="L6" s="555"/>
      <c r="M6" s="555"/>
      <c r="N6" s="555"/>
      <c r="O6" s="555"/>
      <c r="P6" s="555"/>
      <c r="Q6" s="555"/>
      <c r="R6" s="555"/>
      <c r="S6" s="555"/>
      <c r="T6" s="555"/>
      <c r="U6" s="555"/>
      <c r="V6" s="555"/>
    </row>
    <row r="7" spans="1:22" ht="49.5" customHeight="1" thickBot="1" x14ac:dyDescent="0.35">
      <c r="A7" s="575" t="str">
        <f>'Mapa de Riesgos'!A7</f>
        <v>IDENTIFICACIÓN DEL RIESGO</v>
      </c>
      <c r="B7" s="576"/>
      <c r="C7" s="576"/>
      <c r="D7" s="576"/>
      <c r="E7" s="576"/>
      <c r="F7" s="576"/>
      <c r="G7" s="602"/>
      <c r="H7" s="618" t="str">
        <f>'Plan de Acción'!R7</f>
        <v>PLAN DE ACCIÓN</v>
      </c>
      <c r="I7" s="619"/>
      <c r="J7" s="620"/>
      <c r="K7" s="621" t="s">
        <v>330</v>
      </c>
      <c r="L7" s="622"/>
      <c r="M7" s="622"/>
      <c r="N7" s="622"/>
      <c r="O7" s="622"/>
      <c r="P7" s="622"/>
      <c r="Q7" s="622"/>
      <c r="R7" s="622"/>
      <c r="S7" s="622"/>
      <c r="T7" s="622"/>
      <c r="U7" s="622"/>
      <c r="V7" s="623"/>
    </row>
    <row r="8" spans="1:22" ht="40.5" customHeight="1" x14ac:dyDescent="0.3">
      <c r="A8" s="603" t="str">
        <f>'Mapa de Riesgos'!A8</f>
        <v>No. Riesgo</v>
      </c>
      <c r="B8" s="605" t="str">
        <f>'Mapa de Riesgos'!B8</f>
        <v>Categoría del Riesgo</v>
      </c>
      <c r="C8" s="605" t="str">
        <f>'Mapa de Riesgos'!C8</f>
        <v>Clasificación del Riesgo</v>
      </c>
      <c r="D8" s="605" t="str">
        <f>'Mapa de Riesgos'!D8</f>
        <v>Descripción del Riesgo</v>
      </c>
      <c r="E8" s="592" t="str">
        <f>'Mapa de Riesgos'!E8</f>
        <v>Factores</v>
      </c>
      <c r="F8" s="605" t="str">
        <f>'Mapa de Riesgos'!F8</f>
        <v>Causas</v>
      </c>
      <c r="G8" s="610" t="str">
        <f>'Mapa de Riesgos'!G8</f>
        <v>Consecuencias</v>
      </c>
      <c r="H8" s="624" t="str">
        <f>'Plan de Acción'!R8</f>
        <v>Acciones</v>
      </c>
      <c r="I8" s="625" t="str">
        <f>'Plan de Acción'!S8</f>
        <v>Responsable</v>
      </c>
      <c r="J8" s="626" t="str">
        <f>'Plan de Acción'!T8</f>
        <v>Periodicidad</v>
      </c>
      <c r="K8" s="606" t="s">
        <v>331</v>
      </c>
      <c r="L8" s="608"/>
      <c r="M8" s="608"/>
      <c r="N8" s="609"/>
      <c r="O8" s="606" t="s">
        <v>332</v>
      </c>
      <c r="P8" s="607"/>
      <c r="Q8" s="608"/>
      <c r="R8" s="609"/>
      <c r="S8" s="606" t="s">
        <v>333</v>
      </c>
      <c r="T8" s="607"/>
      <c r="U8" s="608"/>
      <c r="V8" s="609"/>
    </row>
    <row r="9" spans="1:22" s="183" customFormat="1" ht="59.25" customHeight="1" thickBot="1" x14ac:dyDescent="0.3">
      <c r="A9" s="604"/>
      <c r="B9" s="511"/>
      <c r="C9" s="511"/>
      <c r="D9" s="511"/>
      <c r="E9" s="586"/>
      <c r="F9" s="511"/>
      <c r="G9" s="611"/>
      <c r="H9" s="589"/>
      <c r="I9" s="585"/>
      <c r="J9" s="587"/>
      <c r="K9" s="188" t="s">
        <v>334</v>
      </c>
      <c r="L9" s="186" t="s">
        <v>335</v>
      </c>
      <c r="M9" s="186" t="s">
        <v>336</v>
      </c>
      <c r="N9" s="187" t="s">
        <v>172</v>
      </c>
      <c r="O9" s="188" t="s">
        <v>334</v>
      </c>
      <c r="P9" s="186" t="s">
        <v>335</v>
      </c>
      <c r="Q9" s="186" t="s">
        <v>336</v>
      </c>
      <c r="R9" s="187" t="s">
        <v>172</v>
      </c>
      <c r="S9" s="188" t="s">
        <v>334</v>
      </c>
      <c r="T9" s="186" t="s">
        <v>335</v>
      </c>
      <c r="U9" s="186" t="s">
        <v>336</v>
      </c>
      <c r="V9" s="187" t="s">
        <v>172</v>
      </c>
    </row>
    <row r="10" spans="1:22" s="2" customFormat="1" ht="96" customHeight="1" x14ac:dyDescent="0.25">
      <c r="A10" s="596">
        <f>'Mapa de Riesgos'!A10</f>
        <v>1</v>
      </c>
      <c r="B10" s="598" t="str">
        <f>'Mapa de Riesgos'!B10</f>
        <v>GESTIÓN</v>
      </c>
      <c r="C10" s="598" t="str">
        <f>'Mapa de Riesgos'!C10</f>
        <v>Ejecución y Administración de procesos</v>
      </c>
      <c r="D10" s="600" t="str">
        <f>'Mapa de Riesgos'!D10</f>
        <v>Ejecución parcial de las metas establecidas en los indicadores de los Planes de Acción Anuales del Plan Estratégico de Desarrollo Institucional de la Oficina de Planeación.</v>
      </c>
      <c r="E10" s="250" t="str">
        <f>'Mapa de Riesgos'!E10</f>
        <v>Factores Internos (Debilidades)</v>
      </c>
      <c r="F10" s="307" t="str">
        <f>'Mapa de Riesgos'!F10</f>
        <v>1. Recursos insuficientes para la ejecución de los indicadores y actividades planeadas.</v>
      </c>
      <c r="G10" s="308" t="str">
        <f>'Mapa de Riesgos'!G10</f>
        <v>1. Incumplimiento de la gestión  del proceso y de la institución.</v>
      </c>
      <c r="H10" s="309" t="str">
        <f>'Plan de Acción'!R10</f>
        <v>Realizar seguimiento al cumplimiento de lo establecido en los cronogramas.</v>
      </c>
      <c r="I10" s="240" t="str">
        <f>'Plan de Acción'!S10</f>
        <v>Oficina de Planeación</v>
      </c>
      <c r="J10" s="252" t="str">
        <f>'Plan de Acción'!T10</f>
        <v>Según corresponda</v>
      </c>
      <c r="K10" s="637" t="s">
        <v>111</v>
      </c>
      <c r="L10" s="288" t="s">
        <v>337</v>
      </c>
      <c r="M10" s="320" t="s">
        <v>338</v>
      </c>
      <c r="N10" s="254" t="s">
        <v>339</v>
      </c>
      <c r="O10" s="637" t="s">
        <v>111</v>
      </c>
      <c r="P10" s="317" t="s">
        <v>340</v>
      </c>
      <c r="Q10" s="320" t="s">
        <v>341</v>
      </c>
      <c r="R10" s="254" t="s">
        <v>339</v>
      </c>
      <c r="S10" s="637" t="s">
        <v>111</v>
      </c>
      <c r="T10" s="316" t="s">
        <v>342</v>
      </c>
      <c r="U10" s="314" t="s">
        <v>341</v>
      </c>
      <c r="V10" s="254" t="s">
        <v>339</v>
      </c>
    </row>
    <row r="11" spans="1:22" s="2" customFormat="1" ht="91.5" customHeight="1" x14ac:dyDescent="0.25">
      <c r="A11" s="596"/>
      <c r="B11" s="598"/>
      <c r="C11" s="598"/>
      <c r="D11" s="600"/>
      <c r="E11" s="250" t="str">
        <f>'Mapa de Riesgos'!E11</f>
        <v>Factores Internos (Debilidades)</v>
      </c>
      <c r="F11" s="307" t="str">
        <f>'Mapa de Riesgos'!F11</f>
        <v xml:space="preserve">2. Cambio constante de políticas y directrices institucionales. </v>
      </c>
      <c r="G11" s="308" t="str">
        <f>'Mapa de Riesgos'!G11</f>
        <v>2. Inconformismo de las partes interesadas.</v>
      </c>
      <c r="H11" s="325" t="str">
        <f>'Plan de Acción'!R11</f>
        <v>Realizar seguimiento al cumplimiento de lo establecido en los cronogramas.</v>
      </c>
      <c r="I11" s="240" t="str">
        <f>'Plan de Acción'!S11</f>
        <v>Oficina de Planeación</v>
      </c>
      <c r="J11" s="252" t="str">
        <f>'Plan de Acción'!T11</f>
        <v>Según corresponda</v>
      </c>
      <c r="K11" s="638"/>
      <c r="L11" s="286" t="s">
        <v>343</v>
      </c>
      <c r="M11" s="320" t="s">
        <v>338</v>
      </c>
      <c r="N11" s="254" t="s">
        <v>344</v>
      </c>
      <c r="O11" s="638"/>
      <c r="P11" s="317" t="s">
        <v>345</v>
      </c>
      <c r="Q11" s="320" t="s">
        <v>346</v>
      </c>
      <c r="R11" s="254" t="s">
        <v>344</v>
      </c>
      <c r="S11" s="638"/>
      <c r="T11" s="316" t="s">
        <v>347</v>
      </c>
      <c r="U11" s="320" t="s">
        <v>348</v>
      </c>
      <c r="V11" s="254" t="s">
        <v>339</v>
      </c>
    </row>
    <row r="12" spans="1:22" s="2" customFormat="1" ht="88.5" customHeight="1" x14ac:dyDescent="0.25">
      <c r="A12" s="630"/>
      <c r="B12" s="631"/>
      <c r="C12" s="631"/>
      <c r="D12" s="632"/>
      <c r="E12" s="250" t="str">
        <f>'Mapa de Riesgos'!E12</f>
        <v>Factores Internos (Debilidades)</v>
      </c>
      <c r="F12" s="307" t="str">
        <f>'Mapa de Riesgos'!F12</f>
        <v xml:space="preserve">3. Inadecuada planificación de las actividades que conlleven al cumplimiento de las metas. </v>
      </c>
      <c r="G12" s="308" t="str">
        <f>'Mapa de Riesgos'!G12</f>
        <v>3. Insatisfacción de los usuarios.</v>
      </c>
      <c r="H12" s="325">
        <f>'Plan de Acción'!R12</f>
        <v>0</v>
      </c>
      <c r="I12" s="240">
        <f>'Plan de Acción'!S12</f>
        <v>0</v>
      </c>
      <c r="J12" s="252">
        <f>'Plan de Acción'!T12</f>
        <v>0</v>
      </c>
      <c r="K12" s="638"/>
      <c r="L12" s="315"/>
      <c r="M12" s="315"/>
      <c r="N12" s="257"/>
      <c r="O12" s="638"/>
      <c r="P12" s="317"/>
      <c r="Q12" s="321"/>
      <c r="R12" s="257"/>
      <c r="S12" s="638"/>
      <c r="T12" s="313"/>
      <c r="U12" s="315"/>
      <c r="V12" s="257"/>
    </row>
    <row r="13" spans="1:22" s="2" customFormat="1" ht="61.5" customHeight="1" x14ac:dyDescent="0.25">
      <c r="A13" s="630"/>
      <c r="B13" s="631"/>
      <c r="C13" s="631"/>
      <c r="D13" s="632"/>
      <c r="E13" s="250">
        <f>'Mapa de Riesgos'!E13</f>
        <v>0</v>
      </c>
      <c r="F13" s="307">
        <f>'Mapa de Riesgos'!F13</f>
        <v>0</v>
      </c>
      <c r="G13" s="308" t="str">
        <f>'Mapa de Riesgos'!G13</f>
        <v>4. Resultados negativos en la evaluación de la gestión.</v>
      </c>
      <c r="H13" s="309">
        <f>'Plan de Acción'!R13</f>
        <v>0</v>
      </c>
      <c r="I13" s="240">
        <f>'Plan de Acción'!S13</f>
        <v>0</v>
      </c>
      <c r="J13" s="252">
        <f>'Plan de Acción'!T13</f>
        <v>0</v>
      </c>
      <c r="K13" s="638"/>
      <c r="L13" s="315"/>
      <c r="M13" s="315"/>
      <c r="N13" s="257"/>
      <c r="O13" s="638"/>
      <c r="P13" s="315"/>
      <c r="Q13" s="315"/>
      <c r="R13" s="257"/>
      <c r="S13" s="638"/>
      <c r="T13" s="258"/>
      <c r="U13" s="256"/>
      <c r="V13" s="257"/>
    </row>
    <row r="14" spans="1:22" s="2" customFormat="1" x14ac:dyDescent="0.25">
      <c r="A14" s="630"/>
      <c r="B14" s="631"/>
      <c r="C14" s="631"/>
      <c r="D14" s="632"/>
      <c r="E14" s="250">
        <f>'Mapa de Riesgos'!E14</f>
        <v>0</v>
      </c>
      <c r="F14" s="307">
        <f>'Mapa de Riesgos'!F14</f>
        <v>0</v>
      </c>
      <c r="G14" s="308">
        <f>'Mapa de Riesgos'!G14</f>
        <v>0</v>
      </c>
      <c r="H14" s="309">
        <f>'Plan de Acción'!R14</f>
        <v>0</v>
      </c>
      <c r="I14" s="240">
        <f>'Plan de Acción'!S14</f>
        <v>0</v>
      </c>
      <c r="J14" s="252">
        <f>'Plan de Acción'!T14</f>
        <v>0</v>
      </c>
      <c r="K14" s="638"/>
      <c r="L14" s="315"/>
      <c r="M14" s="315"/>
      <c r="N14" s="257"/>
      <c r="O14" s="638"/>
      <c r="P14" s="315"/>
      <c r="Q14" s="315"/>
      <c r="R14" s="257"/>
      <c r="S14" s="638"/>
      <c r="T14" s="258"/>
      <c r="U14" s="256"/>
      <c r="V14" s="257"/>
    </row>
    <row r="15" spans="1:22" s="2" customFormat="1" ht="42" customHeight="1" x14ac:dyDescent="0.25">
      <c r="A15" s="630"/>
      <c r="B15" s="631"/>
      <c r="C15" s="631"/>
      <c r="D15" s="632"/>
      <c r="E15" s="250">
        <f>'Mapa de Riesgos'!E15</f>
        <v>0</v>
      </c>
      <c r="F15" s="307">
        <f>'Mapa de Riesgos'!F15</f>
        <v>0</v>
      </c>
      <c r="G15" s="308">
        <f>'Mapa de Riesgos'!G15</f>
        <v>0</v>
      </c>
      <c r="H15" s="309">
        <f>'Plan de Acción'!R15</f>
        <v>0</v>
      </c>
      <c r="I15" s="240">
        <f>'Plan de Acción'!S15</f>
        <v>0</v>
      </c>
      <c r="J15" s="252">
        <f>'Plan de Acción'!T15</f>
        <v>0</v>
      </c>
      <c r="K15" s="638"/>
      <c r="L15" s="256"/>
      <c r="M15" s="256"/>
      <c r="N15" s="257"/>
      <c r="O15" s="638"/>
      <c r="P15" s="258"/>
      <c r="Q15" s="256"/>
      <c r="R15" s="257"/>
      <c r="S15" s="638"/>
      <c r="T15" s="258"/>
      <c r="U15" s="256"/>
      <c r="V15" s="257"/>
    </row>
    <row r="16" spans="1:22" s="2" customFormat="1" ht="42" customHeight="1" thickBot="1" x14ac:dyDescent="0.3">
      <c r="A16" s="597"/>
      <c r="B16" s="599"/>
      <c r="C16" s="599"/>
      <c r="D16" s="601"/>
      <c r="E16" s="251">
        <f>'Mapa de Riesgos'!E16</f>
        <v>0</v>
      </c>
      <c r="F16" s="310">
        <f>'Mapa de Riesgos'!F16</f>
        <v>0</v>
      </c>
      <c r="G16" s="311">
        <f>'Mapa de Riesgos'!G16</f>
        <v>0</v>
      </c>
      <c r="H16" s="312">
        <f>'Plan de Acción'!R16</f>
        <v>0</v>
      </c>
      <c r="I16" s="245">
        <f>'Plan de Acción'!S16</f>
        <v>0</v>
      </c>
      <c r="J16" s="259">
        <f>'Plan de Acción'!T16</f>
        <v>0</v>
      </c>
      <c r="K16" s="639"/>
      <c r="L16" s="260"/>
      <c r="M16" s="260"/>
      <c r="N16" s="261"/>
      <c r="O16" s="639"/>
      <c r="P16" s="262"/>
      <c r="Q16" s="260"/>
      <c r="R16" s="261"/>
      <c r="S16" s="639"/>
      <c r="T16" s="262"/>
      <c r="U16" s="260"/>
      <c r="V16" s="261"/>
    </row>
    <row r="17" spans="1:22" s="2" customFormat="1" ht="163.5" customHeight="1" x14ac:dyDescent="0.25">
      <c r="A17" s="612">
        <f>'Mapa de Riesgos'!A17</f>
        <v>2</v>
      </c>
      <c r="B17" s="615" t="str">
        <f>'Mapa de Riesgos'!B17</f>
        <v>GESTIÓN</v>
      </c>
      <c r="C17" s="615" t="str">
        <f>'Mapa de Riesgos'!C17</f>
        <v>Ejecución y Administración de procesos</v>
      </c>
      <c r="D17" s="627" t="str">
        <f>'Mapa de Riesgos'!D17</f>
        <v>Seguimiento inadecuado al cumplimiento de  metas propuestas en los planes de acción.</v>
      </c>
      <c r="E17" s="250" t="str">
        <f>'Mapa de Riesgos'!E17</f>
        <v>Factores Internos (Debilidades)</v>
      </c>
      <c r="F17" s="307" t="str">
        <f>'Mapa de Riesgos'!F17</f>
        <v>1. Inadecuada planificación.</v>
      </c>
      <c r="G17" s="308" t="str">
        <f>'Mapa de Riesgos'!G17</f>
        <v>1. Pérdida de recursos.</v>
      </c>
      <c r="H17" s="309" t="str">
        <f>'Plan de Acción'!R17</f>
        <v xml:space="preserve">Socializar el Plan de Acción anual al interior de las UTS con el fin de dar cumplimiento en las metas establecidas en los indicadores. </v>
      </c>
      <c r="I17" s="240" t="str">
        <f>'Plan de Acción'!S17</f>
        <v>Oficina de Planeación</v>
      </c>
      <c r="J17" s="252" t="str">
        <f>'Plan de Acción'!T17</f>
        <v>Según corresponda</v>
      </c>
      <c r="K17" s="637" t="s">
        <v>111</v>
      </c>
      <c r="L17" s="313" t="s">
        <v>349</v>
      </c>
      <c r="M17" s="314" t="s">
        <v>350</v>
      </c>
      <c r="N17" s="257" t="s">
        <v>339</v>
      </c>
      <c r="O17" s="637" t="s">
        <v>111</v>
      </c>
      <c r="P17" s="317" t="s">
        <v>351</v>
      </c>
      <c r="Q17" s="320" t="s">
        <v>341</v>
      </c>
      <c r="R17" s="257" t="s">
        <v>339</v>
      </c>
      <c r="S17" s="637" t="s">
        <v>111</v>
      </c>
      <c r="T17" s="313" t="s">
        <v>351</v>
      </c>
      <c r="U17" s="334" t="s">
        <v>341</v>
      </c>
      <c r="V17" s="257" t="s">
        <v>339</v>
      </c>
    </row>
    <row r="18" spans="1:22" s="2" customFormat="1" ht="170.25" customHeight="1" x14ac:dyDescent="0.25">
      <c r="A18" s="613"/>
      <c r="B18" s="616"/>
      <c r="C18" s="616"/>
      <c r="D18" s="628"/>
      <c r="E18" s="250" t="str">
        <f>'Mapa de Riesgos'!E18</f>
        <v>Factores Internos (Debilidades)</v>
      </c>
      <c r="F18" s="307" t="str">
        <f>'Mapa de Riesgos'!F18</f>
        <v>2. Revisión inadecuada de la información reportada por los responsables de cada proceso.</v>
      </c>
      <c r="G18" s="308" t="str">
        <f>'Mapa de Riesgos'!G18</f>
        <v>2. Inversión poco eficaz y eficiente de recursos.</v>
      </c>
      <c r="H18" s="309" t="str">
        <f>'Plan de Acción'!R18</f>
        <v>Verificar los reportes realizados por los responsables de los indicadores del plan de acción con las evidencias reportadas.</v>
      </c>
      <c r="I18" s="240" t="str">
        <f>'Plan de Acción'!S18</f>
        <v>Oficina de Planeación</v>
      </c>
      <c r="J18" s="252" t="str">
        <f>'Plan de Acción'!T18</f>
        <v>Según corresponda</v>
      </c>
      <c r="K18" s="638"/>
      <c r="L18" s="313" t="s">
        <v>352</v>
      </c>
      <c r="M18" s="320" t="s">
        <v>353</v>
      </c>
      <c r="N18" s="257" t="s">
        <v>344</v>
      </c>
      <c r="O18" s="638"/>
      <c r="P18" s="315" t="s">
        <v>354</v>
      </c>
      <c r="Q18" s="314" t="s">
        <v>355</v>
      </c>
      <c r="R18" s="257" t="s">
        <v>344</v>
      </c>
      <c r="S18" s="638"/>
      <c r="T18" s="322" t="s">
        <v>356</v>
      </c>
      <c r="U18" s="335" t="s">
        <v>357</v>
      </c>
      <c r="V18" s="323" t="s">
        <v>339</v>
      </c>
    </row>
    <row r="19" spans="1:22" s="2" customFormat="1" ht="44.25" customHeight="1" x14ac:dyDescent="0.25">
      <c r="A19" s="613"/>
      <c r="B19" s="616"/>
      <c r="C19" s="616"/>
      <c r="D19" s="628"/>
      <c r="E19" s="250" t="str">
        <f>'Mapa de Riesgos'!E19</f>
        <v>Factores Internos (Debilidades)</v>
      </c>
      <c r="F19" s="307" t="str">
        <f>'Mapa de Riesgos'!F19</f>
        <v>3. Falta de recursos.</v>
      </c>
      <c r="G19" s="308" t="str">
        <f>'Mapa de Riesgos'!G19</f>
        <v>3. Pérdida de imagen institucional.</v>
      </c>
      <c r="H19" s="309">
        <f>'Plan de Acción'!R19</f>
        <v>0</v>
      </c>
      <c r="I19" s="240">
        <f>'Plan de Acción'!S19</f>
        <v>0</v>
      </c>
      <c r="J19" s="252">
        <f>'Plan de Acción'!T19</f>
        <v>0</v>
      </c>
      <c r="K19" s="638"/>
      <c r="L19" s="315"/>
      <c r="M19" s="315"/>
      <c r="N19" s="257"/>
      <c r="O19" s="638"/>
      <c r="P19" s="258"/>
      <c r="Q19" s="256"/>
      <c r="R19" s="257"/>
      <c r="S19" s="638"/>
      <c r="T19" s="258"/>
      <c r="U19" s="256"/>
      <c r="V19" s="257"/>
    </row>
    <row r="20" spans="1:22" s="2" customFormat="1" ht="44.25" customHeight="1" x14ac:dyDescent="0.25">
      <c r="A20" s="613"/>
      <c r="B20" s="616"/>
      <c r="C20" s="616"/>
      <c r="D20" s="628"/>
      <c r="E20" s="250">
        <f>'Mapa de Riesgos'!E20</f>
        <v>0</v>
      </c>
      <c r="F20" s="307" t="str">
        <f>'Mapa de Riesgos'!F20</f>
        <v>4. Entrega de información incompleta e inoportuna por parte de los responsables de cada proceso.</v>
      </c>
      <c r="G20" s="308" t="str">
        <f>'Mapa de Riesgos'!G20</f>
        <v>4. Imposibilidad de mejoras por parte de los procesos.</v>
      </c>
      <c r="H20" s="309">
        <f>'Plan de Acción'!R20</f>
        <v>0</v>
      </c>
      <c r="I20" s="240">
        <f>'Plan de Acción'!S20</f>
        <v>0</v>
      </c>
      <c r="J20" s="252">
        <f>'Plan de Acción'!T20</f>
        <v>0</v>
      </c>
      <c r="K20" s="638"/>
      <c r="L20" s="316"/>
      <c r="M20" s="317"/>
      <c r="N20" s="254"/>
      <c r="O20" s="638"/>
      <c r="P20" s="255"/>
      <c r="Q20" s="253"/>
      <c r="R20" s="254"/>
      <c r="S20" s="638"/>
      <c r="T20" s="255"/>
      <c r="U20" s="253"/>
      <c r="V20" s="254"/>
    </row>
    <row r="21" spans="1:22" s="2" customFormat="1" ht="44.25" customHeight="1" x14ac:dyDescent="0.25">
      <c r="A21" s="613"/>
      <c r="B21" s="616"/>
      <c r="C21" s="616"/>
      <c r="D21" s="628"/>
      <c r="E21" s="250">
        <f>'Mapa de Riesgos'!E21</f>
        <v>0</v>
      </c>
      <c r="F21" s="307">
        <f>'Mapa de Riesgos'!F21</f>
        <v>0</v>
      </c>
      <c r="G21" s="308" t="str">
        <f>'Mapa de Riesgos'!G21</f>
        <v>5. Pérdida de visibilidad regional y nacional.</v>
      </c>
      <c r="H21" s="309">
        <f>'Plan de Acción'!R21</f>
        <v>0</v>
      </c>
      <c r="I21" s="240">
        <f>'Plan de Acción'!S21</f>
        <v>0</v>
      </c>
      <c r="J21" s="252">
        <f>'Plan de Acción'!T21</f>
        <v>0</v>
      </c>
      <c r="K21" s="638"/>
      <c r="L21" s="316"/>
      <c r="M21" s="317"/>
      <c r="N21" s="254"/>
      <c r="O21" s="638"/>
      <c r="P21" s="255"/>
      <c r="Q21" s="253"/>
      <c r="R21" s="254"/>
      <c r="S21" s="638"/>
      <c r="T21" s="255"/>
      <c r="U21" s="253"/>
      <c r="V21" s="254"/>
    </row>
    <row r="22" spans="1:22" s="2" customFormat="1" ht="44.25" customHeight="1" thickBot="1" x14ac:dyDescent="0.3">
      <c r="A22" s="614"/>
      <c r="B22" s="617"/>
      <c r="C22" s="617"/>
      <c r="D22" s="629"/>
      <c r="E22" s="251">
        <f>'Mapa de Riesgos'!E22</f>
        <v>0</v>
      </c>
      <c r="F22" s="310">
        <f>'Mapa de Riesgos'!F22</f>
        <v>0</v>
      </c>
      <c r="G22" s="311" t="str">
        <f>'Mapa de Riesgos'!G22</f>
        <v xml:space="preserve">6. Investigaciones administrativas por entes de control. </v>
      </c>
      <c r="H22" s="312">
        <f>'Plan de Acción'!R22</f>
        <v>0</v>
      </c>
      <c r="I22" s="245">
        <f>'Plan de Acción'!S22</f>
        <v>0</v>
      </c>
      <c r="J22" s="259">
        <f>'Plan de Acción'!T22</f>
        <v>0</v>
      </c>
      <c r="K22" s="639"/>
      <c r="L22" s="318"/>
      <c r="M22" s="319"/>
      <c r="N22" s="261"/>
      <c r="O22" s="639"/>
      <c r="P22" s="262"/>
      <c r="Q22" s="260"/>
      <c r="R22" s="261"/>
      <c r="S22" s="639"/>
      <c r="T22" s="262"/>
      <c r="U22" s="260"/>
      <c r="V22" s="261"/>
    </row>
    <row r="23" spans="1:22" s="2" customFormat="1" ht="111" customHeight="1" x14ac:dyDescent="0.25">
      <c r="A23" s="612">
        <f>'Mapa de Riesgos'!A23</f>
        <v>3</v>
      </c>
      <c r="B23" s="615" t="str">
        <f>'Mapa de Riesgos'!B23</f>
        <v>GESTIÓN</v>
      </c>
      <c r="C23" s="615" t="str">
        <f>'Mapa de Riesgos'!C23</f>
        <v>Ejecución y Administración de procesos</v>
      </c>
      <c r="D23" s="627" t="str">
        <f>'Mapa de Riesgos'!D23</f>
        <v>Revisión inadecuada de los requisitos documentales de formulación y viabilización de los proyectos, por parte del equipo de trabajo del Banco de Proyectos.</v>
      </c>
      <c r="E23" s="250" t="str">
        <f>'Mapa de Riesgos'!E23</f>
        <v>Factores Internos (Debilidades)</v>
      </c>
      <c r="F23" s="307" t="str">
        <f>'Mapa de Riesgos'!F23</f>
        <v>1. Error humano.</v>
      </c>
      <c r="G23" s="308" t="str">
        <f>'Mapa de Riesgos'!G23</f>
        <v>1. Sanciones Disciplinarias y/o penales.</v>
      </c>
      <c r="H23" s="309" t="str">
        <f>'Plan de Acción'!R23</f>
        <v>1. Uso permanente de las listas de verificación documental.</v>
      </c>
      <c r="I23" s="240" t="str">
        <f>'Plan de Acción'!S23</f>
        <v>Oficina de Planeación</v>
      </c>
      <c r="J23" s="252" t="str">
        <f>'Plan de Acción'!T23</f>
        <v>Según corresponda</v>
      </c>
      <c r="K23" s="637" t="s">
        <v>111</v>
      </c>
      <c r="L23" s="336" t="s">
        <v>358</v>
      </c>
      <c r="M23" s="337" t="s">
        <v>359</v>
      </c>
      <c r="N23" s="257" t="s">
        <v>344</v>
      </c>
      <c r="O23" s="637" t="s">
        <v>111</v>
      </c>
      <c r="P23" s="336" t="s">
        <v>360</v>
      </c>
      <c r="Q23" s="337" t="s">
        <v>359</v>
      </c>
      <c r="R23" s="257" t="s">
        <v>344</v>
      </c>
      <c r="S23" s="637"/>
      <c r="T23" s="336" t="s">
        <v>361</v>
      </c>
      <c r="U23" s="315" t="s">
        <v>359</v>
      </c>
      <c r="V23" s="257" t="s">
        <v>339</v>
      </c>
    </row>
    <row r="24" spans="1:22" s="2" customFormat="1" ht="97.5" customHeight="1" x14ac:dyDescent="0.25">
      <c r="A24" s="613"/>
      <c r="B24" s="616"/>
      <c r="C24" s="616"/>
      <c r="D24" s="628"/>
      <c r="E24" s="250" t="str">
        <f>'Mapa de Riesgos'!E24</f>
        <v>Factores Internos (Debilidades)</v>
      </c>
      <c r="F24" s="307" t="str">
        <f>'Mapa de Riesgos'!F24</f>
        <v>2. Desconocimiento del proceso de revisión de los proyectos.</v>
      </c>
      <c r="G24" s="308" t="str">
        <f>'Mapa de Riesgos'!G24</f>
        <v>2. Demoras en las etapas de elaboración del proyecto y contractual.</v>
      </c>
      <c r="H24" s="309">
        <f>'Plan de Acción'!R24</f>
        <v>0</v>
      </c>
      <c r="I24" s="240">
        <f>'Plan de Acción'!S24</f>
        <v>0</v>
      </c>
      <c r="J24" s="252">
        <f>'Plan de Acción'!T24</f>
        <v>0</v>
      </c>
      <c r="K24" s="638"/>
      <c r="L24" s="336" t="s">
        <v>362</v>
      </c>
      <c r="M24" s="338" t="s">
        <v>363</v>
      </c>
      <c r="N24" s="257" t="s">
        <v>339</v>
      </c>
      <c r="O24" s="638"/>
      <c r="P24" s="336" t="s">
        <v>364</v>
      </c>
      <c r="Q24" s="338" t="s">
        <v>363</v>
      </c>
      <c r="R24" s="257" t="s">
        <v>339</v>
      </c>
      <c r="S24" s="638"/>
      <c r="T24" s="313" t="s">
        <v>365</v>
      </c>
      <c r="U24" s="315" t="s">
        <v>363</v>
      </c>
      <c r="V24" s="257" t="s">
        <v>339</v>
      </c>
    </row>
    <row r="25" spans="1:22" s="2" customFormat="1" x14ac:dyDescent="0.25">
      <c r="A25" s="613"/>
      <c r="B25" s="616"/>
      <c r="C25" s="616"/>
      <c r="D25" s="628"/>
      <c r="E25" s="250">
        <f>'Mapa de Riesgos'!E25</f>
        <v>0</v>
      </c>
      <c r="F25" s="307">
        <f>'Mapa de Riesgos'!F25</f>
        <v>0</v>
      </c>
      <c r="G25" s="308" t="str">
        <f>'Mapa de Riesgos'!G25</f>
        <v>3. Reprocesos.</v>
      </c>
      <c r="H25" s="309">
        <f>'Plan de Acción'!R25</f>
        <v>0</v>
      </c>
      <c r="I25" s="240">
        <f>'Plan de Acción'!S25</f>
        <v>0</v>
      </c>
      <c r="J25" s="252">
        <f>'Plan de Acción'!T25</f>
        <v>0</v>
      </c>
      <c r="K25" s="638"/>
      <c r="L25" s="258"/>
      <c r="M25" s="256"/>
      <c r="N25" s="257"/>
      <c r="O25" s="638"/>
      <c r="P25" s="258"/>
      <c r="Q25" s="256"/>
      <c r="R25" s="257"/>
      <c r="S25" s="638"/>
      <c r="T25" s="258"/>
      <c r="U25" s="256"/>
      <c r="V25" s="257"/>
    </row>
    <row r="26" spans="1:22" s="2" customFormat="1" x14ac:dyDescent="0.25">
      <c r="A26" s="613"/>
      <c r="B26" s="616"/>
      <c r="C26" s="616"/>
      <c r="D26" s="628"/>
      <c r="E26" s="250">
        <f>'Mapa de Riesgos'!E26</f>
        <v>0</v>
      </c>
      <c r="F26" s="307">
        <f>'Mapa de Riesgos'!F26</f>
        <v>0</v>
      </c>
      <c r="G26" s="308" t="str">
        <f>'Mapa de Riesgos'!G26</f>
        <v>4. Hallazgos en auditorías.</v>
      </c>
      <c r="H26" s="309">
        <f>'Plan de Acción'!R26</f>
        <v>0</v>
      </c>
      <c r="I26" s="240">
        <f>'Plan de Acción'!S26</f>
        <v>0</v>
      </c>
      <c r="J26" s="252">
        <f>'Plan de Acción'!T26</f>
        <v>0</v>
      </c>
      <c r="K26" s="638"/>
      <c r="L26" s="258"/>
      <c r="M26" s="253"/>
      <c r="N26" s="254"/>
      <c r="O26" s="638"/>
      <c r="P26" s="255"/>
      <c r="Q26" s="253"/>
      <c r="R26" s="254"/>
      <c r="S26" s="638"/>
      <c r="T26" s="255"/>
      <c r="U26" s="253"/>
      <c r="V26" s="254"/>
    </row>
    <row r="27" spans="1:22" s="2" customFormat="1" x14ac:dyDescent="0.25">
      <c r="A27" s="613"/>
      <c r="B27" s="616"/>
      <c r="C27" s="616"/>
      <c r="D27" s="628"/>
      <c r="E27" s="250">
        <f>'Mapa de Riesgos'!E27</f>
        <v>0</v>
      </c>
      <c r="F27" s="307">
        <f>'Mapa de Riesgos'!F27</f>
        <v>0</v>
      </c>
      <c r="G27" s="308">
        <f>'Mapa de Riesgos'!G27</f>
        <v>0</v>
      </c>
      <c r="H27" s="309">
        <f>'Plan de Acción'!R27</f>
        <v>0</v>
      </c>
      <c r="I27" s="240">
        <f>'Plan de Acción'!S27</f>
        <v>0</v>
      </c>
      <c r="J27" s="252">
        <f>'Plan de Acción'!T27</f>
        <v>0</v>
      </c>
      <c r="K27" s="638"/>
      <c r="L27" s="255"/>
      <c r="M27" s="253"/>
      <c r="N27" s="254"/>
      <c r="O27" s="638"/>
      <c r="P27" s="255"/>
      <c r="Q27" s="253"/>
      <c r="R27" s="254"/>
      <c r="S27" s="638"/>
      <c r="T27" s="255"/>
      <c r="U27" s="253"/>
      <c r="V27" s="254"/>
    </row>
    <row r="28" spans="1:22" s="2" customFormat="1" ht="17.25" thickBot="1" x14ac:dyDescent="0.3">
      <c r="A28" s="614"/>
      <c r="B28" s="617"/>
      <c r="C28" s="617"/>
      <c r="D28" s="629"/>
      <c r="E28" s="251">
        <f>'Mapa de Riesgos'!E28</f>
        <v>0</v>
      </c>
      <c r="F28" s="310">
        <f>'Mapa de Riesgos'!F28</f>
        <v>0</v>
      </c>
      <c r="G28" s="311">
        <f>'Mapa de Riesgos'!G28</f>
        <v>0</v>
      </c>
      <c r="H28" s="312">
        <f>'Plan de Acción'!R28</f>
        <v>0</v>
      </c>
      <c r="I28" s="245">
        <f>'Plan de Acción'!S28</f>
        <v>0</v>
      </c>
      <c r="J28" s="259">
        <f>'Plan de Acción'!T28</f>
        <v>0</v>
      </c>
      <c r="K28" s="639"/>
      <c r="L28" s="262"/>
      <c r="M28" s="260"/>
      <c r="N28" s="261"/>
      <c r="O28" s="639"/>
      <c r="P28" s="262"/>
      <c r="Q28" s="260"/>
      <c r="R28" s="261"/>
      <c r="S28" s="639"/>
      <c r="T28" s="262"/>
      <c r="U28" s="260"/>
      <c r="V28" s="261"/>
    </row>
    <row r="29" spans="1:22" s="2" customFormat="1" ht="99" customHeight="1" x14ac:dyDescent="0.25">
      <c r="A29" s="612">
        <f>'Mapa de Riesgos'!A29</f>
        <v>4</v>
      </c>
      <c r="B29" s="615" t="str">
        <f>'Mapa de Riesgos'!B29</f>
        <v>SEGURIDAD DE LA INFORMACIÓN</v>
      </c>
      <c r="C29" s="615" t="str">
        <f>'Mapa de Riesgos'!C29</f>
        <v>Usuarios, productos y practicas , organizacionales</v>
      </c>
      <c r="D29" s="627" t="str">
        <f>'Mapa de Riesgos'!D29</f>
        <v>Daño en activos de información: comunicaciones, informes, estadísticas, registros, entre otros.</v>
      </c>
      <c r="E29" s="250" t="str">
        <f>'Mapa de Riesgos'!E29</f>
        <v>Factores Internos (Debilidades)</v>
      </c>
      <c r="F29" s="307" t="str">
        <f>'Mapa de Riesgos'!F29</f>
        <v>1. Uso mal intencionado de la información contenida en los equipos de cómputo y en el correo institucional de la Oficina de Planeación, por parte de usuarios de la información o piratas informáticos.</v>
      </c>
      <c r="G29" s="308" t="str">
        <f>'Mapa de Riesgos'!G29</f>
        <v>1. Pérdida de información de la institución y del proceso de Planeación</v>
      </c>
      <c r="H29" s="309" t="str">
        <f>'Plan de Acción'!R29</f>
        <v>1. Almacenar la información en el ONE DRIVE de la Oficina de Planeación según Tablas de Retención Documental.</v>
      </c>
      <c r="I29" s="240" t="str">
        <f>'Plan de Acción'!S29</f>
        <v>Oficina de Planeación</v>
      </c>
      <c r="J29" s="252" t="str">
        <f>'Plan de Acción'!T29</f>
        <v>Según corresponda</v>
      </c>
      <c r="K29" s="637" t="s">
        <v>111</v>
      </c>
      <c r="L29" s="313" t="s">
        <v>366</v>
      </c>
      <c r="M29" s="314" t="s">
        <v>367</v>
      </c>
      <c r="N29" s="257" t="s">
        <v>344</v>
      </c>
      <c r="O29" s="637" t="s">
        <v>111</v>
      </c>
      <c r="P29" s="313" t="s">
        <v>366</v>
      </c>
      <c r="Q29" s="314" t="s">
        <v>367</v>
      </c>
      <c r="R29" s="257" t="s">
        <v>344</v>
      </c>
      <c r="S29" s="637" t="s">
        <v>111</v>
      </c>
      <c r="T29" s="313" t="s">
        <v>366</v>
      </c>
      <c r="U29" s="315" t="s">
        <v>367</v>
      </c>
      <c r="V29" s="257" t="s">
        <v>339</v>
      </c>
    </row>
    <row r="30" spans="1:22" s="2" customFormat="1" ht="49.5" x14ac:dyDescent="0.25">
      <c r="A30" s="613"/>
      <c r="B30" s="616"/>
      <c r="C30" s="616"/>
      <c r="D30" s="628"/>
      <c r="E30" s="250" t="str">
        <f>'Mapa de Riesgos'!E30</f>
        <v>Factores Internos (Debilidades)</v>
      </c>
      <c r="F30" s="307" t="str">
        <f>'Mapa de Riesgos'!F30</f>
        <v>2. Inadecuado manejo de contraseñas y datos de acceso al correo electrónico y medios de almacenamiento de información de la Oficina de Planeación.</v>
      </c>
      <c r="G30" s="308" t="str">
        <f>'Mapa de Riesgos'!G30</f>
        <v>2. Reproceso en la recopilación de la información</v>
      </c>
      <c r="H30" s="309">
        <f>'Plan de Acción'!R30</f>
        <v>0</v>
      </c>
      <c r="I30" s="240">
        <f>'Plan de Acción'!S30</f>
        <v>0</v>
      </c>
      <c r="J30" s="252">
        <f>'Plan de Acción'!T30</f>
        <v>0</v>
      </c>
      <c r="K30" s="638"/>
      <c r="L30" s="258"/>
      <c r="M30" s="256"/>
      <c r="N30" s="257"/>
      <c r="O30" s="638"/>
      <c r="P30" s="258"/>
      <c r="Q30" s="256"/>
      <c r="R30" s="257"/>
      <c r="S30" s="638"/>
      <c r="T30" s="258"/>
      <c r="U30" s="256"/>
      <c r="V30" s="257"/>
    </row>
    <row r="31" spans="1:22" s="2" customFormat="1" ht="33" x14ac:dyDescent="0.25">
      <c r="A31" s="613"/>
      <c r="B31" s="616"/>
      <c r="C31" s="616"/>
      <c r="D31" s="628"/>
      <c r="E31" s="250">
        <f>'Mapa de Riesgos'!E31</f>
        <v>0</v>
      </c>
      <c r="F31" s="307">
        <f>'Mapa de Riesgos'!F31</f>
        <v>0</v>
      </c>
      <c r="G31" s="308" t="str">
        <f>'Mapa de Riesgos'!G31</f>
        <v>3. Afectación de la imagen institucional</v>
      </c>
      <c r="H31" s="309">
        <f>'Plan de Acción'!R31</f>
        <v>0</v>
      </c>
      <c r="I31" s="240">
        <f>'Plan de Acción'!S31</f>
        <v>0</v>
      </c>
      <c r="J31" s="252">
        <f>'Plan de Acción'!T31</f>
        <v>0</v>
      </c>
      <c r="K31" s="638"/>
      <c r="L31" s="258"/>
      <c r="M31" s="256"/>
      <c r="N31" s="257"/>
      <c r="O31" s="638"/>
      <c r="P31" s="258"/>
      <c r="Q31" s="256"/>
      <c r="R31" s="257"/>
      <c r="S31" s="638"/>
      <c r="T31" s="258"/>
      <c r="U31" s="256"/>
      <c r="V31" s="257"/>
    </row>
    <row r="32" spans="1:22" s="2" customFormat="1" ht="40.5" customHeight="1" x14ac:dyDescent="0.25">
      <c r="A32" s="613"/>
      <c r="B32" s="616"/>
      <c r="C32" s="616"/>
      <c r="D32" s="628"/>
      <c r="E32" s="250">
        <f>'Mapa de Riesgos'!E32</f>
        <v>0</v>
      </c>
      <c r="F32" s="307">
        <f>'Mapa de Riesgos'!F32</f>
        <v>0</v>
      </c>
      <c r="G32" s="308">
        <f>'Mapa de Riesgos'!G32</f>
        <v>0</v>
      </c>
      <c r="H32" s="309">
        <f>'Plan de Acción'!R32</f>
        <v>0</v>
      </c>
      <c r="I32" s="240">
        <f>'Plan de Acción'!S32</f>
        <v>0</v>
      </c>
      <c r="J32" s="252">
        <f>'Plan de Acción'!T32</f>
        <v>0</v>
      </c>
      <c r="K32" s="638"/>
      <c r="L32" s="255"/>
      <c r="M32" s="253"/>
      <c r="N32" s="254"/>
      <c r="O32" s="638"/>
      <c r="P32" s="255"/>
      <c r="Q32" s="253"/>
      <c r="R32" s="254"/>
      <c r="S32" s="638"/>
      <c r="T32" s="255"/>
      <c r="U32" s="253"/>
      <c r="V32" s="254"/>
    </row>
    <row r="33" spans="1:22" s="2" customFormat="1" ht="40.5" customHeight="1" x14ac:dyDescent="0.25">
      <c r="A33" s="613"/>
      <c r="B33" s="616"/>
      <c r="C33" s="616"/>
      <c r="D33" s="628"/>
      <c r="E33" s="250">
        <f>'Mapa de Riesgos'!E33</f>
        <v>0</v>
      </c>
      <c r="F33" s="307">
        <f>'Mapa de Riesgos'!F33</f>
        <v>0</v>
      </c>
      <c r="G33" s="308">
        <f>'Mapa de Riesgos'!G33</f>
        <v>0</v>
      </c>
      <c r="H33" s="309">
        <f>'Plan de Acción'!R33</f>
        <v>0</v>
      </c>
      <c r="I33" s="240">
        <f>'Plan de Acción'!S33</f>
        <v>0</v>
      </c>
      <c r="J33" s="252">
        <f>'Plan de Acción'!T33</f>
        <v>0</v>
      </c>
      <c r="K33" s="638"/>
      <c r="L33" s="255"/>
      <c r="M33" s="253"/>
      <c r="N33" s="254"/>
      <c r="O33" s="638"/>
      <c r="P33" s="255"/>
      <c r="Q33" s="253"/>
      <c r="R33" s="254"/>
      <c r="S33" s="638"/>
      <c r="T33" s="255"/>
      <c r="U33" s="253"/>
      <c r="V33" s="254"/>
    </row>
    <row r="34" spans="1:22" s="2" customFormat="1" ht="40.5" customHeight="1" thickBot="1" x14ac:dyDescent="0.3">
      <c r="A34" s="614"/>
      <c r="B34" s="617"/>
      <c r="C34" s="617"/>
      <c r="D34" s="629"/>
      <c r="E34" s="251">
        <f>'Mapa de Riesgos'!E34</f>
        <v>0</v>
      </c>
      <c r="F34" s="310">
        <f>'Mapa de Riesgos'!F34</f>
        <v>0</v>
      </c>
      <c r="G34" s="311">
        <f>'Mapa de Riesgos'!G34</f>
        <v>0</v>
      </c>
      <c r="H34" s="312">
        <f>'Plan de Acción'!R34</f>
        <v>0</v>
      </c>
      <c r="I34" s="245">
        <f>'Plan de Acción'!S34</f>
        <v>0</v>
      </c>
      <c r="J34" s="259">
        <f>'Plan de Acción'!T34</f>
        <v>0</v>
      </c>
      <c r="K34" s="639"/>
      <c r="L34" s="262"/>
      <c r="M34" s="260"/>
      <c r="N34" s="261"/>
      <c r="O34" s="639"/>
      <c r="P34" s="262"/>
      <c r="Q34" s="260"/>
      <c r="R34" s="261"/>
      <c r="S34" s="639"/>
      <c r="T34" s="262"/>
      <c r="U34" s="260"/>
      <c r="V34" s="261"/>
    </row>
    <row r="35" spans="1:22" s="2" customFormat="1" ht="40.5" customHeight="1" x14ac:dyDescent="0.25">
      <c r="A35" s="612">
        <f>'Mapa de Riesgos'!A35</f>
        <v>6</v>
      </c>
      <c r="B35" s="615">
        <f>'Mapa de Riesgos'!B35</f>
        <v>0</v>
      </c>
      <c r="C35" s="615">
        <f>'Mapa de Riesgos'!C35</f>
        <v>0</v>
      </c>
      <c r="D35" s="627">
        <f>'Mapa de Riesgos'!D35</f>
        <v>0</v>
      </c>
      <c r="E35" s="250">
        <f>'Mapa de Riesgos'!E35</f>
        <v>0</v>
      </c>
      <c r="F35" s="307">
        <f>'Mapa de Riesgos'!F35</f>
        <v>0</v>
      </c>
      <c r="G35" s="308">
        <f>'Mapa de Riesgos'!G35</f>
        <v>0</v>
      </c>
      <c r="H35" s="309">
        <f>'Plan de Acción'!R35</f>
        <v>0</v>
      </c>
      <c r="I35" s="240">
        <f>'Plan de Acción'!S35</f>
        <v>0</v>
      </c>
      <c r="J35" s="252">
        <f>'Plan de Acción'!T35</f>
        <v>0</v>
      </c>
      <c r="K35" s="637"/>
      <c r="L35" s="258"/>
      <c r="M35" s="256"/>
      <c r="N35" s="257"/>
      <c r="O35" s="637"/>
      <c r="P35" s="258"/>
      <c r="Q35" s="256"/>
      <c r="R35" s="257"/>
      <c r="S35" s="637"/>
      <c r="T35" s="258"/>
      <c r="U35" s="256"/>
      <c r="V35" s="257"/>
    </row>
    <row r="36" spans="1:22" s="2" customFormat="1" ht="40.5" customHeight="1" x14ac:dyDescent="0.25">
      <c r="A36" s="613"/>
      <c r="B36" s="616"/>
      <c r="C36" s="616"/>
      <c r="D36" s="628"/>
      <c r="E36" s="250">
        <f>'Mapa de Riesgos'!E36</f>
        <v>0</v>
      </c>
      <c r="F36" s="307">
        <f>'Mapa de Riesgos'!F36</f>
        <v>0</v>
      </c>
      <c r="G36" s="308">
        <f>'Mapa de Riesgos'!G36</f>
        <v>0</v>
      </c>
      <c r="H36" s="309">
        <f>'Plan de Acción'!R36</f>
        <v>0</v>
      </c>
      <c r="I36" s="240">
        <f>'Plan de Acción'!S36</f>
        <v>0</v>
      </c>
      <c r="J36" s="252">
        <f>'Plan de Acción'!T36</f>
        <v>0</v>
      </c>
      <c r="K36" s="638"/>
      <c r="L36" s="258"/>
      <c r="M36" s="256"/>
      <c r="N36" s="257"/>
      <c r="O36" s="638"/>
      <c r="P36" s="258"/>
      <c r="Q36" s="256"/>
      <c r="R36" s="257"/>
      <c r="S36" s="638"/>
      <c r="T36" s="258"/>
      <c r="U36" s="256"/>
      <c r="V36" s="257"/>
    </row>
    <row r="37" spans="1:22" s="2" customFormat="1" ht="40.5" customHeight="1" x14ac:dyDescent="0.25">
      <c r="A37" s="613"/>
      <c r="B37" s="616"/>
      <c r="C37" s="616"/>
      <c r="D37" s="628"/>
      <c r="E37" s="250">
        <f>'Mapa de Riesgos'!E37</f>
        <v>0</v>
      </c>
      <c r="F37" s="307">
        <f>'Mapa de Riesgos'!F37</f>
        <v>0</v>
      </c>
      <c r="G37" s="308">
        <f>'Mapa de Riesgos'!G37</f>
        <v>0</v>
      </c>
      <c r="H37" s="309">
        <f>'Plan de Acción'!R37</f>
        <v>0</v>
      </c>
      <c r="I37" s="240">
        <f>'Plan de Acción'!S37</f>
        <v>0</v>
      </c>
      <c r="J37" s="252">
        <f>'Plan de Acción'!T37</f>
        <v>0</v>
      </c>
      <c r="K37" s="638"/>
      <c r="L37" s="258"/>
      <c r="M37" s="256"/>
      <c r="N37" s="257"/>
      <c r="O37" s="638"/>
      <c r="P37" s="258"/>
      <c r="Q37" s="256"/>
      <c r="R37" s="257"/>
      <c r="S37" s="638"/>
      <c r="T37" s="258"/>
      <c r="U37" s="256"/>
      <c r="V37" s="257"/>
    </row>
    <row r="38" spans="1:22" s="2" customFormat="1" ht="40.5" customHeight="1" x14ac:dyDescent="0.25">
      <c r="A38" s="613"/>
      <c r="B38" s="616"/>
      <c r="C38" s="616"/>
      <c r="D38" s="628"/>
      <c r="E38" s="250">
        <f>'Mapa de Riesgos'!E38</f>
        <v>0</v>
      </c>
      <c r="F38" s="307">
        <f>'Mapa de Riesgos'!F38</f>
        <v>0</v>
      </c>
      <c r="G38" s="308">
        <f>'Mapa de Riesgos'!G38</f>
        <v>0</v>
      </c>
      <c r="H38" s="309">
        <f>'Plan de Acción'!R38</f>
        <v>0</v>
      </c>
      <c r="I38" s="240">
        <f>'Plan de Acción'!S38</f>
        <v>0</v>
      </c>
      <c r="J38" s="252">
        <f>'Plan de Acción'!T38</f>
        <v>0</v>
      </c>
      <c r="K38" s="638"/>
      <c r="L38" s="255"/>
      <c r="M38" s="253"/>
      <c r="N38" s="254"/>
      <c r="O38" s="638"/>
      <c r="P38" s="255"/>
      <c r="Q38" s="253"/>
      <c r="R38" s="254"/>
      <c r="S38" s="638"/>
      <c r="T38" s="255"/>
      <c r="U38" s="253"/>
      <c r="V38" s="254"/>
    </row>
    <row r="39" spans="1:22" s="2" customFormat="1" ht="40.5" customHeight="1" x14ac:dyDescent="0.25">
      <c r="A39" s="613"/>
      <c r="B39" s="616"/>
      <c r="C39" s="616"/>
      <c r="D39" s="628"/>
      <c r="E39" s="250">
        <f>'Mapa de Riesgos'!E39</f>
        <v>0</v>
      </c>
      <c r="F39" s="307">
        <f>'Mapa de Riesgos'!F39</f>
        <v>0</v>
      </c>
      <c r="G39" s="308">
        <f>'Mapa de Riesgos'!G39</f>
        <v>0</v>
      </c>
      <c r="H39" s="309">
        <f>'Plan de Acción'!R39</f>
        <v>0</v>
      </c>
      <c r="I39" s="240">
        <f>'Plan de Acción'!S39</f>
        <v>0</v>
      </c>
      <c r="J39" s="252">
        <f>'Plan de Acción'!T39</f>
        <v>0</v>
      </c>
      <c r="K39" s="638"/>
      <c r="L39" s="255"/>
      <c r="M39" s="253"/>
      <c r="N39" s="254"/>
      <c r="O39" s="638"/>
      <c r="P39" s="255"/>
      <c r="Q39" s="253"/>
      <c r="R39" s="254"/>
      <c r="S39" s="638"/>
      <c r="T39" s="255"/>
      <c r="U39" s="253"/>
      <c r="V39" s="254"/>
    </row>
    <row r="40" spans="1:22" s="2" customFormat="1" ht="40.5" customHeight="1" thickBot="1" x14ac:dyDescent="0.3">
      <c r="A40" s="614"/>
      <c r="B40" s="617"/>
      <c r="C40" s="617"/>
      <c r="D40" s="629"/>
      <c r="E40" s="251">
        <f>'Mapa de Riesgos'!E40</f>
        <v>0</v>
      </c>
      <c r="F40" s="310">
        <f>'Mapa de Riesgos'!F40</f>
        <v>0</v>
      </c>
      <c r="G40" s="311">
        <f>'Mapa de Riesgos'!G40</f>
        <v>0</v>
      </c>
      <c r="H40" s="312">
        <f>'Plan de Acción'!R40</f>
        <v>0</v>
      </c>
      <c r="I40" s="245">
        <f>'Plan de Acción'!S40</f>
        <v>0</v>
      </c>
      <c r="J40" s="259">
        <f>'Plan de Acción'!T40</f>
        <v>0</v>
      </c>
      <c r="K40" s="639"/>
      <c r="L40" s="262"/>
      <c r="M40" s="260"/>
      <c r="N40" s="261"/>
      <c r="O40" s="639"/>
      <c r="P40" s="262"/>
      <c r="Q40" s="260"/>
      <c r="R40" s="261"/>
      <c r="S40" s="639"/>
      <c r="T40" s="262"/>
      <c r="U40" s="260"/>
      <c r="V40" s="261"/>
    </row>
    <row r="41" spans="1:22" s="2" customFormat="1" ht="40.5" customHeight="1" x14ac:dyDescent="0.25">
      <c r="A41" s="612">
        <f>'Mapa de Riesgos'!A41</f>
        <v>7</v>
      </c>
      <c r="B41" s="615">
        <f>'Mapa de Riesgos'!B41</f>
        <v>0</v>
      </c>
      <c r="C41" s="615">
        <f>'Mapa de Riesgos'!C41</f>
        <v>0</v>
      </c>
      <c r="D41" s="627">
        <f>'Mapa de Riesgos'!D41</f>
        <v>0</v>
      </c>
      <c r="E41" s="250">
        <f>'Mapa de Riesgos'!E41</f>
        <v>0</v>
      </c>
      <c r="F41" s="307">
        <f>'Mapa de Riesgos'!F41</f>
        <v>0</v>
      </c>
      <c r="G41" s="308">
        <f>'Mapa de Riesgos'!G41</f>
        <v>0</v>
      </c>
      <c r="H41" s="309">
        <f>'Plan de Acción'!R41</f>
        <v>0</v>
      </c>
      <c r="I41" s="240">
        <f>'Plan de Acción'!S41</f>
        <v>0</v>
      </c>
      <c r="J41" s="252">
        <f>'Plan de Acción'!T41</f>
        <v>0</v>
      </c>
      <c r="K41" s="637"/>
      <c r="L41" s="258"/>
      <c r="M41" s="256"/>
      <c r="N41" s="257"/>
      <c r="O41" s="637"/>
      <c r="P41" s="258"/>
      <c r="Q41" s="256"/>
      <c r="R41" s="257"/>
      <c r="S41" s="637"/>
      <c r="T41" s="258"/>
      <c r="U41" s="256"/>
      <c r="V41" s="257"/>
    </row>
    <row r="42" spans="1:22" s="2" customFormat="1" ht="40.5" customHeight="1" x14ac:dyDescent="0.25">
      <c r="A42" s="613"/>
      <c r="B42" s="616"/>
      <c r="C42" s="616"/>
      <c r="D42" s="628"/>
      <c r="E42" s="250">
        <f>'Mapa de Riesgos'!E42</f>
        <v>0</v>
      </c>
      <c r="F42" s="307">
        <f>'Mapa de Riesgos'!F42</f>
        <v>0</v>
      </c>
      <c r="G42" s="308">
        <f>'Mapa de Riesgos'!G42</f>
        <v>0</v>
      </c>
      <c r="H42" s="309">
        <f>'Plan de Acción'!R42</f>
        <v>0</v>
      </c>
      <c r="I42" s="240">
        <f>'Plan de Acción'!S42</f>
        <v>0</v>
      </c>
      <c r="J42" s="252">
        <f>'Plan de Acción'!T42</f>
        <v>0</v>
      </c>
      <c r="K42" s="638"/>
      <c r="L42" s="258"/>
      <c r="M42" s="256"/>
      <c r="N42" s="257"/>
      <c r="O42" s="638"/>
      <c r="P42" s="258"/>
      <c r="Q42" s="256"/>
      <c r="R42" s="257"/>
      <c r="S42" s="638"/>
      <c r="T42" s="258"/>
      <c r="U42" s="256"/>
      <c r="V42" s="257"/>
    </row>
    <row r="43" spans="1:22" s="2" customFormat="1" ht="40.5" customHeight="1" x14ac:dyDescent="0.25">
      <c r="A43" s="613"/>
      <c r="B43" s="616"/>
      <c r="C43" s="616"/>
      <c r="D43" s="628"/>
      <c r="E43" s="250">
        <f>'Mapa de Riesgos'!E43</f>
        <v>0</v>
      </c>
      <c r="F43" s="307">
        <f>'Mapa de Riesgos'!F43</f>
        <v>0</v>
      </c>
      <c r="G43" s="308">
        <f>'Mapa de Riesgos'!G43</f>
        <v>0</v>
      </c>
      <c r="H43" s="309">
        <f>'Plan de Acción'!R43</f>
        <v>0</v>
      </c>
      <c r="I43" s="240">
        <f>'Plan de Acción'!S43</f>
        <v>0</v>
      </c>
      <c r="J43" s="252">
        <f>'Plan de Acción'!T43</f>
        <v>0</v>
      </c>
      <c r="K43" s="638"/>
      <c r="L43" s="258"/>
      <c r="M43" s="256"/>
      <c r="N43" s="257"/>
      <c r="O43" s="638"/>
      <c r="P43" s="258"/>
      <c r="Q43" s="256"/>
      <c r="R43" s="257"/>
      <c r="S43" s="638"/>
      <c r="T43" s="258"/>
      <c r="U43" s="256"/>
      <c r="V43" s="257"/>
    </row>
    <row r="44" spans="1:22" s="2" customFormat="1" ht="40.5" customHeight="1" x14ac:dyDescent="0.25">
      <c r="A44" s="613"/>
      <c r="B44" s="616"/>
      <c r="C44" s="616"/>
      <c r="D44" s="628"/>
      <c r="E44" s="250">
        <f>'Mapa de Riesgos'!E44</f>
        <v>0</v>
      </c>
      <c r="F44" s="307">
        <f>'Mapa de Riesgos'!F44</f>
        <v>0</v>
      </c>
      <c r="G44" s="308">
        <f>'Mapa de Riesgos'!G44</f>
        <v>0</v>
      </c>
      <c r="H44" s="309">
        <f>'Plan de Acción'!R44</f>
        <v>0</v>
      </c>
      <c r="I44" s="240">
        <f>'Plan de Acción'!S44</f>
        <v>0</v>
      </c>
      <c r="J44" s="252">
        <f>'Plan de Acción'!T44</f>
        <v>0</v>
      </c>
      <c r="K44" s="638"/>
      <c r="L44" s="255"/>
      <c r="M44" s="253"/>
      <c r="N44" s="254"/>
      <c r="O44" s="638"/>
      <c r="P44" s="255"/>
      <c r="Q44" s="253"/>
      <c r="R44" s="254"/>
      <c r="S44" s="638"/>
      <c r="T44" s="255"/>
      <c r="U44" s="253"/>
      <c r="V44" s="254"/>
    </row>
    <row r="45" spans="1:22" s="2" customFormat="1" ht="40.5" customHeight="1" x14ac:dyDescent="0.25">
      <c r="A45" s="613"/>
      <c r="B45" s="616"/>
      <c r="C45" s="616"/>
      <c r="D45" s="628"/>
      <c r="E45" s="250">
        <f>'Mapa de Riesgos'!E45</f>
        <v>0</v>
      </c>
      <c r="F45" s="307">
        <f>'Mapa de Riesgos'!F45</f>
        <v>0</v>
      </c>
      <c r="G45" s="308">
        <f>'Mapa de Riesgos'!G45</f>
        <v>0</v>
      </c>
      <c r="H45" s="309">
        <f>'Plan de Acción'!R45</f>
        <v>0</v>
      </c>
      <c r="I45" s="240">
        <f>'Plan de Acción'!S45</f>
        <v>0</v>
      </c>
      <c r="J45" s="252">
        <f>'Plan de Acción'!T45</f>
        <v>0</v>
      </c>
      <c r="K45" s="638"/>
      <c r="L45" s="255"/>
      <c r="M45" s="253"/>
      <c r="N45" s="254"/>
      <c r="O45" s="638"/>
      <c r="P45" s="255"/>
      <c r="Q45" s="253"/>
      <c r="R45" s="254"/>
      <c r="S45" s="638"/>
      <c r="T45" s="255"/>
      <c r="U45" s="253"/>
      <c r="V45" s="254"/>
    </row>
    <row r="46" spans="1:22" s="2" customFormat="1" ht="40.5" customHeight="1" thickBot="1" x14ac:dyDescent="0.3">
      <c r="A46" s="614"/>
      <c r="B46" s="617"/>
      <c r="C46" s="617"/>
      <c r="D46" s="629"/>
      <c r="E46" s="251">
        <f>'Mapa de Riesgos'!E46</f>
        <v>0</v>
      </c>
      <c r="F46" s="310">
        <f>'Mapa de Riesgos'!F46</f>
        <v>0</v>
      </c>
      <c r="G46" s="311">
        <f>'Mapa de Riesgos'!G46</f>
        <v>0</v>
      </c>
      <c r="H46" s="312">
        <f>'Plan de Acción'!R46</f>
        <v>0</v>
      </c>
      <c r="I46" s="245">
        <f>'Plan de Acción'!S46</f>
        <v>0</v>
      </c>
      <c r="J46" s="259">
        <f>'Plan de Acción'!T46</f>
        <v>0</v>
      </c>
      <c r="K46" s="639"/>
      <c r="L46" s="262"/>
      <c r="M46" s="260"/>
      <c r="N46" s="261"/>
      <c r="O46" s="639"/>
      <c r="P46" s="262"/>
      <c r="Q46" s="260"/>
      <c r="R46" s="261"/>
      <c r="S46" s="639"/>
      <c r="T46" s="262"/>
      <c r="U46" s="260"/>
      <c r="V46" s="261"/>
    </row>
    <row r="47" spans="1:22" s="2" customFormat="1" ht="40.5" customHeight="1" x14ac:dyDescent="0.25">
      <c r="A47" s="612">
        <f>'Mapa de Riesgos'!A47</f>
        <v>8</v>
      </c>
      <c r="B47" s="615">
        <f>'Mapa de Riesgos'!B47</f>
        <v>0</v>
      </c>
      <c r="C47" s="615">
        <f>'Mapa de Riesgos'!C47</f>
        <v>0</v>
      </c>
      <c r="D47" s="627">
        <f>'Mapa de Riesgos'!D47</f>
        <v>0</v>
      </c>
      <c r="E47" s="250">
        <f>'Mapa de Riesgos'!E47</f>
        <v>0</v>
      </c>
      <c r="F47" s="307">
        <f>'Mapa de Riesgos'!F47</f>
        <v>0</v>
      </c>
      <c r="G47" s="308">
        <f>'Mapa de Riesgos'!G47</f>
        <v>0</v>
      </c>
      <c r="H47" s="309">
        <f>'Plan de Acción'!R47</f>
        <v>0</v>
      </c>
      <c r="I47" s="240">
        <f>'Plan de Acción'!S47</f>
        <v>0</v>
      </c>
      <c r="J47" s="252">
        <f>'Plan de Acción'!T47</f>
        <v>0</v>
      </c>
      <c r="K47" s="637"/>
      <c r="L47" s="258"/>
      <c r="M47" s="256"/>
      <c r="N47" s="257"/>
      <c r="O47" s="637"/>
      <c r="P47" s="258"/>
      <c r="Q47" s="256"/>
      <c r="R47" s="257"/>
      <c r="S47" s="637"/>
      <c r="T47" s="258"/>
      <c r="U47" s="256"/>
      <c r="V47" s="257"/>
    </row>
    <row r="48" spans="1:22" s="2" customFormat="1" ht="40.5" customHeight="1" x14ac:dyDescent="0.25">
      <c r="A48" s="613"/>
      <c r="B48" s="616"/>
      <c r="C48" s="616"/>
      <c r="D48" s="628"/>
      <c r="E48" s="250">
        <f>'Mapa de Riesgos'!E48</f>
        <v>0</v>
      </c>
      <c r="F48" s="307">
        <f>'Mapa de Riesgos'!F48</f>
        <v>0</v>
      </c>
      <c r="G48" s="308">
        <f>'Mapa de Riesgos'!G48</f>
        <v>0</v>
      </c>
      <c r="H48" s="309">
        <f>'Plan de Acción'!R48</f>
        <v>0</v>
      </c>
      <c r="I48" s="240">
        <f>'Plan de Acción'!S48</f>
        <v>0</v>
      </c>
      <c r="J48" s="252">
        <f>'Plan de Acción'!T48</f>
        <v>0</v>
      </c>
      <c r="K48" s="638"/>
      <c r="L48" s="258"/>
      <c r="M48" s="256"/>
      <c r="N48" s="257"/>
      <c r="O48" s="638"/>
      <c r="P48" s="258"/>
      <c r="Q48" s="256"/>
      <c r="R48" s="257"/>
      <c r="S48" s="638"/>
      <c r="T48" s="258"/>
      <c r="U48" s="256"/>
      <c r="V48" s="257"/>
    </row>
    <row r="49" spans="1:22" s="2" customFormat="1" ht="40.5" customHeight="1" x14ac:dyDescent="0.25">
      <c r="A49" s="613"/>
      <c r="B49" s="616"/>
      <c r="C49" s="616"/>
      <c r="D49" s="628"/>
      <c r="E49" s="250">
        <f>'Mapa de Riesgos'!E49</f>
        <v>0</v>
      </c>
      <c r="F49" s="307">
        <f>'Mapa de Riesgos'!F49</f>
        <v>0</v>
      </c>
      <c r="G49" s="308">
        <f>'Mapa de Riesgos'!G49</f>
        <v>0</v>
      </c>
      <c r="H49" s="309">
        <f>'Plan de Acción'!R49</f>
        <v>0</v>
      </c>
      <c r="I49" s="240">
        <f>'Plan de Acción'!S49</f>
        <v>0</v>
      </c>
      <c r="J49" s="252">
        <f>'Plan de Acción'!T49</f>
        <v>0</v>
      </c>
      <c r="K49" s="638"/>
      <c r="L49" s="258"/>
      <c r="M49" s="256"/>
      <c r="N49" s="257"/>
      <c r="O49" s="638"/>
      <c r="P49" s="258"/>
      <c r="Q49" s="256"/>
      <c r="R49" s="257"/>
      <c r="S49" s="638"/>
      <c r="T49" s="258"/>
      <c r="U49" s="256"/>
      <c r="V49" s="257"/>
    </row>
    <row r="50" spans="1:22" s="2" customFormat="1" ht="40.5" customHeight="1" x14ac:dyDescent="0.25">
      <c r="A50" s="613"/>
      <c r="B50" s="616"/>
      <c r="C50" s="616"/>
      <c r="D50" s="628"/>
      <c r="E50" s="250">
        <f>'Mapa de Riesgos'!E50</f>
        <v>0</v>
      </c>
      <c r="F50" s="307">
        <f>'Mapa de Riesgos'!F50</f>
        <v>0</v>
      </c>
      <c r="G50" s="308">
        <f>'Mapa de Riesgos'!G50</f>
        <v>0</v>
      </c>
      <c r="H50" s="309">
        <f>'Plan de Acción'!R50</f>
        <v>0</v>
      </c>
      <c r="I50" s="240">
        <f>'Plan de Acción'!S50</f>
        <v>0</v>
      </c>
      <c r="J50" s="252">
        <f>'Plan de Acción'!T50</f>
        <v>0</v>
      </c>
      <c r="K50" s="638"/>
      <c r="L50" s="255"/>
      <c r="M50" s="253"/>
      <c r="N50" s="254"/>
      <c r="O50" s="638"/>
      <c r="P50" s="255"/>
      <c r="Q50" s="253"/>
      <c r="R50" s="254"/>
      <c r="S50" s="638"/>
      <c r="T50" s="255"/>
      <c r="U50" s="253"/>
      <c r="V50" s="254"/>
    </row>
    <row r="51" spans="1:22" s="2" customFormat="1" ht="40.5" customHeight="1" x14ac:dyDescent="0.25">
      <c r="A51" s="613"/>
      <c r="B51" s="616"/>
      <c r="C51" s="616"/>
      <c r="D51" s="628"/>
      <c r="E51" s="250">
        <f>'Mapa de Riesgos'!E51</f>
        <v>0</v>
      </c>
      <c r="F51" s="307">
        <f>'Mapa de Riesgos'!F51</f>
        <v>0</v>
      </c>
      <c r="G51" s="308">
        <f>'Mapa de Riesgos'!G51</f>
        <v>0</v>
      </c>
      <c r="H51" s="309">
        <f>'Plan de Acción'!R51</f>
        <v>0</v>
      </c>
      <c r="I51" s="240">
        <f>'Plan de Acción'!S51</f>
        <v>0</v>
      </c>
      <c r="J51" s="252">
        <f>'Plan de Acción'!T51</f>
        <v>0</v>
      </c>
      <c r="K51" s="638"/>
      <c r="L51" s="255"/>
      <c r="M51" s="253"/>
      <c r="N51" s="254"/>
      <c r="O51" s="638"/>
      <c r="P51" s="255"/>
      <c r="Q51" s="253"/>
      <c r="R51" s="254"/>
      <c r="S51" s="638"/>
      <c r="T51" s="255"/>
      <c r="U51" s="253"/>
      <c r="V51" s="254"/>
    </row>
    <row r="52" spans="1:22" s="2" customFormat="1" ht="40.5" customHeight="1" thickBot="1" x14ac:dyDescent="0.3">
      <c r="A52" s="614"/>
      <c r="B52" s="617"/>
      <c r="C52" s="617"/>
      <c r="D52" s="629"/>
      <c r="E52" s="251">
        <f>'Mapa de Riesgos'!E52</f>
        <v>0</v>
      </c>
      <c r="F52" s="310">
        <f>'Mapa de Riesgos'!F52</f>
        <v>0</v>
      </c>
      <c r="G52" s="311">
        <f>'Mapa de Riesgos'!G52</f>
        <v>0</v>
      </c>
      <c r="H52" s="312">
        <f>'Plan de Acción'!R52</f>
        <v>0</v>
      </c>
      <c r="I52" s="245">
        <f>'Plan de Acción'!S52</f>
        <v>0</v>
      </c>
      <c r="J52" s="259">
        <f>'Plan de Acción'!T52</f>
        <v>0</v>
      </c>
      <c r="K52" s="639"/>
      <c r="L52" s="262"/>
      <c r="M52" s="260"/>
      <c r="N52" s="261"/>
      <c r="O52" s="639"/>
      <c r="P52" s="262"/>
      <c r="Q52" s="260"/>
      <c r="R52" s="261"/>
      <c r="S52" s="639"/>
      <c r="T52" s="262"/>
      <c r="U52" s="260"/>
      <c r="V52" s="261"/>
    </row>
    <row r="53" spans="1:22" s="2" customFormat="1" ht="40.5" customHeight="1" x14ac:dyDescent="0.25">
      <c r="A53" s="612">
        <f>'Mapa de Riesgos'!A53</f>
        <v>9</v>
      </c>
      <c r="B53" s="615">
        <f>'Mapa de Riesgos'!B53</f>
        <v>0</v>
      </c>
      <c r="C53" s="615">
        <f>'Mapa de Riesgos'!C53</f>
        <v>0</v>
      </c>
      <c r="D53" s="627">
        <f>'Mapa de Riesgos'!D53</f>
        <v>0</v>
      </c>
      <c r="E53" s="250">
        <f>'Mapa de Riesgos'!E53</f>
        <v>0</v>
      </c>
      <c r="F53" s="307">
        <f>'Mapa de Riesgos'!F53</f>
        <v>0</v>
      </c>
      <c r="G53" s="308">
        <f>'Mapa de Riesgos'!G53</f>
        <v>0</v>
      </c>
      <c r="H53" s="309">
        <f>'Plan de Acción'!R53</f>
        <v>0</v>
      </c>
      <c r="I53" s="240">
        <f>'Plan de Acción'!S53</f>
        <v>0</v>
      </c>
      <c r="J53" s="252">
        <f>'Plan de Acción'!T53</f>
        <v>0</v>
      </c>
      <c r="K53" s="637"/>
      <c r="L53" s="258"/>
      <c r="M53" s="256"/>
      <c r="N53" s="257"/>
      <c r="O53" s="637"/>
      <c r="P53" s="258"/>
      <c r="Q53" s="256"/>
      <c r="R53" s="257"/>
      <c r="S53" s="637"/>
      <c r="T53" s="258"/>
      <c r="U53" s="256"/>
      <c r="V53" s="257"/>
    </row>
    <row r="54" spans="1:22" s="2" customFormat="1" ht="40.5" customHeight="1" x14ac:dyDescent="0.25">
      <c r="A54" s="613"/>
      <c r="B54" s="616"/>
      <c r="C54" s="616"/>
      <c r="D54" s="628"/>
      <c r="E54" s="250">
        <f>'Mapa de Riesgos'!E54</f>
        <v>0</v>
      </c>
      <c r="F54" s="307">
        <f>'Mapa de Riesgos'!F54</f>
        <v>0</v>
      </c>
      <c r="G54" s="308">
        <f>'Mapa de Riesgos'!G54</f>
        <v>0</v>
      </c>
      <c r="H54" s="309">
        <f>'Plan de Acción'!R54</f>
        <v>0</v>
      </c>
      <c r="I54" s="240">
        <f>'Plan de Acción'!S54</f>
        <v>0</v>
      </c>
      <c r="J54" s="252">
        <f>'Plan de Acción'!T54</f>
        <v>0</v>
      </c>
      <c r="K54" s="638"/>
      <c r="L54" s="258"/>
      <c r="M54" s="256"/>
      <c r="N54" s="257"/>
      <c r="O54" s="638"/>
      <c r="P54" s="258"/>
      <c r="Q54" s="256"/>
      <c r="R54" s="257"/>
      <c r="S54" s="638"/>
      <c r="T54" s="258"/>
      <c r="U54" s="256"/>
      <c r="V54" s="257"/>
    </row>
    <row r="55" spans="1:22" s="2" customFormat="1" ht="40.5" customHeight="1" x14ac:dyDescent="0.25">
      <c r="A55" s="613"/>
      <c r="B55" s="616"/>
      <c r="C55" s="616"/>
      <c r="D55" s="628"/>
      <c r="E55" s="250">
        <f>'Mapa de Riesgos'!E55</f>
        <v>0</v>
      </c>
      <c r="F55" s="307">
        <f>'Mapa de Riesgos'!F55</f>
        <v>0</v>
      </c>
      <c r="G55" s="308">
        <f>'Mapa de Riesgos'!G55</f>
        <v>0</v>
      </c>
      <c r="H55" s="309">
        <f>'Plan de Acción'!R55</f>
        <v>0</v>
      </c>
      <c r="I55" s="240">
        <f>'Plan de Acción'!S55</f>
        <v>0</v>
      </c>
      <c r="J55" s="252">
        <f>'Plan de Acción'!T55</f>
        <v>0</v>
      </c>
      <c r="K55" s="638"/>
      <c r="L55" s="258"/>
      <c r="M55" s="256"/>
      <c r="N55" s="257"/>
      <c r="O55" s="638"/>
      <c r="P55" s="258"/>
      <c r="Q55" s="256"/>
      <c r="R55" s="257"/>
      <c r="S55" s="638"/>
      <c r="T55" s="258"/>
      <c r="U55" s="256"/>
      <c r="V55" s="257"/>
    </row>
    <row r="56" spans="1:22" s="2" customFormat="1" ht="40.5" customHeight="1" x14ac:dyDescent="0.25">
      <c r="A56" s="613"/>
      <c r="B56" s="616"/>
      <c r="C56" s="616"/>
      <c r="D56" s="628"/>
      <c r="E56" s="250">
        <f>'Mapa de Riesgos'!E56</f>
        <v>0</v>
      </c>
      <c r="F56" s="307">
        <f>'Mapa de Riesgos'!F56</f>
        <v>0</v>
      </c>
      <c r="G56" s="308">
        <f>'Mapa de Riesgos'!G56</f>
        <v>0</v>
      </c>
      <c r="H56" s="309">
        <f>'Plan de Acción'!R56</f>
        <v>0</v>
      </c>
      <c r="I56" s="240">
        <f>'Plan de Acción'!S56</f>
        <v>0</v>
      </c>
      <c r="J56" s="252">
        <f>'Plan de Acción'!T56</f>
        <v>0</v>
      </c>
      <c r="K56" s="638"/>
      <c r="L56" s="255"/>
      <c r="M56" s="253"/>
      <c r="N56" s="254"/>
      <c r="O56" s="638"/>
      <c r="P56" s="255"/>
      <c r="Q56" s="253"/>
      <c r="R56" s="254"/>
      <c r="S56" s="638"/>
      <c r="T56" s="255"/>
      <c r="U56" s="253"/>
      <c r="V56" s="254"/>
    </row>
    <row r="57" spans="1:22" s="2" customFormat="1" ht="40.5" customHeight="1" x14ac:dyDescent="0.25">
      <c r="A57" s="613"/>
      <c r="B57" s="616"/>
      <c r="C57" s="616"/>
      <c r="D57" s="628"/>
      <c r="E57" s="250">
        <f>'Mapa de Riesgos'!E57</f>
        <v>0</v>
      </c>
      <c r="F57" s="307">
        <f>'Mapa de Riesgos'!F57</f>
        <v>0</v>
      </c>
      <c r="G57" s="308">
        <f>'Mapa de Riesgos'!G57</f>
        <v>0</v>
      </c>
      <c r="H57" s="309">
        <f>'Plan de Acción'!R57</f>
        <v>0</v>
      </c>
      <c r="I57" s="240">
        <f>'Plan de Acción'!S57</f>
        <v>0</v>
      </c>
      <c r="J57" s="252">
        <f>'Plan de Acción'!T57</f>
        <v>0</v>
      </c>
      <c r="K57" s="638"/>
      <c r="L57" s="255"/>
      <c r="M57" s="253"/>
      <c r="N57" s="254"/>
      <c r="O57" s="638"/>
      <c r="P57" s="255"/>
      <c r="Q57" s="253"/>
      <c r="R57" s="254"/>
      <c r="S57" s="638"/>
      <c r="T57" s="255"/>
      <c r="U57" s="253"/>
      <c r="V57" s="254"/>
    </row>
    <row r="58" spans="1:22" s="2" customFormat="1" ht="40.5" customHeight="1" thickBot="1" x14ac:dyDescent="0.3">
      <c r="A58" s="614"/>
      <c r="B58" s="617"/>
      <c r="C58" s="617"/>
      <c r="D58" s="629"/>
      <c r="E58" s="251">
        <f>'Mapa de Riesgos'!E58</f>
        <v>0</v>
      </c>
      <c r="F58" s="310">
        <f>'Mapa de Riesgos'!F58</f>
        <v>0</v>
      </c>
      <c r="G58" s="311">
        <f>'Mapa de Riesgos'!G58</f>
        <v>0</v>
      </c>
      <c r="H58" s="312">
        <f>'Plan de Acción'!R58</f>
        <v>0</v>
      </c>
      <c r="I58" s="245">
        <f>'Plan de Acción'!S58</f>
        <v>0</v>
      </c>
      <c r="J58" s="259">
        <f>'Plan de Acción'!T58</f>
        <v>0</v>
      </c>
      <c r="K58" s="639"/>
      <c r="L58" s="262"/>
      <c r="M58" s="260"/>
      <c r="N58" s="261"/>
      <c r="O58" s="639"/>
      <c r="P58" s="262"/>
      <c r="Q58" s="260"/>
      <c r="R58" s="261"/>
      <c r="S58" s="639"/>
      <c r="T58" s="262"/>
      <c r="U58" s="260"/>
      <c r="V58" s="261"/>
    </row>
    <row r="59" spans="1:22" s="2" customFormat="1" ht="40.5" customHeight="1" x14ac:dyDescent="0.25">
      <c r="A59" s="612">
        <f>'Mapa de Riesgos'!A59</f>
        <v>10</v>
      </c>
      <c r="B59" s="615">
        <f>'Mapa de Riesgos'!B59</f>
        <v>0</v>
      </c>
      <c r="C59" s="615">
        <f>'Mapa de Riesgos'!C59</f>
        <v>0</v>
      </c>
      <c r="D59" s="627">
        <f>'Mapa de Riesgos'!D59</f>
        <v>0</v>
      </c>
      <c r="E59" s="250">
        <f>'Mapa de Riesgos'!E59</f>
        <v>0</v>
      </c>
      <c r="F59" s="307">
        <f>'Mapa de Riesgos'!F59</f>
        <v>0</v>
      </c>
      <c r="G59" s="308">
        <f>'Mapa de Riesgos'!G59</f>
        <v>0</v>
      </c>
      <c r="H59" s="309">
        <f>'Plan de Acción'!R59</f>
        <v>0</v>
      </c>
      <c r="I59" s="240">
        <f>'Plan de Acción'!S59</f>
        <v>0</v>
      </c>
      <c r="J59" s="252">
        <f>'Plan de Acción'!T59</f>
        <v>0</v>
      </c>
      <c r="K59" s="637"/>
      <c r="L59" s="258"/>
      <c r="M59" s="256"/>
      <c r="N59" s="257"/>
      <c r="O59" s="637"/>
      <c r="P59" s="258"/>
      <c r="Q59" s="256"/>
      <c r="R59" s="257"/>
      <c r="S59" s="637"/>
      <c r="T59" s="258"/>
      <c r="U59" s="256"/>
      <c r="V59" s="257"/>
    </row>
    <row r="60" spans="1:22" s="2" customFormat="1" ht="40.5" customHeight="1" x14ac:dyDescent="0.25">
      <c r="A60" s="613"/>
      <c r="B60" s="616"/>
      <c r="C60" s="616"/>
      <c r="D60" s="628"/>
      <c r="E60" s="250">
        <f>'Mapa de Riesgos'!E60</f>
        <v>0</v>
      </c>
      <c r="F60" s="307">
        <f>'Mapa de Riesgos'!F60</f>
        <v>0</v>
      </c>
      <c r="G60" s="308">
        <f>'Mapa de Riesgos'!G60</f>
        <v>0</v>
      </c>
      <c r="H60" s="309">
        <f>'Plan de Acción'!R60</f>
        <v>0</v>
      </c>
      <c r="I60" s="240">
        <f>'Plan de Acción'!S60</f>
        <v>0</v>
      </c>
      <c r="J60" s="252">
        <f>'Plan de Acción'!T60</f>
        <v>0</v>
      </c>
      <c r="K60" s="638"/>
      <c r="L60" s="258"/>
      <c r="M60" s="256"/>
      <c r="N60" s="257"/>
      <c r="O60" s="638"/>
      <c r="P60" s="258"/>
      <c r="Q60" s="256"/>
      <c r="R60" s="257"/>
      <c r="S60" s="638"/>
      <c r="T60" s="258"/>
      <c r="U60" s="256"/>
      <c r="V60" s="257"/>
    </row>
    <row r="61" spans="1:22" s="2" customFormat="1" ht="40.5" customHeight="1" x14ac:dyDescent="0.25">
      <c r="A61" s="613"/>
      <c r="B61" s="616"/>
      <c r="C61" s="616"/>
      <c r="D61" s="628"/>
      <c r="E61" s="250">
        <f>'Mapa de Riesgos'!E61</f>
        <v>0</v>
      </c>
      <c r="F61" s="307">
        <f>'Mapa de Riesgos'!F61</f>
        <v>0</v>
      </c>
      <c r="G61" s="308">
        <f>'Mapa de Riesgos'!G61</f>
        <v>0</v>
      </c>
      <c r="H61" s="309">
        <f>'Plan de Acción'!R61</f>
        <v>0</v>
      </c>
      <c r="I61" s="240">
        <f>'Plan de Acción'!S61</f>
        <v>0</v>
      </c>
      <c r="J61" s="252">
        <f>'Plan de Acción'!T61</f>
        <v>0</v>
      </c>
      <c r="K61" s="638"/>
      <c r="L61" s="258"/>
      <c r="M61" s="256"/>
      <c r="N61" s="257"/>
      <c r="O61" s="638"/>
      <c r="P61" s="258"/>
      <c r="Q61" s="256"/>
      <c r="R61" s="257"/>
      <c r="S61" s="638"/>
      <c r="T61" s="258"/>
      <c r="U61" s="256"/>
      <c r="V61" s="257"/>
    </row>
    <row r="62" spans="1:22" s="2" customFormat="1" ht="40.5" customHeight="1" x14ac:dyDescent="0.25">
      <c r="A62" s="613"/>
      <c r="B62" s="616"/>
      <c r="C62" s="616"/>
      <c r="D62" s="628"/>
      <c r="E62" s="250">
        <f>'Mapa de Riesgos'!E62</f>
        <v>0</v>
      </c>
      <c r="F62" s="307">
        <f>'Mapa de Riesgos'!F62</f>
        <v>0</v>
      </c>
      <c r="G62" s="308">
        <f>'Mapa de Riesgos'!G62</f>
        <v>0</v>
      </c>
      <c r="H62" s="309">
        <f>'Plan de Acción'!R62</f>
        <v>0</v>
      </c>
      <c r="I62" s="240">
        <f>'Plan de Acción'!S62</f>
        <v>0</v>
      </c>
      <c r="J62" s="252">
        <f>'Plan de Acción'!T62</f>
        <v>0</v>
      </c>
      <c r="K62" s="638"/>
      <c r="L62" s="255"/>
      <c r="M62" s="253"/>
      <c r="N62" s="254"/>
      <c r="O62" s="638"/>
      <c r="P62" s="255"/>
      <c r="Q62" s="253"/>
      <c r="R62" s="254"/>
      <c r="S62" s="638"/>
      <c r="T62" s="255"/>
      <c r="U62" s="253"/>
      <c r="V62" s="254"/>
    </row>
    <row r="63" spans="1:22" s="2" customFormat="1" ht="40.5" customHeight="1" x14ac:dyDescent="0.25">
      <c r="A63" s="613"/>
      <c r="B63" s="616"/>
      <c r="C63" s="616"/>
      <c r="D63" s="628"/>
      <c r="E63" s="250">
        <f>'Mapa de Riesgos'!E63</f>
        <v>0</v>
      </c>
      <c r="F63" s="307">
        <f>'Mapa de Riesgos'!F63</f>
        <v>0</v>
      </c>
      <c r="G63" s="308">
        <f>'Mapa de Riesgos'!G63</f>
        <v>0</v>
      </c>
      <c r="H63" s="309">
        <f>'Plan de Acción'!R63</f>
        <v>0</v>
      </c>
      <c r="I63" s="240">
        <f>'Plan de Acción'!S63</f>
        <v>0</v>
      </c>
      <c r="J63" s="252">
        <f>'Plan de Acción'!T63</f>
        <v>0</v>
      </c>
      <c r="K63" s="638"/>
      <c r="L63" s="255"/>
      <c r="M63" s="253"/>
      <c r="N63" s="254"/>
      <c r="O63" s="638"/>
      <c r="P63" s="255"/>
      <c r="Q63" s="253"/>
      <c r="R63" s="254"/>
      <c r="S63" s="638"/>
      <c r="T63" s="255"/>
      <c r="U63" s="253"/>
      <c r="V63" s="254"/>
    </row>
    <row r="64" spans="1:22" s="2" customFormat="1" ht="40.5" customHeight="1" thickBot="1" x14ac:dyDescent="0.3">
      <c r="A64" s="614"/>
      <c r="B64" s="617"/>
      <c r="C64" s="617"/>
      <c r="D64" s="629"/>
      <c r="E64" s="251">
        <f>'Mapa de Riesgos'!E64</f>
        <v>0</v>
      </c>
      <c r="F64" s="310">
        <f>'Mapa de Riesgos'!F64</f>
        <v>0</v>
      </c>
      <c r="G64" s="311">
        <f>'Mapa de Riesgos'!G64</f>
        <v>0</v>
      </c>
      <c r="H64" s="312">
        <f>'Plan de Acción'!R64</f>
        <v>0</v>
      </c>
      <c r="I64" s="245">
        <f>'Plan de Acción'!S64</f>
        <v>0</v>
      </c>
      <c r="J64" s="259">
        <f>'Plan de Acción'!T64</f>
        <v>0</v>
      </c>
      <c r="K64" s="639"/>
      <c r="L64" s="262"/>
      <c r="M64" s="260"/>
      <c r="N64" s="261"/>
      <c r="O64" s="639"/>
      <c r="P64" s="262"/>
      <c r="Q64" s="260"/>
      <c r="R64" s="261"/>
      <c r="S64" s="639"/>
      <c r="T64" s="262"/>
      <c r="U64" s="260"/>
      <c r="V64" s="261"/>
    </row>
    <row r="65" spans="1:22" x14ac:dyDescent="0.3">
      <c r="A65" s="197"/>
      <c r="B65" s="197"/>
      <c r="C65" s="197"/>
      <c r="D65" s="4"/>
      <c r="E65" s="4"/>
      <c r="F65" s="198"/>
      <c r="G65" s="198"/>
      <c r="H65" s="4"/>
      <c r="I65" s="4"/>
      <c r="J65" s="4"/>
      <c r="K65" s="4"/>
      <c r="L65" s="4"/>
      <c r="M65" s="4"/>
      <c r="N65" s="4"/>
      <c r="O65" s="4"/>
      <c r="P65" s="4"/>
      <c r="Q65" s="4"/>
      <c r="R65" s="4"/>
      <c r="S65" s="4"/>
      <c r="T65" s="4"/>
      <c r="U65" s="4"/>
      <c r="V65" s="4"/>
    </row>
    <row r="66" spans="1:22" customFormat="1" ht="15" x14ac:dyDescent="0.25">
      <c r="A66" s="73"/>
      <c r="B66" s="73"/>
      <c r="C66" s="73"/>
      <c r="D66" s="73"/>
      <c r="E66" s="73"/>
      <c r="F66" s="73"/>
      <c r="G66" s="73"/>
      <c r="H66" s="73"/>
      <c r="I66" s="73"/>
      <c r="J66" s="73"/>
      <c r="K66" s="73"/>
      <c r="L66" s="73"/>
      <c r="M66" s="73"/>
      <c r="N66" s="73"/>
      <c r="O66" s="73"/>
      <c r="P66" s="73"/>
      <c r="Q66" s="73"/>
      <c r="R66" s="73"/>
      <c r="S66" s="73"/>
      <c r="T66" s="73"/>
      <c r="U66" s="73"/>
      <c r="V66" s="73"/>
    </row>
    <row r="67" spans="1:22" s="5" customFormat="1" ht="24.75" customHeight="1" x14ac:dyDescent="0.2">
      <c r="A67" s="480" t="s">
        <v>217</v>
      </c>
      <c r="B67" s="480"/>
      <c r="C67" s="481" t="s">
        <v>185</v>
      </c>
      <c r="D67" s="481"/>
      <c r="E67" s="481"/>
      <c r="F67" s="481"/>
      <c r="G67" s="481"/>
      <c r="H67" s="480" t="s">
        <v>218</v>
      </c>
      <c r="I67" s="481" t="str">
        <f>'Mapa de Riesgos'!H67</f>
        <v>SISTEMA INTEGRADO DE GESTIÓN SIG</v>
      </c>
      <c r="J67" s="481"/>
      <c r="K67" s="481"/>
      <c r="L67" s="481"/>
      <c r="M67" s="481"/>
      <c r="N67" s="481"/>
      <c r="O67" s="196" t="s">
        <v>220</v>
      </c>
      <c r="P67" s="634" t="str">
        <f>'Mapa de Riesgos'!T67</f>
        <v>LÍDER DEL SISTEMA INTEGRADO DE GESTIÓN</v>
      </c>
      <c r="Q67" s="635"/>
      <c r="R67" s="635"/>
      <c r="S67" s="635"/>
      <c r="T67" s="635"/>
      <c r="U67" s="635"/>
      <c r="V67" s="636"/>
    </row>
    <row r="68" spans="1:22" s="5" customFormat="1" ht="24.75" customHeight="1" x14ac:dyDescent="0.2">
      <c r="A68" s="480"/>
      <c r="B68" s="480"/>
      <c r="C68" s="481"/>
      <c r="D68" s="481"/>
      <c r="E68" s="481"/>
      <c r="F68" s="481"/>
      <c r="G68" s="481"/>
      <c r="H68" s="480"/>
      <c r="I68" s="481"/>
      <c r="J68" s="481"/>
      <c r="K68" s="481"/>
      <c r="L68" s="481"/>
      <c r="M68" s="481"/>
      <c r="N68" s="481"/>
      <c r="O68" s="196" t="s">
        <v>316</v>
      </c>
      <c r="P68" s="634" t="str">
        <f>'Mapa de Riesgos'!T68</f>
        <v>ABRIL DE 2022</v>
      </c>
      <c r="Q68" s="635"/>
      <c r="R68" s="635"/>
      <c r="S68" s="635"/>
      <c r="T68" s="635"/>
      <c r="U68" s="635"/>
      <c r="V68" s="636"/>
    </row>
    <row r="69" spans="1:22" customFormat="1" ht="15" x14ac:dyDescent="0.25"/>
    <row r="70" spans="1:22" x14ac:dyDescent="0.3">
      <c r="F70" s="3"/>
    </row>
  </sheetData>
  <dataConsolidate/>
  <mergeCells count="98">
    <mergeCell ref="S59:S64"/>
    <mergeCell ref="O35:O40"/>
    <mergeCell ref="O41:O46"/>
    <mergeCell ref="O47:O52"/>
    <mergeCell ref="O53:O58"/>
    <mergeCell ref="O59:O64"/>
    <mergeCell ref="S35:S40"/>
    <mergeCell ref="S41:S46"/>
    <mergeCell ref="S47:S52"/>
    <mergeCell ref="S53:S58"/>
    <mergeCell ref="K53:K58"/>
    <mergeCell ref="K59:K64"/>
    <mergeCell ref="K10:K16"/>
    <mergeCell ref="K17:K22"/>
    <mergeCell ref="K23:K28"/>
    <mergeCell ref="K29:K34"/>
    <mergeCell ref="K35:K40"/>
    <mergeCell ref="K41:K46"/>
    <mergeCell ref="K47:K52"/>
    <mergeCell ref="O10:O16"/>
    <mergeCell ref="O17:O22"/>
    <mergeCell ref="O23:O28"/>
    <mergeCell ref="S10:S16"/>
    <mergeCell ref="O29:O34"/>
    <mergeCell ref="S17:S22"/>
    <mergeCell ref="S23:S28"/>
    <mergeCell ref="S29:S34"/>
    <mergeCell ref="A41:A46"/>
    <mergeCell ref="B41:B46"/>
    <mergeCell ref="C41:C46"/>
    <mergeCell ref="D41:D46"/>
    <mergeCell ref="A35:A40"/>
    <mergeCell ref="B35:B40"/>
    <mergeCell ref="C35:C40"/>
    <mergeCell ref="D35:D40"/>
    <mergeCell ref="A29:A34"/>
    <mergeCell ref="B29:B34"/>
    <mergeCell ref="C29:C34"/>
    <mergeCell ref="D29:D34"/>
    <mergeCell ref="A23:A28"/>
    <mergeCell ref="B23:B28"/>
    <mergeCell ref="C23:C28"/>
    <mergeCell ref="D23:D28"/>
    <mergeCell ref="B53:B58"/>
    <mergeCell ref="C53:C58"/>
    <mergeCell ref="D53:D58"/>
    <mergeCell ref="A47:A52"/>
    <mergeCell ref="B47:B52"/>
    <mergeCell ref="C47:C52"/>
    <mergeCell ref="D47:D52"/>
    <mergeCell ref="A6:V6"/>
    <mergeCell ref="D5:J5"/>
    <mergeCell ref="K5:L5"/>
    <mergeCell ref="M5:V5"/>
    <mergeCell ref="A67:B68"/>
    <mergeCell ref="H67:H68"/>
    <mergeCell ref="I67:N68"/>
    <mergeCell ref="C67:G68"/>
    <mergeCell ref="P67:V67"/>
    <mergeCell ref="P68:V68"/>
    <mergeCell ref="F8:F9"/>
    <mergeCell ref="A59:A64"/>
    <mergeCell ref="B59:B64"/>
    <mergeCell ref="C59:C64"/>
    <mergeCell ref="D59:D64"/>
    <mergeCell ref="A53:A58"/>
    <mergeCell ref="A17:A22"/>
    <mergeCell ref="B17:B22"/>
    <mergeCell ref="C17:C22"/>
    <mergeCell ref="H7:J7"/>
    <mergeCell ref="K8:N8"/>
    <mergeCell ref="K7:V7"/>
    <mergeCell ref="H8:H9"/>
    <mergeCell ref="I8:I9"/>
    <mergeCell ref="J8:J9"/>
    <mergeCell ref="S8:V8"/>
    <mergeCell ref="D17:D22"/>
    <mergeCell ref="A10:A16"/>
    <mergeCell ref="B10:B16"/>
    <mergeCell ref="C10:C16"/>
    <mergeCell ref="D10:D16"/>
    <mergeCell ref="D8:D9"/>
    <mergeCell ref="A7:G7"/>
    <mergeCell ref="A8:A9"/>
    <mergeCell ref="B8:B9"/>
    <mergeCell ref="C8:C9"/>
    <mergeCell ref="D1:U1"/>
    <mergeCell ref="D2:U2"/>
    <mergeCell ref="O8:R8"/>
    <mergeCell ref="A4:C4"/>
    <mergeCell ref="D4:J4"/>
    <mergeCell ref="K4:L4"/>
    <mergeCell ref="M4:V4"/>
    <mergeCell ref="A1:C1"/>
    <mergeCell ref="A2:C2"/>
    <mergeCell ref="G8:G9"/>
    <mergeCell ref="E8:E9"/>
    <mergeCell ref="A5:C5"/>
  </mergeCells>
  <pageMargins left="0.7" right="0.7" top="0.75" bottom="0.75" header="0.3" footer="0.3"/>
  <pageSetup scale="20" orientation="portrait" r:id="rId1"/>
  <ignoredErrors>
    <ignoredError sqref="A16 A11" formulaRange="1"/>
    <ignoredError sqref="B16 B11 C11 D11 D16 C16" formulaRange="1" unlockedFormula="1"/>
    <ignoredError sqref="B10 B18:B22 C10:D10 C15:D15 B17 C18:D22 C17:D17 B23:D64 H15:J16 H10:J13 C12:D13 H18:J22 I17:J17 H23:J64" unlockedFormula="1"/>
  </ignoredErrors>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14:formula1>
            <xm:f>'Opciones Tratamiento'!$B$9:$B$10</xm:f>
          </x14:formula1>
          <xm:sqref>N10:N64 V10:V64 R19:R22 R12:R16 R25:R28 R30:R64</xm:sqref>
        </x14:dataValidation>
        <x14:dataValidation type="list" allowBlank="1" showInputMessage="1" showErrorMessage="1">
          <x14:formula1>
            <xm:f>'Opciones Tratamiento'!$G$9:$G$10</xm:f>
          </x14:formula1>
          <xm:sqref>O10:O64 S10:S64 K10:K64</xm:sqref>
        </x14:dataValidation>
        <x14:dataValidation type="list" allowBlank="1" showInputMessage="1" showErrorMessage="1">
          <x14:formula1>
            <xm:f>'Opciones Tratamiento'!#REF!</xm:f>
          </x14:formula1>
          <xm:sqref>R23:R24</xm:sqref>
        </x14:dataValidation>
        <x14:dataValidation type="list" allowBlank="1" showInputMessage="1" showErrorMessage="1">
          <x14:formula1>
            <xm:f>'https://unidadestecno-my.sharepoint.com/personal/planeacion_correo_uts_edu_co2/Documents/16-47.2 RIESGOS/GESTIÓN Y S.I/2024/2do MONITOREO/Planeación Institucional/[F-PL-13 Mapa de Riesgos - Planeación Institucional 2023-2.xlsx]Opciones Tratamiento'!#REF!</xm:f>
          </x14:formula1>
          <xm:sqref>R10:R11 R17:R18 R29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J20"/>
  <sheetViews>
    <sheetView zoomScale="80" zoomScaleNormal="80" zoomScalePageLayoutView="83" workbookViewId="0"/>
  </sheetViews>
  <sheetFormatPr baseColWidth="10" defaultColWidth="12.28515625" defaultRowHeight="15" x14ac:dyDescent="0.25"/>
  <cols>
    <col min="1" max="1" width="25.7109375" style="209" customWidth="1"/>
    <col min="2" max="2" width="44.28515625" style="209" customWidth="1"/>
    <col min="3" max="3" width="31.7109375" style="209" customWidth="1"/>
    <col min="4" max="4" width="43.7109375" style="209" customWidth="1"/>
    <col min="5" max="5" width="30.85546875" style="209" customWidth="1"/>
    <col min="6" max="6" width="46.28515625" style="209" customWidth="1"/>
    <col min="7" max="7" width="16.5703125" style="209" customWidth="1"/>
    <col min="8" max="8" width="15.42578125" style="209" customWidth="1"/>
    <col min="9" max="9" width="14.85546875" style="209" customWidth="1"/>
    <col min="10" max="10" width="57.28515625" style="209" customWidth="1"/>
    <col min="11" max="16384" width="12.28515625" style="209"/>
  </cols>
  <sheetData>
    <row r="1" spans="1:10" s="203" customFormat="1" ht="68.25" customHeight="1" x14ac:dyDescent="0.2">
      <c r="A1" s="201"/>
      <c r="B1" s="652" t="str">
        <f>'Mapa de Riesgos'!D1</f>
        <v>PLANEACIÓN INSTITUCIONAL</v>
      </c>
      <c r="C1" s="652"/>
      <c r="D1" s="652"/>
      <c r="E1" s="652"/>
      <c r="F1" s="194" t="s">
        <v>368</v>
      </c>
      <c r="G1" s="202"/>
      <c r="H1" s="202"/>
      <c r="I1" s="202"/>
    </row>
    <row r="2" spans="1:10" s="203" customFormat="1" ht="39" customHeight="1" x14ac:dyDescent="0.2">
      <c r="A2" s="204" t="str">
        <f>'Mapa de Riesgos'!A2</f>
        <v>F - PL - 13</v>
      </c>
      <c r="B2" s="652" t="str">
        <f>'Mapa de Riesgos'!D2</f>
        <v>MAPA DE RIESGOS INSTITUCIONAL</v>
      </c>
      <c r="C2" s="652"/>
      <c r="D2" s="652"/>
      <c r="E2" s="652"/>
      <c r="F2" s="194" t="str">
        <f>'Mapa de Riesgos'!AE2</f>
        <v>VERSIÓN: 7.0</v>
      </c>
      <c r="G2" s="202"/>
      <c r="H2" s="202"/>
      <c r="I2" s="202"/>
    </row>
    <row r="3" spans="1:10" s="203" customFormat="1" ht="39" customHeight="1" x14ac:dyDescent="0.2">
      <c r="A3" s="653"/>
      <c r="B3" s="653"/>
      <c r="C3" s="653"/>
      <c r="D3" s="653"/>
      <c r="E3" s="653"/>
      <c r="F3" s="653"/>
      <c r="G3" s="202"/>
      <c r="H3" s="202"/>
      <c r="I3" s="202"/>
      <c r="J3" s="202"/>
    </row>
    <row r="4" spans="1:10" s="203" customFormat="1" ht="39" customHeight="1" x14ac:dyDescent="0.2">
      <c r="A4" s="654" t="s">
        <v>369</v>
      </c>
      <c r="B4" s="654"/>
      <c r="C4" s="654"/>
      <c r="D4" s="654"/>
      <c r="E4" s="654"/>
      <c r="F4" s="654"/>
      <c r="G4" s="205"/>
      <c r="H4" s="205"/>
      <c r="I4" s="205"/>
      <c r="J4" s="205"/>
    </row>
    <row r="5" spans="1:10" s="203" customFormat="1" ht="39" customHeight="1" x14ac:dyDescent="0.2">
      <c r="A5" s="655" t="s">
        <v>5</v>
      </c>
      <c r="B5" s="656"/>
      <c r="C5" s="656"/>
      <c r="D5" s="656"/>
      <c r="E5" s="657"/>
      <c r="F5" s="206" t="s">
        <v>370</v>
      </c>
      <c r="G5" s="205"/>
      <c r="H5" s="205"/>
      <c r="I5" s="205"/>
      <c r="J5" s="205"/>
    </row>
    <row r="6" spans="1:10" s="203" customFormat="1" ht="81" customHeight="1" x14ac:dyDescent="0.2">
      <c r="A6" s="649" t="s">
        <v>371</v>
      </c>
      <c r="B6" s="650"/>
      <c r="C6" s="650"/>
      <c r="D6" s="650"/>
      <c r="E6" s="651"/>
      <c r="F6" s="207">
        <v>44742</v>
      </c>
      <c r="G6" s="205"/>
      <c r="H6" s="205"/>
      <c r="I6" s="205"/>
      <c r="J6" s="205"/>
    </row>
    <row r="7" spans="1:10" s="203" customFormat="1" ht="74.25" customHeight="1" x14ac:dyDescent="0.2">
      <c r="A7" s="649" t="s">
        <v>372</v>
      </c>
      <c r="B7" s="650"/>
      <c r="C7" s="650"/>
      <c r="D7" s="650"/>
      <c r="E7" s="651"/>
      <c r="F7" s="658" t="s">
        <v>373</v>
      </c>
      <c r="G7" s="205"/>
      <c r="H7" s="205"/>
      <c r="I7" s="205"/>
      <c r="J7" s="205"/>
    </row>
    <row r="8" spans="1:10" s="203" customFormat="1" ht="60.75" customHeight="1" x14ac:dyDescent="0.2">
      <c r="A8" s="649" t="s">
        <v>374</v>
      </c>
      <c r="B8" s="650"/>
      <c r="C8" s="650"/>
      <c r="D8" s="650"/>
      <c r="E8" s="651"/>
      <c r="F8" s="659"/>
      <c r="G8" s="205"/>
      <c r="H8" s="205"/>
      <c r="I8" s="205"/>
      <c r="J8" s="205"/>
    </row>
    <row r="9" spans="1:10" s="203" customFormat="1" ht="60.75" customHeight="1" x14ac:dyDescent="0.2">
      <c r="A9" s="649" t="s">
        <v>375</v>
      </c>
      <c r="B9" s="650"/>
      <c r="C9" s="650"/>
      <c r="D9" s="650"/>
      <c r="E9" s="651"/>
      <c r="F9" s="659"/>
      <c r="G9" s="205"/>
      <c r="H9" s="205"/>
      <c r="I9" s="205"/>
      <c r="J9" s="205"/>
    </row>
    <row r="10" spans="1:10" s="203" customFormat="1" ht="60.75" customHeight="1" x14ac:dyDescent="0.2">
      <c r="A10" s="649" t="s">
        <v>376</v>
      </c>
      <c r="B10" s="650"/>
      <c r="C10" s="650"/>
      <c r="D10" s="650"/>
      <c r="E10" s="651"/>
      <c r="F10" s="659"/>
      <c r="G10" s="205"/>
      <c r="H10" s="205"/>
      <c r="I10" s="205"/>
      <c r="J10" s="205"/>
    </row>
    <row r="11" spans="1:10" s="203" customFormat="1" ht="60.75" customHeight="1" x14ac:dyDescent="0.2">
      <c r="A11" s="649" t="s">
        <v>377</v>
      </c>
      <c r="B11" s="650"/>
      <c r="C11" s="650"/>
      <c r="D11" s="650"/>
      <c r="E11" s="651"/>
      <c r="F11" s="660"/>
      <c r="G11" s="205"/>
      <c r="H11" s="205"/>
      <c r="I11" s="205"/>
      <c r="J11" s="205"/>
    </row>
    <row r="12" spans="1:10" s="203" customFormat="1" ht="39" customHeight="1" x14ac:dyDescent="0.2">
      <c r="A12" s="649" t="s">
        <v>378</v>
      </c>
      <c r="B12" s="650"/>
      <c r="C12" s="650"/>
      <c r="D12" s="650"/>
      <c r="E12" s="651"/>
      <c r="F12" s="207" t="s">
        <v>379</v>
      </c>
      <c r="G12" s="205"/>
      <c r="H12" s="205"/>
      <c r="I12" s="205"/>
      <c r="J12" s="205"/>
    </row>
    <row r="13" spans="1:10" s="203" customFormat="1" ht="39" customHeight="1" x14ac:dyDescent="0.2">
      <c r="A13" s="640"/>
      <c r="B13" s="641"/>
      <c r="C13" s="641"/>
      <c r="D13" s="641"/>
      <c r="E13" s="642"/>
      <c r="F13" s="207"/>
      <c r="G13" s="205"/>
      <c r="H13" s="205"/>
      <c r="I13" s="205"/>
      <c r="J13" s="205"/>
    </row>
    <row r="14" spans="1:10" s="203" customFormat="1" ht="39" customHeight="1" x14ac:dyDescent="0.2">
      <c r="A14" s="640"/>
      <c r="B14" s="641"/>
      <c r="C14" s="641"/>
      <c r="D14" s="641"/>
      <c r="E14" s="642"/>
      <c r="F14" s="207"/>
      <c r="G14" s="205"/>
      <c r="H14" s="205"/>
      <c r="I14" s="205"/>
      <c r="J14" s="205"/>
    </row>
    <row r="15" spans="1:10" s="203" customFormat="1" ht="39" customHeight="1" x14ac:dyDescent="0.2">
      <c r="A15" s="640"/>
      <c r="B15" s="641"/>
      <c r="C15" s="641"/>
      <c r="D15" s="641"/>
      <c r="E15" s="642"/>
      <c r="F15" s="207"/>
      <c r="G15" s="205"/>
      <c r="H15" s="205"/>
      <c r="I15" s="205"/>
      <c r="J15" s="205"/>
    </row>
    <row r="16" spans="1:10" x14ac:dyDescent="0.25">
      <c r="A16" s="208"/>
      <c r="B16" s="208"/>
      <c r="C16" s="208"/>
      <c r="D16" s="208"/>
      <c r="E16" s="208"/>
      <c r="F16" s="208"/>
    </row>
    <row r="17" spans="1:6" s="211" customFormat="1" ht="15.75" x14ac:dyDescent="0.25">
      <c r="A17" s="210"/>
      <c r="B17" s="210"/>
      <c r="C17" s="210"/>
      <c r="D17" s="210"/>
      <c r="E17" s="210"/>
      <c r="F17" s="210"/>
    </row>
    <row r="18" spans="1:6" s="213" customFormat="1" ht="24.75" customHeight="1" x14ac:dyDescent="0.2">
      <c r="A18" s="643" t="s">
        <v>217</v>
      </c>
      <c r="B18" s="645" t="str">
        <f>'Mapa de Riesgos'!C67</f>
        <v>PLANEACIÓN INSTITUCIONAL</v>
      </c>
      <c r="C18" s="643" t="s">
        <v>218</v>
      </c>
      <c r="D18" s="647" t="str">
        <f>'Mapa de Riesgos'!H67</f>
        <v>SISTEMA INTEGRADO DE GESTIÓN SIG</v>
      </c>
      <c r="E18" s="214" t="s">
        <v>220</v>
      </c>
      <c r="F18" s="212" t="str">
        <f>'Mapa de Riesgos'!T67</f>
        <v>LÍDER DEL SISTEMA INTEGRADO DE GESTIÓN</v>
      </c>
    </row>
    <row r="19" spans="1:6" s="213" customFormat="1" ht="24.75" customHeight="1" x14ac:dyDescent="0.2">
      <c r="A19" s="644"/>
      <c r="B19" s="646"/>
      <c r="C19" s="644"/>
      <c r="D19" s="648"/>
      <c r="E19" s="214" t="s">
        <v>316</v>
      </c>
      <c r="F19" s="212" t="str">
        <f>'Mapa de Riesgos'!T68</f>
        <v>ABRIL DE 2022</v>
      </c>
    </row>
    <row r="20" spans="1:6" s="211" customFormat="1" ht="15.75" x14ac:dyDescent="0.25"/>
  </sheetData>
  <mergeCells count="20">
    <mergeCell ref="A12:E12"/>
    <mergeCell ref="B1:E1"/>
    <mergeCell ref="B2:E2"/>
    <mergeCell ref="A3:F3"/>
    <mergeCell ref="A4:F4"/>
    <mergeCell ref="A5:E5"/>
    <mergeCell ref="A6:E6"/>
    <mergeCell ref="A7:E7"/>
    <mergeCell ref="A8:E8"/>
    <mergeCell ref="A9:E9"/>
    <mergeCell ref="A10:E10"/>
    <mergeCell ref="A11:E11"/>
    <mergeCell ref="F7:F11"/>
    <mergeCell ref="A13:E13"/>
    <mergeCell ref="A14:E14"/>
    <mergeCell ref="A15:E15"/>
    <mergeCell ref="A18:A19"/>
    <mergeCell ref="B18:B19"/>
    <mergeCell ref="C18:C19"/>
    <mergeCell ref="D18:D19"/>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CU140"/>
  <sheetViews>
    <sheetView zoomScale="50" zoomScaleNormal="50" workbookViewId="0">
      <selection activeCell="AW61" sqref="AW61"/>
    </sheetView>
  </sheetViews>
  <sheetFormatPr baseColWidth="10" defaultColWidth="11.42578125" defaultRowHeight="15" x14ac:dyDescent="0.25"/>
  <cols>
    <col min="2" max="39" width="5.7109375" customWidth="1"/>
    <col min="41" max="46" width="5.7109375" customWidth="1"/>
  </cols>
  <sheetData>
    <row r="1" spans="1:99"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row>
    <row r="2" spans="1:99" ht="18" customHeight="1" x14ac:dyDescent="0.25">
      <c r="A2" s="73"/>
      <c r="B2" s="661" t="s">
        <v>380</v>
      </c>
      <c r="C2" s="661"/>
      <c r="D2" s="661"/>
      <c r="E2" s="661"/>
      <c r="F2" s="661"/>
      <c r="G2" s="661"/>
      <c r="H2" s="661"/>
      <c r="I2" s="661"/>
      <c r="J2" s="698" t="s">
        <v>134</v>
      </c>
      <c r="K2" s="698"/>
      <c r="L2" s="698"/>
      <c r="M2" s="698"/>
      <c r="N2" s="698"/>
      <c r="O2" s="698"/>
      <c r="P2" s="698"/>
      <c r="Q2" s="698"/>
      <c r="R2" s="698"/>
      <c r="S2" s="698"/>
      <c r="T2" s="698"/>
      <c r="U2" s="698"/>
      <c r="V2" s="698"/>
      <c r="W2" s="698"/>
      <c r="X2" s="698"/>
      <c r="Y2" s="698"/>
      <c r="Z2" s="698"/>
      <c r="AA2" s="698"/>
      <c r="AB2" s="698"/>
      <c r="AC2" s="698"/>
      <c r="AD2" s="698"/>
      <c r="AE2" s="698"/>
      <c r="AF2" s="698"/>
      <c r="AG2" s="698"/>
      <c r="AH2" s="698"/>
      <c r="AI2" s="698"/>
      <c r="AJ2" s="698"/>
      <c r="AK2" s="698"/>
      <c r="AL2" s="698"/>
      <c r="AM2" s="698"/>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row>
    <row r="3" spans="1:99" ht="18.75" customHeight="1" x14ac:dyDescent="0.25">
      <c r="A3" s="73"/>
      <c r="B3" s="661"/>
      <c r="C3" s="661"/>
      <c r="D3" s="661"/>
      <c r="E3" s="661"/>
      <c r="F3" s="661"/>
      <c r="G3" s="661"/>
      <c r="H3" s="661"/>
      <c r="I3" s="661"/>
      <c r="J3" s="698"/>
      <c r="K3" s="698"/>
      <c r="L3" s="698"/>
      <c r="M3" s="698"/>
      <c r="N3" s="698"/>
      <c r="O3" s="698"/>
      <c r="P3" s="698"/>
      <c r="Q3" s="698"/>
      <c r="R3" s="698"/>
      <c r="S3" s="698"/>
      <c r="T3" s="698"/>
      <c r="U3" s="698"/>
      <c r="V3" s="698"/>
      <c r="W3" s="698"/>
      <c r="X3" s="698"/>
      <c r="Y3" s="698"/>
      <c r="Z3" s="698"/>
      <c r="AA3" s="698"/>
      <c r="AB3" s="698"/>
      <c r="AC3" s="698"/>
      <c r="AD3" s="698"/>
      <c r="AE3" s="698"/>
      <c r="AF3" s="698"/>
      <c r="AG3" s="698"/>
      <c r="AH3" s="698"/>
      <c r="AI3" s="698"/>
      <c r="AJ3" s="698"/>
      <c r="AK3" s="698"/>
      <c r="AL3" s="698"/>
      <c r="AM3" s="698"/>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row>
    <row r="4" spans="1:99" ht="15" customHeight="1" x14ac:dyDescent="0.25">
      <c r="A4" s="73"/>
      <c r="B4" s="661"/>
      <c r="C4" s="661"/>
      <c r="D4" s="661"/>
      <c r="E4" s="661"/>
      <c r="F4" s="661"/>
      <c r="G4" s="661"/>
      <c r="H4" s="661"/>
      <c r="I4" s="661"/>
      <c r="J4" s="698"/>
      <c r="K4" s="698"/>
      <c r="L4" s="698"/>
      <c r="M4" s="698"/>
      <c r="N4" s="698"/>
      <c r="O4" s="698"/>
      <c r="P4" s="698"/>
      <c r="Q4" s="698"/>
      <c r="R4" s="698"/>
      <c r="S4" s="698"/>
      <c r="T4" s="698"/>
      <c r="U4" s="698"/>
      <c r="V4" s="698"/>
      <c r="W4" s="698"/>
      <c r="X4" s="698"/>
      <c r="Y4" s="698"/>
      <c r="Z4" s="698"/>
      <c r="AA4" s="698"/>
      <c r="AB4" s="698"/>
      <c r="AC4" s="698"/>
      <c r="AD4" s="698"/>
      <c r="AE4" s="698"/>
      <c r="AF4" s="698"/>
      <c r="AG4" s="698"/>
      <c r="AH4" s="698"/>
      <c r="AI4" s="698"/>
      <c r="AJ4" s="698"/>
      <c r="AK4" s="698"/>
      <c r="AL4" s="698"/>
      <c r="AM4" s="698"/>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row>
    <row r="5" spans="1:99"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row>
    <row r="6" spans="1:99" ht="15" customHeight="1" x14ac:dyDescent="0.25">
      <c r="A6" s="73"/>
      <c r="B6" s="709" t="s">
        <v>381</v>
      </c>
      <c r="C6" s="709"/>
      <c r="D6" s="710"/>
      <c r="E6" s="699" t="s">
        <v>382</v>
      </c>
      <c r="F6" s="700"/>
      <c r="G6" s="700"/>
      <c r="H6" s="700"/>
      <c r="I6" s="701"/>
      <c r="J6" s="695" t="e">
        <f>IF(AND(#REF!="Muy Alta",#REF!="Leve"),CONCATENATE("R",#REF!),"")</f>
        <v>#REF!</v>
      </c>
      <c r="K6" s="696"/>
      <c r="L6" s="696" t="e">
        <f>IF(AND(#REF!="Muy Alta",#REF!="Leve"),CONCATENATE("R",#REF!),"")</f>
        <v>#REF!</v>
      </c>
      <c r="M6" s="696"/>
      <c r="N6" s="696" t="e">
        <f>IF(AND(#REF!="Muy Alta",#REF!="Leve"),CONCATENATE("R",#REF!),"")</f>
        <v>#REF!</v>
      </c>
      <c r="O6" s="697"/>
      <c r="P6" s="695" t="e">
        <f>IF(AND(#REF!="Muy Alta",#REF!="Menor"),CONCATENATE("R",#REF!),"")</f>
        <v>#REF!</v>
      </c>
      <c r="Q6" s="696"/>
      <c r="R6" s="696" t="e">
        <f>IF(AND(#REF!="Muy Alta",#REF!="Menor"),CONCATENATE("R",#REF!),"")</f>
        <v>#REF!</v>
      </c>
      <c r="S6" s="696"/>
      <c r="T6" s="696" t="e">
        <f>IF(AND(#REF!="Muy Alta",#REF!="Menor"),CONCATENATE("R",#REF!),"")</f>
        <v>#REF!</v>
      </c>
      <c r="U6" s="697"/>
      <c r="V6" s="695" t="e">
        <f>IF(AND(#REF!="Muy Alta",#REF!="Moderado"),CONCATENATE("R",#REF!),"")</f>
        <v>#REF!</v>
      </c>
      <c r="W6" s="696"/>
      <c r="X6" s="696" t="e">
        <f>IF(AND(#REF!="Muy Alta",#REF!="Moderado"),CONCATENATE("R",#REF!),"")</f>
        <v>#REF!</v>
      </c>
      <c r="Y6" s="696"/>
      <c r="Z6" s="696" t="e">
        <f>IF(AND(#REF!="Muy Alta",#REF!="Moderado"),CONCATENATE("R",#REF!),"")</f>
        <v>#REF!</v>
      </c>
      <c r="AA6" s="697"/>
      <c r="AB6" s="695" t="e">
        <f>IF(AND(#REF!="Muy Alta",#REF!="Mayor"),CONCATENATE("R",#REF!),"")</f>
        <v>#REF!</v>
      </c>
      <c r="AC6" s="696"/>
      <c r="AD6" s="696" t="e">
        <f>IF(AND(#REF!="Muy Alta",#REF!="Mayor"),CONCATENATE("R",#REF!),"")</f>
        <v>#REF!</v>
      </c>
      <c r="AE6" s="696"/>
      <c r="AF6" s="696" t="e">
        <f>IF(AND(#REF!="Muy Alta",#REF!="Mayor"),CONCATENATE("R",#REF!),"")</f>
        <v>#REF!</v>
      </c>
      <c r="AG6" s="697"/>
      <c r="AH6" s="686" t="e">
        <f>IF(AND(#REF!="Muy Alta",#REF!="Catastrófico"),CONCATENATE("R",#REF!),"")</f>
        <v>#REF!</v>
      </c>
      <c r="AI6" s="687"/>
      <c r="AJ6" s="687" t="e">
        <f>IF(AND(#REF!="Muy Alta",#REF!="Catastrófico"),CONCATENATE("R",#REF!),"")</f>
        <v>#REF!</v>
      </c>
      <c r="AK6" s="687"/>
      <c r="AL6" s="687" t="e">
        <f>IF(AND(#REF!="Muy Alta",#REF!="Catastrófico"),CONCATENATE("R",#REF!),"")</f>
        <v>#REF!</v>
      </c>
      <c r="AM6" s="688"/>
      <c r="AO6" s="711" t="s">
        <v>383</v>
      </c>
      <c r="AP6" s="712"/>
      <c r="AQ6" s="712"/>
      <c r="AR6" s="712"/>
      <c r="AS6" s="712"/>
      <c r="AT6" s="71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99" ht="15" customHeight="1" x14ac:dyDescent="0.25">
      <c r="A7" s="73"/>
      <c r="B7" s="709"/>
      <c r="C7" s="709"/>
      <c r="D7" s="710"/>
      <c r="E7" s="702"/>
      <c r="F7" s="703"/>
      <c r="G7" s="703"/>
      <c r="H7" s="703"/>
      <c r="I7" s="704"/>
      <c r="J7" s="689"/>
      <c r="K7" s="690"/>
      <c r="L7" s="690"/>
      <c r="M7" s="690"/>
      <c r="N7" s="690"/>
      <c r="O7" s="691"/>
      <c r="P7" s="689"/>
      <c r="Q7" s="690"/>
      <c r="R7" s="690"/>
      <c r="S7" s="690"/>
      <c r="T7" s="690"/>
      <c r="U7" s="691"/>
      <c r="V7" s="689"/>
      <c r="W7" s="690"/>
      <c r="X7" s="690"/>
      <c r="Y7" s="690"/>
      <c r="Z7" s="690"/>
      <c r="AA7" s="691"/>
      <c r="AB7" s="689"/>
      <c r="AC7" s="690"/>
      <c r="AD7" s="690"/>
      <c r="AE7" s="690"/>
      <c r="AF7" s="690"/>
      <c r="AG7" s="691"/>
      <c r="AH7" s="680"/>
      <c r="AI7" s="681"/>
      <c r="AJ7" s="681"/>
      <c r="AK7" s="681"/>
      <c r="AL7" s="681"/>
      <c r="AM7" s="682"/>
      <c r="AN7" s="73"/>
      <c r="AO7" s="714"/>
      <c r="AP7" s="715"/>
      <c r="AQ7" s="715"/>
      <c r="AR7" s="715"/>
      <c r="AS7" s="715"/>
      <c r="AT7" s="716"/>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row>
    <row r="8" spans="1:99" ht="15" customHeight="1" x14ac:dyDescent="0.25">
      <c r="A8" s="73"/>
      <c r="B8" s="709"/>
      <c r="C8" s="709"/>
      <c r="D8" s="710"/>
      <c r="E8" s="702"/>
      <c r="F8" s="703"/>
      <c r="G8" s="703"/>
      <c r="H8" s="703"/>
      <c r="I8" s="704"/>
      <c r="J8" s="689" t="e">
        <f>IF(AND(#REF!="Muy Alta",#REF!="Leve"),CONCATENATE("R",#REF!),"")</f>
        <v>#REF!</v>
      </c>
      <c r="K8" s="690"/>
      <c r="L8" s="690" t="e">
        <f>IF(AND(#REF!="Muy Alta",#REF!="Leve"),CONCATENATE("R",#REF!),"")</f>
        <v>#REF!</v>
      </c>
      <c r="M8" s="690"/>
      <c r="N8" s="690" t="e">
        <f>IF(AND(#REF!="Muy Alta",#REF!="Leve"),CONCATENATE("R",#REF!),"")</f>
        <v>#REF!</v>
      </c>
      <c r="O8" s="691"/>
      <c r="P8" s="689" t="e">
        <f>IF(AND(#REF!="Muy Alta",#REF!="Menor"),CONCATENATE("R",#REF!),"")</f>
        <v>#REF!</v>
      </c>
      <c r="Q8" s="690"/>
      <c r="R8" s="690" t="e">
        <f>IF(AND(#REF!="Muy Alta",#REF!="Menor"),CONCATENATE("R",#REF!),"")</f>
        <v>#REF!</v>
      </c>
      <c r="S8" s="690"/>
      <c r="T8" s="690" t="e">
        <f>IF(AND(#REF!="Muy Alta",#REF!="Menor"),CONCATENATE("R",#REF!),"")</f>
        <v>#REF!</v>
      </c>
      <c r="U8" s="691"/>
      <c r="V8" s="689" t="e">
        <f>IF(AND(#REF!="Muy Alta",#REF!="Moderado"),CONCATENATE("R",#REF!),"")</f>
        <v>#REF!</v>
      </c>
      <c r="W8" s="690"/>
      <c r="X8" s="690" t="e">
        <f>IF(AND(#REF!="Muy Alta",#REF!="Moderado"),CONCATENATE("R",#REF!),"")</f>
        <v>#REF!</v>
      </c>
      <c r="Y8" s="690"/>
      <c r="Z8" s="690" t="e">
        <f>IF(AND(#REF!="Muy Alta",#REF!="Moderado"),CONCATENATE("R",#REF!),"")</f>
        <v>#REF!</v>
      </c>
      <c r="AA8" s="691"/>
      <c r="AB8" s="689" t="e">
        <f>IF(AND(#REF!="Muy Alta",#REF!="Mayor"),CONCATENATE("R",#REF!),"")</f>
        <v>#REF!</v>
      </c>
      <c r="AC8" s="690"/>
      <c r="AD8" s="690" t="e">
        <f>IF(AND(#REF!="Muy Alta",#REF!="Mayor"),CONCATENATE("R",#REF!),"")</f>
        <v>#REF!</v>
      </c>
      <c r="AE8" s="690"/>
      <c r="AF8" s="690" t="e">
        <f>IF(AND(#REF!="Muy Alta",#REF!="Mayor"),CONCATENATE("R",#REF!),"")</f>
        <v>#REF!</v>
      </c>
      <c r="AG8" s="691"/>
      <c r="AH8" s="680" t="e">
        <f>IF(AND(#REF!="Muy Alta",#REF!="Catastrófico"),CONCATENATE("R",#REF!),"")</f>
        <v>#REF!</v>
      </c>
      <c r="AI8" s="681"/>
      <c r="AJ8" s="681" t="e">
        <f>IF(AND(#REF!="Muy Alta",#REF!="Catastrófico"),CONCATENATE("R",#REF!),"")</f>
        <v>#REF!</v>
      </c>
      <c r="AK8" s="681"/>
      <c r="AL8" s="681" t="e">
        <f>IF(AND(#REF!="Muy Alta",#REF!="Catastrófico"),CONCATENATE("R",#REF!),"")</f>
        <v>#REF!</v>
      </c>
      <c r="AM8" s="682"/>
      <c r="AN8" s="73"/>
      <c r="AO8" s="714"/>
      <c r="AP8" s="715"/>
      <c r="AQ8" s="715"/>
      <c r="AR8" s="715"/>
      <c r="AS8" s="715"/>
      <c r="AT8" s="716"/>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row>
    <row r="9" spans="1:99" ht="15" customHeight="1" x14ac:dyDescent="0.25">
      <c r="A9" s="73"/>
      <c r="B9" s="709"/>
      <c r="C9" s="709"/>
      <c r="D9" s="710"/>
      <c r="E9" s="702"/>
      <c r="F9" s="703"/>
      <c r="G9" s="703"/>
      <c r="H9" s="703"/>
      <c r="I9" s="704"/>
      <c r="J9" s="689"/>
      <c r="K9" s="690"/>
      <c r="L9" s="690"/>
      <c r="M9" s="690"/>
      <c r="N9" s="690"/>
      <c r="O9" s="691"/>
      <c r="P9" s="689"/>
      <c r="Q9" s="690"/>
      <c r="R9" s="690"/>
      <c r="S9" s="690"/>
      <c r="T9" s="690"/>
      <c r="U9" s="691"/>
      <c r="V9" s="689"/>
      <c r="W9" s="690"/>
      <c r="X9" s="690"/>
      <c r="Y9" s="690"/>
      <c r="Z9" s="690"/>
      <c r="AA9" s="691"/>
      <c r="AB9" s="689"/>
      <c r="AC9" s="690"/>
      <c r="AD9" s="690"/>
      <c r="AE9" s="690"/>
      <c r="AF9" s="690"/>
      <c r="AG9" s="691"/>
      <c r="AH9" s="680"/>
      <c r="AI9" s="681"/>
      <c r="AJ9" s="681"/>
      <c r="AK9" s="681"/>
      <c r="AL9" s="681"/>
      <c r="AM9" s="682"/>
      <c r="AN9" s="73"/>
      <c r="AO9" s="714"/>
      <c r="AP9" s="715"/>
      <c r="AQ9" s="715"/>
      <c r="AR9" s="715"/>
      <c r="AS9" s="715"/>
      <c r="AT9" s="716"/>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row>
    <row r="10" spans="1:99" ht="15" customHeight="1" x14ac:dyDescent="0.25">
      <c r="A10" s="73"/>
      <c r="B10" s="709"/>
      <c r="C10" s="709"/>
      <c r="D10" s="710"/>
      <c r="E10" s="702"/>
      <c r="F10" s="703"/>
      <c r="G10" s="703"/>
      <c r="H10" s="703"/>
      <c r="I10" s="704"/>
      <c r="J10" s="689" t="e">
        <f>IF(AND(#REF!="Muy Alta",#REF!="Leve"),CONCATENATE("R",#REF!),"")</f>
        <v>#REF!</v>
      </c>
      <c r="K10" s="690"/>
      <c r="L10" s="690" t="e">
        <f>IF(AND(#REF!="Muy Alta",#REF!="Leve"),CONCATENATE("R",#REF!),"")</f>
        <v>#REF!</v>
      </c>
      <c r="M10" s="690"/>
      <c r="N10" s="690" t="e">
        <f>IF(AND(#REF!="Muy Alta",#REF!="Leve"),CONCATENATE("R",#REF!),"")</f>
        <v>#REF!</v>
      </c>
      <c r="O10" s="691"/>
      <c r="P10" s="689" t="e">
        <f>IF(AND(#REF!="Muy Alta",#REF!="Menor"),CONCATENATE("R",#REF!),"")</f>
        <v>#REF!</v>
      </c>
      <c r="Q10" s="690"/>
      <c r="R10" s="690" t="e">
        <f>IF(AND(#REF!="Muy Alta",#REF!="Menor"),CONCATENATE("R",#REF!),"")</f>
        <v>#REF!</v>
      </c>
      <c r="S10" s="690"/>
      <c r="T10" s="690" t="e">
        <f>IF(AND(#REF!="Muy Alta",#REF!="Menor"),CONCATENATE("R",#REF!),"")</f>
        <v>#REF!</v>
      </c>
      <c r="U10" s="691"/>
      <c r="V10" s="689" t="e">
        <f>IF(AND(#REF!="Muy Alta",#REF!="Moderado"),CONCATENATE("R",#REF!),"")</f>
        <v>#REF!</v>
      </c>
      <c r="W10" s="690"/>
      <c r="X10" s="690" t="e">
        <f>IF(AND(#REF!="Muy Alta",#REF!="Moderado"),CONCATENATE("R",#REF!),"")</f>
        <v>#REF!</v>
      </c>
      <c r="Y10" s="690"/>
      <c r="Z10" s="690" t="e">
        <f>IF(AND(#REF!="Muy Alta",#REF!="Moderado"),CONCATENATE("R",#REF!),"")</f>
        <v>#REF!</v>
      </c>
      <c r="AA10" s="691"/>
      <c r="AB10" s="689" t="e">
        <f>IF(AND(#REF!="Muy Alta",#REF!="Mayor"),CONCATENATE("R",#REF!),"")</f>
        <v>#REF!</v>
      </c>
      <c r="AC10" s="690"/>
      <c r="AD10" s="690" t="e">
        <f>IF(AND(#REF!="Muy Alta",#REF!="Mayor"),CONCATENATE("R",#REF!),"")</f>
        <v>#REF!</v>
      </c>
      <c r="AE10" s="690"/>
      <c r="AF10" s="690" t="e">
        <f>IF(AND(#REF!="Muy Alta",#REF!="Mayor"),CONCATENATE("R",#REF!),"")</f>
        <v>#REF!</v>
      </c>
      <c r="AG10" s="691"/>
      <c r="AH10" s="680" t="e">
        <f>IF(AND(#REF!="Muy Alta",#REF!="Catastrófico"),CONCATENATE("R",#REF!),"")</f>
        <v>#REF!</v>
      </c>
      <c r="AI10" s="681"/>
      <c r="AJ10" s="681" t="e">
        <f>IF(AND(#REF!="Muy Alta",#REF!="Catastrófico"),CONCATENATE("R",#REF!),"")</f>
        <v>#REF!</v>
      </c>
      <c r="AK10" s="681"/>
      <c r="AL10" s="681" t="e">
        <f>IF(AND(#REF!="Muy Alta",#REF!="Catastrófico"),CONCATENATE("R",#REF!),"")</f>
        <v>#REF!</v>
      </c>
      <c r="AM10" s="682"/>
      <c r="AN10" s="73"/>
      <c r="AO10" s="714"/>
      <c r="AP10" s="715"/>
      <c r="AQ10" s="715"/>
      <c r="AR10" s="715"/>
      <c r="AS10" s="715"/>
      <c r="AT10" s="716"/>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row>
    <row r="11" spans="1:99" ht="15" customHeight="1" x14ac:dyDescent="0.25">
      <c r="A11" s="73"/>
      <c r="B11" s="709"/>
      <c r="C11" s="709"/>
      <c r="D11" s="710"/>
      <c r="E11" s="702"/>
      <c r="F11" s="703"/>
      <c r="G11" s="703"/>
      <c r="H11" s="703"/>
      <c r="I11" s="704"/>
      <c r="J11" s="689"/>
      <c r="K11" s="690"/>
      <c r="L11" s="690"/>
      <c r="M11" s="690"/>
      <c r="N11" s="690"/>
      <c r="O11" s="691"/>
      <c r="P11" s="689"/>
      <c r="Q11" s="690"/>
      <c r="R11" s="690"/>
      <c r="S11" s="690"/>
      <c r="T11" s="690"/>
      <c r="U11" s="691"/>
      <c r="V11" s="689"/>
      <c r="W11" s="690"/>
      <c r="X11" s="690"/>
      <c r="Y11" s="690"/>
      <c r="Z11" s="690"/>
      <c r="AA11" s="691"/>
      <c r="AB11" s="689"/>
      <c r="AC11" s="690"/>
      <c r="AD11" s="690"/>
      <c r="AE11" s="690"/>
      <c r="AF11" s="690"/>
      <c r="AG11" s="691"/>
      <c r="AH11" s="680"/>
      <c r="AI11" s="681"/>
      <c r="AJ11" s="681"/>
      <c r="AK11" s="681"/>
      <c r="AL11" s="681"/>
      <c r="AM11" s="682"/>
      <c r="AN11" s="73"/>
      <c r="AO11" s="714"/>
      <c r="AP11" s="715"/>
      <c r="AQ11" s="715"/>
      <c r="AR11" s="715"/>
      <c r="AS11" s="715"/>
      <c r="AT11" s="716"/>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row>
    <row r="12" spans="1:99" ht="15" customHeight="1" x14ac:dyDescent="0.25">
      <c r="A12" s="73"/>
      <c r="B12" s="709"/>
      <c r="C12" s="709"/>
      <c r="D12" s="710"/>
      <c r="E12" s="702"/>
      <c r="F12" s="703"/>
      <c r="G12" s="703"/>
      <c r="H12" s="703"/>
      <c r="I12" s="704"/>
      <c r="J12" s="689" t="e">
        <f>IF(AND(#REF!="Muy Alta",#REF!="Leve"),CONCATENATE("R",#REF!),"")</f>
        <v>#REF!</v>
      </c>
      <c r="K12" s="690"/>
      <c r="L12" s="690" t="e">
        <f>IF(AND(#REF!="Muy Alta",#REF!="Leve"),CONCATENATE("R",#REF!),"")</f>
        <v>#REF!</v>
      </c>
      <c r="M12" s="690"/>
      <c r="N12" s="690" t="e">
        <f>IF(AND(#REF!="Muy Alta",#REF!="Leve"),CONCATENATE("R",#REF!),"")</f>
        <v>#REF!</v>
      </c>
      <c r="O12" s="691"/>
      <c r="P12" s="689" t="e">
        <f>IF(AND(#REF!="Muy Alta",#REF!="Menor"),CONCATENATE("R",#REF!),"")</f>
        <v>#REF!</v>
      </c>
      <c r="Q12" s="690"/>
      <c r="R12" s="690" t="e">
        <f>IF(AND(#REF!="Muy Alta",#REF!="Menor"),CONCATENATE("R",#REF!),"")</f>
        <v>#REF!</v>
      </c>
      <c r="S12" s="690"/>
      <c r="T12" s="690" t="e">
        <f>IF(AND(#REF!="Muy Alta",#REF!="Menor"),CONCATENATE("R",#REF!),"")</f>
        <v>#REF!</v>
      </c>
      <c r="U12" s="691"/>
      <c r="V12" s="689" t="e">
        <f>IF(AND(#REF!="Muy Alta",#REF!="Moderado"),CONCATENATE("R",#REF!),"")</f>
        <v>#REF!</v>
      </c>
      <c r="W12" s="690"/>
      <c r="X12" s="690" t="e">
        <f>IF(AND(#REF!="Muy Alta",#REF!="Moderado"),CONCATENATE("R",#REF!),"")</f>
        <v>#REF!</v>
      </c>
      <c r="Y12" s="690"/>
      <c r="Z12" s="690" t="e">
        <f>IF(AND(#REF!="Muy Alta",#REF!="Moderado"),CONCATENATE("R",#REF!),"")</f>
        <v>#REF!</v>
      </c>
      <c r="AA12" s="691"/>
      <c r="AB12" s="689" t="e">
        <f>IF(AND(#REF!="Muy Alta",#REF!="Mayor"),CONCATENATE("R",#REF!),"")</f>
        <v>#REF!</v>
      </c>
      <c r="AC12" s="690"/>
      <c r="AD12" s="690" t="e">
        <f>IF(AND(#REF!="Muy Alta",#REF!="Mayor"),CONCATENATE("R",#REF!),"")</f>
        <v>#REF!</v>
      </c>
      <c r="AE12" s="690"/>
      <c r="AF12" s="690" t="e">
        <f>IF(AND(#REF!="Muy Alta",#REF!="Mayor"),CONCATENATE("R",#REF!),"")</f>
        <v>#REF!</v>
      </c>
      <c r="AG12" s="691"/>
      <c r="AH12" s="680" t="e">
        <f>IF(AND(#REF!="Muy Alta",#REF!="Catastrófico"),CONCATENATE("R",#REF!),"")</f>
        <v>#REF!</v>
      </c>
      <c r="AI12" s="681"/>
      <c r="AJ12" s="681" t="e">
        <f>IF(AND(#REF!="Muy Alta",#REF!="Catastrófico"),CONCATENATE("R",#REF!),"")</f>
        <v>#REF!</v>
      </c>
      <c r="AK12" s="681"/>
      <c r="AL12" s="681" t="e">
        <f>IF(AND(#REF!="Muy Alta",#REF!="Catastrófico"),CONCATENATE("R",#REF!),"")</f>
        <v>#REF!</v>
      </c>
      <c r="AM12" s="682"/>
      <c r="AN12" s="73"/>
      <c r="AO12" s="714"/>
      <c r="AP12" s="715"/>
      <c r="AQ12" s="715"/>
      <c r="AR12" s="715"/>
      <c r="AS12" s="715"/>
      <c r="AT12" s="716"/>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row>
    <row r="13" spans="1:99" ht="15.75" customHeight="1" thickBot="1" x14ac:dyDescent="0.3">
      <c r="A13" s="73"/>
      <c r="B13" s="709"/>
      <c r="C13" s="709"/>
      <c r="D13" s="710"/>
      <c r="E13" s="705"/>
      <c r="F13" s="706"/>
      <c r="G13" s="706"/>
      <c r="H13" s="706"/>
      <c r="I13" s="707"/>
      <c r="J13" s="689"/>
      <c r="K13" s="690"/>
      <c r="L13" s="690"/>
      <c r="M13" s="690"/>
      <c r="N13" s="690"/>
      <c r="O13" s="691"/>
      <c r="P13" s="689"/>
      <c r="Q13" s="690"/>
      <c r="R13" s="690"/>
      <c r="S13" s="690"/>
      <c r="T13" s="690"/>
      <c r="U13" s="691"/>
      <c r="V13" s="689"/>
      <c r="W13" s="690"/>
      <c r="X13" s="690"/>
      <c r="Y13" s="690"/>
      <c r="Z13" s="690"/>
      <c r="AA13" s="691"/>
      <c r="AB13" s="689"/>
      <c r="AC13" s="690"/>
      <c r="AD13" s="690"/>
      <c r="AE13" s="690"/>
      <c r="AF13" s="690"/>
      <c r="AG13" s="691"/>
      <c r="AH13" s="683"/>
      <c r="AI13" s="684"/>
      <c r="AJ13" s="684"/>
      <c r="AK13" s="684"/>
      <c r="AL13" s="684"/>
      <c r="AM13" s="685"/>
      <c r="AN13" s="73"/>
      <c r="AO13" s="717"/>
      <c r="AP13" s="718"/>
      <c r="AQ13" s="718"/>
      <c r="AR13" s="718"/>
      <c r="AS13" s="718"/>
      <c r="AT13" s="719"/>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row>
    <row r="14" spans="1:99" ht="15" customHeight="1" x14ac:dyDescent="0.25">
      <c r="A14" s="73"/>
      <c r="B14" s="709"/>
      <c r="C14" s="709"/>
      <c r="D14" s="710"/>
      <c r="E14" s="699" t="s">
        <v>384</v>
      </c>
      <c r="F14" s="700"/>
      <c r="G14" s="700"/>
      <c r="H14" s="700"/>
      <c r="I14" s="700"/>
      <c r="J14" s="677" t="e">
        <f>IF(AND(#REF!="Alta",#REF!="Leve"),CONCATENATE("R",#REF!),"")</f>
        <v>#REF!</v>
      </c>
      <c r="K14" s="678"/>
      <c r="L14" s="678" t="e">
        <f>IF(AND(#REF!="Alta",#REF!="Leve"),CONCATENATE("R",#REF!),"")</f>
        <v>#REF!</v>
      </c>
      <c r="M14" s="678"/>
      <c r="N14" s="678" t="e">
        <f>IF(AND(#REF!="Alta",#REF!="Leve"),CONCATENATE("R",#REF!),"")</f>
        <v>#REF!</v>
      </c>
      <c r="O14" s="679"/>
      <c r="P14" s="677" t="e">
        <f>IF(AND(#REF!="Alta",#REF!="Menor"),CONCATENATE("R",#REF!),"")</f>
        <v>#REF!</v>
      </c>
      <c r="Q14" s="678"/>
      <c r="R14" s="678" t="e">
        <f>IF(AND(#REF!="Alta",#REF!="Menor"),CONCATENATE("R",#REF!),"")</f>
        <v>#REF!</v>
      </c>
      <c r="S14" s="678"/>
      <c r="T14" s="678" t="e">
        <f>IF(AND(#REF!="Alta",#REF!="Menor"),CONCATENATE("R",#REF!),"")</f>
        <v>#REF!</v>
      </c>
      <c r="U14" s="679"/>
      <c r="V14" s="695" t="e">
        <f>IF(AND(#REF!="Alta",#REF!="Moderado"),CONCATENATE("R",#REF!),"")</f>
        <v>#REF!</v>
      </c>
      <c r="W14" s="696"/>
      <c r="X14" s="696" t="e">
        <f>IF(AND(#REF!="Alta",#REF!="Moderado"),CONCATENATE("R",#REF!),"")</f>
        <v>#REF!</v>
      </c>
      <c r="Y14" s="696"/>
      <c r="Z14" s="696" t="e">
        <f>IF(AND(#REF!="Alta",#REF!="Moderado"),CONCATENATE("R",#REF!),"")</f>
        <v>#REF!</v>
      </c>
      <c r="AA14" s="697"/>
      <c r="AB14" s="695" t="e">
        <f>IF(AND(#REF!="Alta",#REF!="Mayor"),CONCATENATE("R",#REF!),"")</f>
        <v>#REF!</v>
      </c>
      <c r="AC14" s="696"/>
      <c r="AD14" s="696" t="e">
        <f>IF(AND(#REF!="Alta",#REF!="Mayor"),CONCATENATE("R",#REF!),"")</f>
        <v>#REF!</v>
      </c>
      <c r="AE14" s="696"/>
      <c r="AF14" s="696" t="e">
        <f>IF(AND(#REF!="Alta",#REF!="Mayor"),CONCATENATE("R",#REF!),"")</f>
        <v>#REF!</v>
      </c>
      <c r="AG14" s="697"/>
      <c r="AH14" s="686" t="e">
        <f>IF(AND(#REF!="Alta",#REF!="Catastrófico"),CONCATENATE("R",#REF!),"")</f>
        <v>#REF!</v>
      </c>
      <c r="AI14" s="687"/>
      <c r="AJ14" s="687" t="e">
        <f>IF(AND(#REF!="Alta",#REF!="Catastrófico"),CONCATENATE("R",#REF!),"")</f>
        <v>#REF!</v>
      </c>
      <c r="AK14" s="687"/>
      <c r="AL14" s="687" t="e">
        <f>IF(AND(#REF!="Alta",#REF!="Catastrófico"),CONCATENATE("R",#REF!),"")</f>
        <v>#REF!</v>
      </c>
      <c r="AM14" s="688"/>
      <c r="AN14" s="73"/>
      <c r="AO14" s="720" t="s">
        <v>385</v>
      </c>
      <c r="AP14" s="721"/>
      <c r="AQ14" s="721"/>
      <c r="AR14" s="721"/>
      <c r="AS14" s="721"/>
      <c r="AT14" s="722"/>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row>
    <row r="15" spans="1:99" ht="15" customHeight="1" x14ac:dyDescent="0.25">
      <c r="A15" s="73"/>
      <c r="B15" s="709"/>
      <c r="C15" s="709"/>
      <c r="D15" s="710"/>
      <c r="E15" s="702"/>
      <c r="F15" s="703"/>
      <c r="G15" s="703"/>
      <c r="H15" s="703"/>
      <c r="I15" s="703"/>
      <c r="J15" s="671"/>
      <c r="K15" s="672"/>
      <c r="L15" s="672"/>
      <c r="M15" s="672"/>
      <c r="N15" s="672"/>
      <c r="O15" s="673"/>
      <c r="P15" s="671"/>
      <c r="Q15" s="672"/>
      <c r="R15" s="672"/>
      <c r="S15" s="672"/>
      <c r="T15" s="672"/>
      <c r="U15" s="673"/>
      <c r="V15" s="689"/>
      <c r="W15" s="690"/>
      <c r="X15" s="690"/>
      <c r="Y15" s="690"/>
      <c r="Z15" s="690"/>
      <c r="AA15" s="691"/>
      <c r="AB15" s="689"/>
      <c r="AC15" s="690"/>
      <c r="AD15" s="690"/>
      <c r="AE15" s="690"/>
      <c r="AF15" s="690"/>
      <c r="AG15" s="691"/>
      <c r="AH15" s="680"/>
      <c r="AI15" s="681"/>
      <c r="AJ15" s="681"/>
      <c r="AK15" s="681"/>
      <c r="AL15" s="681"/>
      <c r="AM15" s="682"/>
      <c r="AN15" s="73"/>
      <c r="AO15" s="723"/>
      <c r="AP15" s="724"/>
      <c r="AQ15" s="724"/>
      <c r="AR15" s="724"/>
      <c r="AS15" s="724"/>
      <c r="AT15" s="725"/>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row>
    <row r="16" spans="1:99" ht="15" customHeight="1" x14ac:dyDescent="0.25">
      <c r="A16" s="73"/>
      <c r="B16" s="709"/>
      <c r="C16" s="709"/>
      <c r="D16" s="710"/>
      <c r="E16" s="702"/>
      <c r="F16" s="703"/>
      <c r="G16" s="703"/>
      <c r="H16" s="703"/>
      <c r="I16" s="703"/>
      <c r="J16" s="671" t="e">
        <f>IF(AND(#REF!="Alta",#REF!="Leve"),CONCATENATE("R",#REF!),"")</f>
        <v>#REF!</v>
      </c>
      <c r="K16" s="672"/>
      <c r="L16" s="672" t="e">
        <f>IF(AND(#REF!="Alta",#REF!="Leve"),CONCATENATE("R",#REF!),"")</f>
        <v>#REF!</v>
      </c>
      <c r="M16" s="672"/>
      <c r="N16" s="672" t="e">
        <f>IF(AND(#REF!="Alta",#REF!="Leve"),CONCATENATE("R",#REF!),"")</f>
        <v>#REF!</v>
      </c>
      <c r="O16" s="673"/>
      <c r="P16" s="671" t="e">
        <f>IF(AND(#REF!="Alta",#REF!="Menor"),CONCATENATE("R",#REF!),"")</f>
        <v>#REF!</v>
      </c>
      <c r="Q16" s="672"/>
      <c r="R16" s="672" t="e">
        <f>IF(AND(#REF!="Alta",#REF!="Menor"),CONCATENATE("R",#REF!),"")</f>
        <v>#REF!</v>
      </c>
      <c r="S16" s="672"/>
      <c r="T16" s="672" t="e">
        <f>IF(AND(#REF!="Alta",#REF!="Menor"),CONCATENATE("R",#REF!),"")</f>
        <v>#REF!</v>
      </c>
      <c r="U16" s="673"/>
      <c r="V16" s="689" t="e">
        <f>IF(AND(#REF!="Alta",#REF!="Moderado"),CONCATENATE("R",#REF!),"")</f>
        <v>#REF!</v>
      </c>
      <c r="W16" s="690"/>
      <c r="X16" s="690" t="e">
        <f>IF(AND(#REF!="Alta",#REF!="Moderado"),CONCATENATE("R",#REF!),"")</f>
        <v>#REF!</v>
      </c>
      <c r="Y16" s="690"/>
      <c r="Z16" s="690" t="e">
        <f>IF(AND(#REF!="Alta",#REF!="Moderado"),CONCATENATE("R",#REF!),"")</f>
        <v>#REF!</v>
      </c>
      <c r="AA16" s="691"/>
      <c r="AB16" s="689" t="e">
        <f>IF(AND(#REF!="Alta",#REF!="Mayor"),CONCATENATE("R",#REF!),"")</f>
        <v>#REF!</v>
      </c>
      <c r="AC16" s="690"/>
      <c r="AD16" s="690" t="e">
        <f>IF(AND(#REF!="Alta",#REF!="Mayor"),CONCATENATE("R",#REF!),"")</f>
        <v>#REF!</v>
      </c>
      <c r="AE16" s="690"/>
      <c r="AF16" s="690" t="e">
        <f>IF(AND(#REF!="Alta",#REF!="Mayor"),CONCATENATE("R",#REF!),"")</f>
        <v>#REF!</v>
      </c>
      <c r="AG16" s="691"/>
      <c r="AH16" s="680" t="e">
        <f>IF(AND(#REF!="Alta",#REF!="Catastrófico"),CONCATENATE("R",#REF!),"")</f>
        <v>#REF!</v>
      </c>
      <c r="AI16" s="681"/>
      <c r="AJ16" s="681" t="e">
        <f>IF(AND(#REF!="Alta",#REF!="Catastrófico"),CONCATENATE("R",#REF!),"")</f>
        <v>#REF!</v>
      </c>
      <c r="AK16" s="681"/>
      <c r="AL16" s="681" t="e">
        <f>IF(AND(#REF!="Alta",#REF!="Catastrófico"),CONCATENATE("R",#REF!),"")</f>
        <v>#REF!</v>
      </c>
      <c r="AM16" s="682"/>
      <c r="AN16" s="73"/>
      <c r="AO16" s="723"/>
      <c r="AP16" s="724"/>
      <c r="AQ16" s="724"/>
      <c r="AR16" s="724"/>
      <c r="AS16" s="724"/>
      <c r="AT16" s="725"/>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row>
    <row r="17" spans="1:80" ht="15" customHeight="1" x14ac:dyDescent="0.25">
      <c r="A17" s="73"/>
      <c r="B17" s="709"/>
      <c r="C17" s="709"/>
      <c r="D17" s="710"/>
      <c r="E17" s="702"/>
      <c r="F17" s="703"/>
      <c r="G17" s="703"/>
      <c r="H17" s="703"/>
      <c r="I17" s="703"/>
      <c r="J17" s="671"/>
      <c r="K17" s="672"/>
      <c r="L17" s="672"/>
      <c r="M17" s="672"/>
      <c r="N17" s="672"/>
      <c r="O17" s="673"/>
      <c r="P17" s="671"/>
      <c r="Q17" s="672"/>
      <c r="R17" s="672"/>
      <c r="S17" s="672"/>
      <c r="T17" s="672"/>
      <c r="U17" s="673"/>
      <c r="V17" s="689"/>
      <c r="W17" s="690"/>
      <c r="X17" s="690"/>
      <c r="Y17" s="690"/>
      <c r="Z17" s="690"/>
      <c r="AA17" s="691"/>
      <c r="AB17" s="689"/>
      <c r="AC17" s="690"/>
      <c r="AD17" s="690"/>
      <c r="AE17" s="690"/>
      <c r="AF17" s="690"/>
      <c r="AG17" s="691"/>
      <c r="AH17" s="680"/>
      <c r="AI17" s="681"/>
      <c r="AJ17" s="681"/>
      <c r="AK17" s="681"/>
      <c r="AL17" s="681"/>
      <c r="AM17" s="682"/>
      <c r="AN17" s="73"/>
      <c r="AO17" s="723"/>
      <c r="AP17" s="724"/>
      <c r="AQ17" s="724"/>
      <c r="AR17" s="724"/>
      <c r="AS17" s="724"/>
      <c r="AT17" s="725"/>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row>
    <row r="18" spans="1:80" ht="15" customHeight="1" x14ac:dyDescent="0.25">
      <c r="A18" s="73"/>
      <c r="B18" s="709"/>
      <c r="C18" s="709"/>
      <c r="D18" s="710"/>
      <c r="E18" s="702"/>
      <c r="F18" s="703"/>
      <c r="G18" s="703"/>
      <c r="H18" s="703"/>
      <c r="I18" s="703"/>
      <c r="J18" s="671" t="e">
        <f>IF(AND(#REF!="Alta",#REF!="Leve"),CONCATENATE("R",#REF!),"")</f>
        <v>#REF!</v>
      </c>
      <c r="K18" s="672"/>
      <c r="L18" s="672" t="e">
        <f>IF(AND(#REF!="Alta",#REF!="Leve"),CONCATENATE("R",#REF!),"")</f>
        <v>#REF!</v>
      </c>
      <c r="M18" s="672"/>
      <c r="N18" s="672" t="e">
        <f>IF(AND(#REF!="Alta",#REF!="Leve"),CONCATENATE("R",#REF!),"")</f>
        <v>#REF!</v>
      </c>
      <c r="O18" s="673"/>
      <c r="P18" s="671" t="e">
        <f>IF(AND(#REF!="Alta",#REF!="Menor"),CONCATENATE("R",#REF!),"")</f>
        <v>#REF!</v>
      </c>
      <c r="Q18" s="672"/>
      <c r="R18" s="672" t="e">
        <f>IF(AND(#REF!="Alta",#REF!="Menor"),CONCATENATE("R",#REF!),"")</f>
        <v>#REF!</v>
      </c>
      <c r="S18" s="672"/>
      <c r="T18" s="672" t="e">
        <f>IF(AND(#REF!="Alta",#REF!="Menor"),CONCATENATE("R",#REF!),"")</f>
        <v>#REF!</v>
      </c>
      <c r="U18" s="673"/>
      <c r="V18" s="689" t="e">
        <f>IF(AND(#REF!="Alta",#REF!="Moderado"),CONCATENATE("R",#REF!),"")</f>
        <v>#REF!</v>
      </c>
      <c r="W18" s="690"/>
      <c r="X18" s="690" t="e">
        <f>IF(AND(#REF!="Alta",#REF!="Moderado"),CONCATENATE("R",#REF!),"")</f>
        <v>#REF!</v>
      </c>
      <c r="Y18" s="690"/>
      <c r="Z18" s="690" t="e">
        <f>IF(AND(#REF!="Alta",#REF!="Moderado"),CONCATENATE("R",#REF!),"")</f>
        <v>#REF!</v>
      </c>
      <c r="AA18" s="691"/>
      <c r="AB18" s="689" t="e">
        <f>IF(AND(#REF!="Alta",#REF!="Mayor"),CONCATENATE("R",#REF!),"")</f>
        <v>#REF!</v>
      </c>
      <c r="AC18" s="690"/>
      <c r="AD18" s="690" t="e">
        <f>IF(AND(#REF!="Alta",#REF!="Mayor"),CONCATENATE("R",#REF!),"")</f>
        <v>#REF!</v>
      </c>
      <c r="AE18" s="690"/>
      <c r="AF18" s="690" t="e">
        <f>IF(AND(#REF!="Alta",#REF!="Mayor"),CONCATENATE("R",#REF!),"")</f>
        <v>#REF!</v>
      </c>
      <c r="AG18" s="691"/>
      <c r="AH18" s="680" t="e">
        <f>IF(AND(#REF!="Alta",#REF!="Catastrófico"),CONCATENATE("R",#REF!),"")</f>
        <v>#REF!</v>
      </c>
      <c r="AI18" s="681"/>
      <c r="AJ18" s="681" t="e">
        <f>IF(AND(#REF!="Alta",#REF!="Catastrófico"),CONCATENATE("R",#REF!),"")</f>
        <v>#REF!</v>
      </c>
      <c r="AK18" s="681"/>
      <c r="AL18" s="681" t="e">
        <f>IF(AND(#REF!="Alta",#REF!="Catastrófico"),CONCATENATE("R",#REF!),"")</f>
        <v>#REF!</v>
      </c>
      <c r="AM18" s="682"/>
      <c r="AN18" s="73"/>
      <c r="AO18" s="723"/>
      <c r="AP18" s="724"/>
      <c r="AQ18" s="724"/>
      <c r="AR18" s="724"/>
      <c r="AS18" s="724"/>
      <c r="AT18" s="725"/>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row>
    <row r="19" spans="1:80" ht="15" customHeight="1" x14ac:dyDescent="0.25">
      <c r="A19" s="73"/>
      <c r="B19" s="709"/>
      <c r="C19" s="709"/>
      <c r="D19" s="710"/>
      <c r="E19" s="702"/>
      <c r="F19" s="703"/>
      <c r="G19" s="703"/>
      <c r="H19" s="703"/>
      <c r="I19" s="703"/>
      <c r="J19" s="671"/>
      <c r="K19" s="672"/>
      <c r="L19" s="672"/>
      <c r="M19" s="672"/>
      <c r="N19" s="672"/>
      <c r="O19" s="673"/>
      <c r="P19" s="671"/>
      <c r="Q19" s="672"/>
      <c r="R19" s="672"/>
      <c r="S19" s="672"/>
      <c r="T19" s="672"/>
      <c r="U19" s="673"/>
      <c r="V19" s="689"/>
      <c r="W19" s="690"/>
      <c r="X19" s="690"/>
      <c r="Y19" s="690"/>
      <c r="Z19" s="690"/>
      <c r="AA19" s="691"/>
      <c r="AB19" s="689"/>
      <c r="AC19" s="690"/>
      <c r="AD19" s="690"/>
      <c r="AE19" s="690"/>
      <c r="AF19" s="690"/>
      <c r="AG19" s="691"/>
      <c r="AH19" s="680"/>
      <c r="AI19" s="681"/>
      <c r="AJ19" s="681"/>
      <c r="AK19" s="681"/>
      <c r="AL19" s="681"/>
      <c r="AM19" s="682"/>
      <c r="AN19" s="73"/>
      <c r="AO19" s="723"/>
      <c r="AP19" s="724"/>
      <c r="AQ19" s="724"/>
      <c r="AR19" s="724"/>
      <c r="AS19" s="724"/>
      <c r="AT19" s="725"/>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row>
    <row r="20" spans="1:80" ht="15" customHeight="1" x14ac:dyDescent="0.25">
      <c r="A20" s="73"/>
      <c r="B20" s="709"/>
      <c r="C20" s="709"/>
      <c r="D20" s="710"/>
      <c r="E20" s="702"/>
      <c r="F20" s="703"/>
      <c r="G20" s="703"/>
      <c r="H20" s="703"/>
      <c r="I20" s="703"/>
      <c r="J20" s="671" t="e">
        <f>IF(AND(#REF!="Alta",#REF!="Leve"),CONCATENATE("R",#REF!),"")</f>
        <v>#REF!</v>
      </c>
      <c r="K20" s="672"/>
      <c r="L20" s="672" t="e">
        <f>IF(AND(#REF!="Alta",#REF!="Leve"),CONCATENATE("R",#REF!),"")</f>
        <v>#REF!</v>
      </c>
      <c r="M20" s="672"/>
      <c r="N20" s="672" t="e">
        <f>IF(AND(#REF!="Alta",#REF!="Leve"),CONCATENATE("R",#REF!),"")</f>
        <v>#REF!</v>
      </c>
      <c r="O20" s="673"/>
      <c r="P20" s="671" t="e">
        <f>IF(AND(#REF!="Alta",#REF!="Menor"),CONCATENATE("R",#REF!),"")</f>
        <v>#REF!</v>
      </c>
      <c r="Q20" s="672"/>
      <c r="R20" s="672" t="e">
        <f>IF(AND(#REF!="Alta",#REF!="Menor"),CONCATENATE("R",#REF!),"")</f>
        <v>#REF!</v>
      </c>
      <c r="S20" s="672"/>
      <c r="T20" s="672" t="e">
        <f>IF(AND(#REF!="Alta",#REF!="Menor"),CONCATENATE("R",#REF!),"")</f>
        <v>#REF!</v>
      </c>
      <c r="U20" s="673"/>
      <c r="V20" s="689" t="e">
        <f>IF(AND(#REF!="Alta",#REF!="Moderado"),CONCATENATE("R",#REF!),"")</f>
        <v>#REF!</v>
      </c>
      <c r="W20" s="690"/>
      <c r="X20" s="690" t="e">
        <f>IF(AND(#REF!="Alta",#REF!="Moderado"),CONCATENATE("R",#REF!),"")</f>
        <v>#REF!</v>
      </c>
      <c r="Y20" s="690"/>
      <c r="Z20" s="690" t="e">
        <f>IF(AND(#REF!="Alta",#REF!="Moderado"),CONCATENATE("R",#REF!),"")</f>
        <v>#REF!</v>
      </c>
      <c r="AA20" s="691"/>
      <c r="AB20" s="689" t="e">
        <f>IF(AND(#REF!="Alta",#REF!="Mayor"),CONCATENATE("R",#REF!),"")</f>
        <v>#REF!</v>
      </c>
      <c r="AC20" s="690"/>
      <c r="AD20" s="690" t="e">
        <f>IF(AND(#REF!="Alta",#REF!="Mayor"),CONCATENATE("R",#REF!),"")</f>
        <v>#REF!</v>
      </c>
      <c r="AE20" s="690"/>
      <c r="AF20" s="690" t="e">
        <f>IF(AND(#REF!="Alta",#REF!="Mayor"),CONCATENATE("R",#REF!),"")</f>
        <v>#REF!</v>
      </c>
      <c r="AG20" s="691"/>
      <c r="AH20" s="680" t="e">
        <f>IF(AND(#REF!="Alta",#REF!="Catastrófico"),CONCATENATE("R",#REF!),"")</f>
        <v>#REF!</v>
      </c>
      <c r="AI20" s="681"/>
      <c r="AJ20" s="681" t="e">
        <f>IF(AND(#REF!="Alta",#REF!="Catastrófico"),CONCATENATE("R",#REF!),"")</f>
        <v>#REF!</v>
      </c>
      <c r="AK20" s="681"/>
      <c r="AL20" s="681" t="e">
        <f>IF(AND(#REF!="Alta",#REF!="Catastrófico"),CONCATENATE("R",#REF!),"")</f>
        <v>#REF!</v>
      </c>
      <c r="AM20" s="682"/>
      <c r="AN20" s="73"/>
      <c r="AO20" s="723"/>
      <c r="AP20" s="724"/>
      <c r="AQ20" s="724"/>
      <c r="AR20" s="724"/>
      <c r="AS20" s="724"/>
      <c r="AT20" s="725"/>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row>
    <row r="21" spans="1:80" ht="15.75" customHeight="1" thickBot="1" x14ac:dyDescent="0.3">
      <c r="A21" s="73"/>
      <c r="B21" s="709"/>
      <c r="C21" s="709"/>
      <c r="D21" s="710"/>
      <c r="E21" s="705"/>
      <c r="F21" s="706"/>
      <c r="G21" s="706"/>
      <c r="H21" s="706"/>
      <c r="I21" s="706"/>
      <c r="J21" s="674"/>
      <c r="K21" s="675"/>
      <c r="L21" s="675"/>
      <c r="M21" s="675"/>
      <c r="N21" s="675"/>
      <c r="O21" s="676"/>
      <c r="P21" s="674"/>
      <c r="Q21" s="675"/>
      <c r="R21" s="675"/>
      <c r="S21" s="675"/>
      <c r="T21" s="675"/>
      <c r="U21" s="676"/>
      <c r="V21" s="692"/>
      <c r="W21" s="693"/>
      <c r="X21" s="693"/>
      <c r="Y21" s="693"/>
      <c r="Z21" s="693"/>
      <c r="AA21" s="694"/>
      <c r="AB21" s="692"/>
      <c r="AC21" s="693"/>
      <c r="AD21" s="693"/>
      <c r="AE21" s="693"/>
      <c r="AF21" s="693"/>
      <c r="AG21" s="694"/>
      <c r="AH21" s="683"/>
      <c r="AI21" s="684"/>
      <c r="AJ21" s="684"/>
      <c r="AK21" s="684"/>
      <c r="AL21" s="684"/>
      <c r="AM21" s="685"/>
      <c r="AN21" s="73"/>
      <c r="AO21" s="726"/>
      <c r="AP21" s="727"/>
      <c r="AQ21" s="727"/>
      <c r="AR21" s="727"/>
      <c r="AS21" s="727"/>
      <c r="AT21" s="728"/>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row>
    <row r="22" spans="1:80" x14ac:dyDescent="0.25">
      <c r="A22" s="73"/>
      <c r="B22" s="709"/>
      <c r="C22" s="709"/>
      <c r="D22" s="710"/>
      <c r="E22" s="699" t="s">
        <v>386</v>
      </c>
      <c r="F22" s="700"/>
      <c r="G22" s="700"/>
      <c r="H22" s="700"/>
      <c r="I22" s="701"/>
      <c r="J22" s="677" t="e">
        <f>IF(AND(#REF!="Media",#REF!="Leve"),CONCATENATE("R",#REF!),"")</f>
        <v>#REF!</v>
      </c>
      <c r="K22" s="678"/>
      <c r="L22" s="678" t="e">
        <f>IF(AND(#REF!="Media",#REF!="Leve"),CONCATENATE("R",#REF!),"")</f>
        <v>#REF!</v>
      </c>
      <c r="M22" s="678"/>
      <c r="N22" s="678" t="e">
        <f>IF(AND(#REF!="Media",#REF!="Leve"),CONCATENATE("R",#REF!),"")</f>
        <v>#REF!</v>
      </c>
      <c r="O22" s="679"/>
      <c r="P22" s="677" t="e">
        <f>IF(AND(#REF!="Media",#REF!="Menor"),CONCATENATE("R",#REF!),"")</f>
        <v>#REF!</v>
      </c>
      <c r="Q22" s="678"/>
      <c r="R22" s="678" t="e">
        <f>IF(AND(#REF!="Media",#REF!="Menor"),CONCATENATE("R",#REF!),"")</f>
        <v>#REF!</v>
      </c>
      <c r="S22" s="678"/>
      <c r="T22" s="678" t="e">
        <f>IF(AND(#REF!="Media",#REF!="Menor"),CONCATENATE("R",#REF!),"")</f>
        <v>#REF!</v>
      </c>
      <c r="U22" s="679"/>
      <c r="V22" s="677" t="e">
        <f>IF(AND(#REF!="Media",#REF!="Moderado"),CONCATENATE("R",#REF!),"")</f>
        <v>#REF!</v>
      </c>
      <c r="W22" s="678"/>
      <c r="X22" s="678" t="e">
        <f>IF(AND(#REF!="Media",#REF!="Moderado"),CONCATENATE("R",#REF!),"")</f>
        <v>#REF!</v>
      </c>
      <c r="Y22" s="678"/>
      <c r="Z22" s="678" t="e">
        <f>IF(AND(#REF!="Media",#REF!="Moderado"),CONCATENATE("R",#REF!),"")</f>
        <v>#REF!</v>
      </c>
      <c r="AA22" s="679"/>
      <c r="AB22" s="695" t="e">
        <f>IF(AND(#REF!="Media",#REF!="Mayor"),CONCATENATE("R",#REF!),"")</f>
        <v>#REF!</v>
      </c>
      <c r="AC22" s="696"/>
      <c r="AD22" s="696" t="e">
        <f>IF(AND(#REF!="Media",#REF!="Mayor"),CONCATENATE("R",#REF!),"")</f>
        <v>#REF!</v>
      </c>
      <c r="AE22" s="696"/>
      <c r="AF22" s="696" t="e">
        <f>IF(AND(#REF!="Media",#REF!="Mayor"),CONCATENATE("R",#REF!),"")</f>
        <v>#REF!</v>
      </c>
      <c r="AG22" s="697"/>
      <c r="AH22" s="686" t="e">
        <f>IF(AND(#REF!="Media",#REF!="Catastrófico"),CONCATENATE("R",#REF!),"")</f>
        <v>#REF!</v>
      </c>
      <c r="AI22" s="687"/>
      <c r="AJ22" s="687" t="e">
        <f>IF(AND(#REF!="Media",#REF!="Catastrófico"),CONCATENATE("R",#REF!),"")</f>
        <v>#REF!</v>
      </c>
      <c r="AK22" s="687"/>
      <c r="AL22" s="687" t="e">
        <f>IF(AND(#REF!="Media",#REF!="Catastrófico"),CONCATENATE("R",#REF!),"")</f>
        <v>#REF!</v>
      </c>
      <c r="AM22" s="688"/>
      <c r="AN22" s="73"/>
      <c r="AO22" s="729" t="s">
        <v>26</v>
      </c>
      <c r="AP22" s="730"/>
      <c r="AQ22" s="730"/>
      <c r="AR22" s="730"/>
      <c r="AS22" s="730"/>
      <c r="AT22" s="731"/>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row>
    <row r="23" spans="1:80" x14ac:dyDescent="0.25">
      <c r="A23" s="73"/>
      <c r="B23" s="709"/>
      <c r="C23" s="709"/>
      <c r="D23" s="710"/>
      <c r="E23" s="702"/>
      <c r="F23" s="703"/>
      <c r="G23" s="703"/>
      <c r="H23" s="703"/>
      <c r="I23" s="704"/>
      <c r="J23" s="671"/>
      <c r="K23" s="672"/>
      <c r="L23" s="672"/>
      <c r="M23" s="672"/>
      <c r="N23" s="672"/>
      <c r="O23" s="673"/>
      <c r="P23" s="671"/>
      <c r="Q23" s="672"/>
      <c r="R23" s="672"/>
      <c r="S23" s="672"/>
      <c r="T23" s="672"/>
      <c r="U23" s="673"/>
      <c r="V23" s="671"/>
      <c r="W23" s="672"/>
      <c r="X23" s="672"/>
      <c r="Y23" s="672"/>
      <c r="Z23" s="672"/>
      <c r="AA23" s="673"/>
      <c r="AB23" s="689"/>
      <c r="AC23" s="690"/>
      <c r="AD23" s="690"/>
      <c r="AE23" s="690"/>
      <c r="AF23" s="690"/>
      <c r="AG23" s="691"/>
      <c r="AH23" s="680"/>
      <c r="AI23" s="681"/>
      <c r="AJ23" s="681"/>
      <c r="AK23" s="681"/>
      <c r="AL23" s="681"/>
      <c r="AM23" s="682"/>
      <c r="AN23" s="73"/>
      <c r="AO23" s="732"/>
      <c r="AP23" s="733"/>
      <c r="AQ23" s="733"/>
      <c r="AR23" s="733"/>
      <c r="AS23" s="733"/>
      <c r="AT23" s="734"/>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row>
    <row r="24" spans="1:80" x14ac:dyDescent="0.25">
      <c r="A24" s="73"/>
      <c r="B24" s="709"/>
      <c r="C24" s="709"/>
      <c r="D24" s="710"/>
      <c r="E24" s="702"/>
      <c r="F24" s="703"/>
      <c r="G24" s="703"/>
      <c r="H24" s="703"/>
      <c r="I24" s="704"/>
      <c r="J24" s="671" t="e">
        <f>IF(AND(#REF!="Media",#REF!="Leve"),CONCATENATE("R",#REF!),"")</f>
        <v>#REF!</v>
      </c>
      <c r="K24" s="672"/>
      <c r="L24" s="672" t="e">
        <f>IF(AND(#REF!="Media",#REF!="Leve"),CONCATENATE("R",#REF!),"")</f>
        <v>#REF!</v>
      </c>
      <c r="M24" s="672"/>
      <c r="N24" s="672" t="e">
        <f>IF(AND(#REF!="Media",#REF!="Leve"),CONCATENATE("R",#REF!),"")</f>
        <v>#REF!</v>
      </c>
      <c r="O24" s="673"/>
      <c r="P24" s="671" t="e">
        <f>IF(AND(#REF!="Media",#REF!="Menor"),CONCATENATE("R",#REF!),"")</f>
        <v>#REF!</v>
      </c>
      <c r="Q24" s="672"/>
      <c r="R24" s="672" t="e">
        <f>IF(AND(#REF!="Media",#REF!="Menor"),CONCATENATE("R",#REF!),"")</f>
        <v>#REF!</v>
      </c>
      <c r="S24" s="672"/>
      <c r="T24" s="672" t="e">
        <f>IF(AND(#REF!="Media",#REF!="Menor"),CONCATENATE("R",#REF!),"")</f>
        <v>#REF!</v>
      </c>
      <c r="U24" s="673"/>
      <c r="V24" s="671" t="e">
        <f>IF(AND(#REF!="Media",#REF!="Moderado"),CONCATENATE("R",#REF!),"")</f>
        <v>#REF!</v>
      </c>
      <c r="W24" s="672"/>
      <c r="X24" s="672" t="e">
        <f>IF(AND(#REF!="Media",#REF!="Moderado"),CONCATENATE("R",#REF!),"")</f>
        <v>#REF!</v>
      </c>
      <c r="Y24" s="672"/>
      <c r="Z24" s="672" t="e">
        <f>IF(AND(#REF!="Media",#REF!="Moderado"),CONCATENATE("R",#REF!),"")</f>
        <v>#REF!</v>
      </c>
      <c r="AA24" s="673"/>
      <c r="AB24" s="689" t="e">
        <f>IF(AND(#REF!="Media",#REF!="Mayor"),CONCATENATE("R",#REF!),"")</f>
        <v>#REF!</v>
      </c>
      <c r="AC24" s="690"/>
      <c r="AD24" s="690" t="e">
        <f>IF(AND(#REF!="Media",#REF!="Mayor"),CONCATENATE("R",#REF!),"")</f>
        <v>#REF!</v>
      </c>
      <c r="AE24" s="690"/>
      <c r="AF24" s="690" t="e">
        <f>IF(AND(#REF!="Media",#REF!="Mayor"),CONCATENATE("R",#REF!),"")</f>
        <v>#REF!</v>
      </c>
      <c r="AG24" s="691"/>
      <c r="AH24" s="680" t="e">
        <f>IF(AND(#REF!="Media",#REF!="Catastrófico"),CONCATENATE("R",#REF!),"")</f>
        <v>#REF!</v>
      </c>
      <c r="AI24" s="681"/>
      <c r="AJ24" s="681" t="e">
        <f>IF(AND(#REF!="Media",#REF!="Catastrófico"),CONCATENATE("R",#REF!),"")</f>
        <v>#REF!</v>
      </c>
      <c r="AK24" s="681"/>
      <c r="AL24" s="681" t="e">
        <f>IF(AND(#REF!="Media",#REF!="Catastrófico"),CONCATENATE("R",#REF!),"")</f>
        <v>#REF!</v>
      </c>
      <c r="AM24" s="682"/>
      <c r="AN24" s="73"/>
      <c r="AO24" s="732"/>
      <c r="AP24" s="733"/>
      <c r="AQ24" s="733"/>
      <c r="AR24" s="733"/>
      <c r="AS24" s="733"/>
      <c r="AT24" s="734"/>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c r="BY24" s="73"/>
      <c r="BZ24" s="73"/>
      <c r="CA24" s="73"/>
      <c r="CB24" s="73"/>
    </row>
    <row r="25" spans="1:80" x14ac:dyDescent="0.25">
      <c r="A25" s="73"/>
      <c r="B25" s="709"/>
      <c r="C25" s="709"/>
      <c r="D25" s="710"/>
      <c r="E25" s="702"/>
      <c r="F25" s="703"/>
      <c r="G25" s="703"/>
      <c r="H25" s="703"/>
      <c r="I25" s="704"/>
      <c r="J25" s="671"/>
      <c r="K25" s="672"/>
      <c r="L25" s="672"/>
      <c r="M25" s="672"/>
      <c r="N25" s="672"/>
      <c r="O25" s="673"/>
      <c r="P25" s="671"/>
      <c r="Q25" s="672"/>
      <c r="R25" s="672"/>
      <c r="S25" s="672"/>
      <c r="T25" s="672"/>
      <c r="U25" s="673"/>
      <c r="V25" s="671"/>
      <c r="W25" s="672"/>
      <c r="X25" s="672"/>
      <c r="Y25" s="672"/>
      <c r="Z25" s="672"/>
      <c r="AA25" s="673"/>
      <c r="AB25" s="689"/>
      <c r="AC25" s="690"/>
      <c r="AD25" s="690"/>
      <c r="AE25" s="690"/>
      <c r="AF25" s="690"/>
      <c r="AG25" s="691"/>
      <c r="AH25" s="680"/>
      <c r="AI25" s="681"/>
      <c r="AJ25" s="681"/>
      <c r="AK25" s="681"/>
      <c r="AL25" s="681"/>
      <c r="AM25" s="682"/>
      <c r="AN25" s="73"/>
      <c r="AO25" s="732"/>
      <c r="AP25" s="733"/>
      <c r="AQ25" s="733"/>
      <c r="AR25" s="733"/>
      <c r="AS25" s="733"/>
      <c r="AT25" s="734"/>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c r="BY25" s="73"/>
      <c r="BZ25" s="73"/>
      <c r="CA25" s="73"/>
      <c r="CB25" s="73"/>
    </row>
    <row r="26" spans="1:80" x14ac:dyDescent="0.25">
      <c r="A26" s="73"/>
      <c r="B26" s="709"/>
      <c r="C26" s="709"/>
      <c r="D26" s="710"/>
      <c r="E26" s="702"/>
      <c r="F26" s="703"/>
      <c r="G26" s="703"/>
      <c r="H26" s="703"/>
      <c r="I26" s="704"/>
      <c r="J26" s="671" t="e">
        <f>IF(AND(#REF!="Media",#REF!="Leve"),CONCATENATE("R",#REF!),"")</f>
        <v>#REF!</v>
      </c>
      <c r="K26" s="672"/>
      <c r="L26" s="672" t="e">
        <f>IF(AND(#REF!="Media",#REF!="Leve"),CONCATENATE("R",#REF!),"")</f>
        <v>#REF!</v>
      </c>
      <c r="M26" s="672"/>
      <c r="N26" s="672" t="e">
        <f>IF(AND(#REF!="Media",#REF!="Leve"),CONCATENATE("R",#REF!),"")</f>
        <v>#REF!</v>
      </c>
      <c r="O26" s="673"/>
      <c r="P26" s="671" t="e">
        <f>IF(AND(#REF!="Media",#REF!="Menor"),CONCATENATE("R",#REF!),"")</f>
        <v>#REF!</v>
      </c>
      <c r="Q26" s="672"/>
      <c r="R26" s="672" t="e">
        <f>IF(AND(#REF!="Media",#REF!="Menor"),CONCATENATE("R",#REF!),"")</f>
        <v>#REF!</v>
      </c>
      <c r="S26" s="672"/>
      <c r="T26" s="672" t="e">
        <f>IF(AND(#REF!="Media",#REF!="Menor"),CONCATENATE("R",#REF!),"")</f>
        <v>#REF!</v>
      </c>
      <c r="U26" s="673"/>
      <c r="V26" s="671" t="e">
        <f>IF(AND(#REF!="Media",#REF!="Moderado"),CONCATENATE("R",#REF!),"")</f>
        <v>#REF!</v>
      </c>
      <c r="W26" s="672"/>
      <c r="X26" s="672" t="e">
        <f>IF(AND(#REF!="Media",#REF!="Moderado"),CONCATENATE("R",#REF!),"")</f>
        <v>#REF!</v>
      </c>
      <c r="Y26" s="672"/>
      <c r="Z26" s="672" t="e">
        <f>IF(AND(#REF!="Media",#REF!="Moderado"),CONCATENATE("R",#REF!),"")</f>
        <v>#REF!</v>
      </c>
      <c r="AA26" s="673"/>
      <c r="AB26" s="689" t="e">
        <f>IF(AND(#REF!="Media",#REF!="Mayor"),CONCATENATE("R",#REF!),"")</f>
        <v>#REF!</v>
      </c>
      <c r="AC26" s="690"/>
      <c r="AD26" s="690" t="e">
        <f>IF(AND(#REF!="Media",#REF!="Mayor"),CONCATENATE("R",#REF!),"")</f>
        <v>#REF!</v>
      </c>
      <c r="AE26" s="690"/>
      <c r="AF26" s="690" t="e">
        <f>IF(AND(#REF!="Media",#REF!="Mayor"),CONCATENATE("R",#REF!),"")</f>
        <v>#REF!</v>
      </c>
      <c r="AG26" s="691"/>
      <c r="AH26" s="680" t="e">
        <f>IF(AND(#REF!="Media",#REF!="Catastrófico"),CONCATENATE("R",#REF!),"")</f>
        <v>#REF!</v>
      </c>
      <c r="AI26" s="681"/>
      <c r="AJ26" s="681" t="e">
        <f>IF(AND(#REF!="Media",#REF!="Catastrófico"),CONCATENATE("R",#REF!),"")</f>
        <v>#REF!</v>
      </c>
      <c r="AK26" s="681"/>
      <c r="AL26" s="681" t="e">
        <f>IF(AND(#REF!="Media",#REF!="Catastrófico"),CONCATENATE("R",#REF!),"")</f>
        <v>#REF!</v>
      </c>
      <c r="AM26" s="682"/>
      <c r="AN26" s="73"/>
      <c r="AO26" s="732"/>
      <c r="AP26" s="733"/>
      <c r="AQ26" s="733"/>
      <c r="AR26" s="733"/>
      <c r="AS26" s="733"/>
      <c r="AT26" s="734"/>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row>
    <row r="27" spans="1:80" x14ac:dyDescent="0.25">
      <c r="A27" s="73"/>
      <c r="B27" s="709"/>
      <c r="C27" s="709"/>
      <c r="D27" s="710"/>
      <c r="E27" s="702"/>
      <c r="F27" s="703"/>
      <c r="G27" s="703"/>
      <c r="H27" s="703"/>
      <c r="I27" s="704"/>
      <c r="J27" s="671"/>
      <c r="K27" s="672"/>
      <c r="L27" s="672"/>
      <c r="M27" s="672"/>
      <c r="N27" s="672"/>
      <c r="O27" s="673"/>
      <c r="P27" s="671"/>
      <c r="Q27" s="672"/>
      <c r="R27" s="672"/>
      <c r="S27" s="672"/>
      <c r="T27" s="672"/>
      <c r="U27" s="673"/>
      <c r="V27" s="671"/>
      <c r="W27" s="672"/>
      <c r="X27" s="672"/>
      <c r="Y27" s="672"/>
      <c r="Z27" s="672"/>
      <c r="AA27" s="673"/>
      <c r="AB27" s="689"/>
      <c r="AC27" s="690"/>
      <c r="AD27" s="690"/>
      <c r="AE27" s="690"/>
      <c r="AF27" s="690"/>
      <c r="AG27" s="691"/>
      <c r="AH27" s="680"/>
      <c r="AI27" s="681"/>
      <c r="AJ27" s="681"/>
      <c r="AK27" s="681"/>
      <c r="AL27" s="681"/>
      <c r="AM27" s="682"/>
      <c r="AN27" s="73"/>
      <c r="AO27" s="732"/>
      <c r="AP27" s="733"/>
      <c r="AQ27" s="733"/>
      <c r="AR27" s="733"/>
      <c r="AS27" s="733"/>
      <c r="AT27" s="734"/>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row>
    <row r="28" spans="1:80" x14ac:dyDescent="0.25">
      <c r="A28" s="73"/>
      <c r="B28" s="709"/>
      <c r="C28" s="709"/>
      <c r="D28" s="710"/>
      <c r="E28" s="702"/>
      <c r="F28" s="703"/>
      <c r="G28" s="703"/>
      <c r="H28" s="703"/>
      <c r="I28" s="704"/>
      <c r="J28" s="671" t="e">
        <f>IF(AND(#REF!="Media",#REF!="Leve"),CONCATENATE("R",#REF!),"")</f>
        <v>#REF!</v>
      </c>
      <c r="K28" s="672"/>
      <c r="L28" s="672" t="e">
        <f>IF(AND(#REF!="Media",#REF!="Leve"),CONCATENATE("R",#REF!),"")</f>
        <v>#REF!</v>
      </c>
      <c r="M28" s="672"/>
      <c r="N28" s="672" t="e">
        <f>IF(AND(#REF!="Media",#REF!="Leve"),CONCATENATE("R",#REF!),"")</f>
        <v>#REF!</v>
      </c>
      <c r="O28" s="673"/>
      <c r="P28" s="671" t="e">
        <f>IF(AND(#REF!="Media",#REF!="Menor"),CONCATENATE("R",#REF!),"")</f>
        <v>#REF!</v>
      </c>
      <c r="Q28" s="672"/>
      <c r="R28" s="672" t="e">
        <f>IF(AND(#REF!="Media",#REF!="Menor"),CONCATENATE("R",#REF!),"")</f>
        <v>#REF!</v>
      </c>
      <c r="S28" s="672"/>
      <c r="T28" s="672" t="e">
        <f>IF(AND(#REF!="Media",#REF!="Menor"),CONCATENATE("R",#REF!),"")</f>
        <v>#REF!</v>
      </c>
      <c r="U28" s="673"/>
      <c r="V28" s="671" t="e">
        <f>IF(AND(#REF!="Media",#REF!="Moderado"),CONCATENATE("R",#REF!),"")</f>
        <v>#REF!</v>
      </c>
      <c r="W28" s="672"/>
      <c r="X28" s="672" t="e">
        <f>IF(AND(#REF!="Media",#REF!="Moderado"),CONCATENATE("R",#REF!),"")</f>
        <v>#REF!</v>
      </c>
      <c r="Y28" s="672"/>
      <c r="Z28" s="672" t="e">
        <f>IF(AND(#REF!="Media",#REF!="Moderado"),CONCATENATE("R",#REF!),"")</f>
        <v>#REF!</v>
      </c>
      <c r="AA28" s="673"/>
      <c r="AB28" s="689" t="e">
        <f>IF(AND(#REF!="Media",#REF!="Mayor"),CONCATENATE("R",#REF!),"")</f>
        <v>#REF!</v>
      </c>
      <c r="AC28" s="690"/>
      <c r="AD28" s="690" t="e">
        <f>IF(AND(#REF!="Media",#REF!="Mayor"),CONCATENATE("R",#REF!),"")</f>
        <v>#REF!</v>
      </c>
      <c r="AE28" s="690"/>
      <c r="AF28" s="690" t="e">
        <f>IF(AND(#REF!="Media",#REF!="Mayor"),CONCATENATE("R",#REF!),"")</f>
        <v>#REF!</v>
      </c>
      <c r="AG28" s="691"/>
      <c r="AH28" s="680" t="e">
        <f>IF(AND(#REF!="Media",#REF!="Catastrófico"),CONCATENATE("R",#REF!),"")</f>
        <v>#REF!</v>
      </c>
      <c r="AI28" s="681"/>
      <c r="AJ28" s="681" t="e">
        <f>IF(AND(#REF!="Media",#REF!="Catastrófico"),CONCATENATE("R",#REF!),"")</f>
        <v>#REF!</v>
      </c>
      <c r="AK28" s="681"/>
      <c r="AL28" s="681" t="e">
        <f>IF(AND(#REF!="Media",#REF!="Catastrófico"),CONCATENATE("R",#REF!),"")</f>
        <v>#REF!</v>
      </c>
      <c r="AM28" s="682"/>
      <c r="AN28" s="73"/>
      <c r="AO28" s="732"/>
      <c r="AP28" s="733"/>
      <c r="AQ28" s="733"/>
      <c r="AR28" s="733"/>
      <c r="AS28" s="733"/>
      <c r="AT28" s="734"/>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row>
    <row r="29" spans="1:80" ht="15.75" thickBot="1" x14ac:dyDescent="0.3">
      <c r="A29" s="73"/>
      <c r="B29" s="709"/>
      <c r="C29" s="709"/>
      <c r="D29" s="710"/>
      <c r="E29" s="705"/>
      <c r="F29" s="706"/>
      <c r="G29" s="706"/>
      <c r="H29" s="706"/>
      <c r="I29" s="707"/>
      <c r="J29" s="671"/>
      <c r="K29" s="672"/>
      <c r="L29" s="672"/>
      <c r="M29" s="672"/>
      <c r="N29" s="672"/>
      <c r="O29" s="673"/>
      <c r="P29" s="674"/>
      <c r="Q29" s="675"/>
      <c r="R29" s="675"/>
      <c r="S29" s="675"/>
      <c r="T29" s="675"/>
      <c r="U29" s="676"/>
      <c r="V29" s="674"/>
      <c r="W29" s="675"/>
      <c r="X29" s="675"/>
      <c r="Y29" s="675"/>
      <c r="Z29" s="675"/>
      <c r="AA29" s="676"/>
      <c r="AB29" s="692"/>
      <c r="AC29" s="693"/>
      <c r="AD29" s="693"/>
      <c r="AE29" s="693"/>
      <c r="AF29" s="693"/>
      <c r="AG29" s="694"/>
      <c r="AH29" s="683"/>
      <c r="AI29" s="684"/>
      <c r="AJ29" s="684"/>
      <c r="AK29" s="684"/>
      <c r="AL29" s="684"/>
      <c r="AM29" s="685"/>
      <c r="AN29" s="73"/>
      <c r="AO29" s="735"/>
      <c r="AP29" s="736"/>
      <c r="AQ29" s="736"/>
      <c r="AR29" s="736"/>
      <c r="AS29" s="736"/>
      <c r="AT29" s="737"/>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row>
    <row r="30" spans="1:80" x14ac:dyDescent="0.25">
      <c r="A30" s="73"/>
      <c r="B30" s="709"/>
      <c r="C30" s="709"/>
      <c r="D30" s="710"/>
      <c r="E30" s="699" t="s">
        <v>387</v>
      </c>
      <c r="F30" s="700"/>
      <c r="G30" s="700"/>
      <c r="H30" s="700"/>
      <c r="I30" s="700"/>
      <c r="J30" s="668" t="e">
        <f>IF(AND(#REF!="Baja",#REF!="Leve"),CONCATENATE("R",#REF!),"")</f>
        <v>#REF!</v>
      </c>
      <c r="K30" s="669"/>
      <c r="L30" s="669" t="e">
        <f>IF(AND(#REF!="Baja",#REF!="Leve"),CONCATENATE("R",#REF!),"")</f>
        <v>#REF!</v>
      </c>
      <c r="M30" s="669"/>
      <c r="N30" s="669" t="e">
        <f>IF(AND(#REF!="Baja",#REF!="Leve"),CONCATENATE("R",#REF!),"")</f>
        <v>#REF!</v>
      </c>
      <c r="O30" s="670"/>
      <c r="P30" s="678" t="e">
        <f>IF(AND(#REF!="Baja",#REF!="Menor"),CONCATENATE("R",#REF!),"")</f>
        <v>#REF!</v>
      </c>
      <c r="Q30" s="678"/>
      <c r="R30" s="678" t="e">
        <f>IF(AND(#REF!="Baja",#REF!="Menor"),CONCATENATE("R",#REF!),"")</f>
        <v>#REF!</v>
      </c>
      <c r="S30" s="678"/>
      <c r="T30" s="678" t="e">
        <f>IF(AND(#REF!="Baja",#REF!="Menor"),CONCATENATE("R",#REF!),"")</f>
        <v>#REF!</v>
      </c>
      <c r="U30" s="679"/>
      <c r="V30" s="677" t="e">
        <f>IF(AND(#REF!="Baja",#REF!="Moderado"),CONCATENATE("R",#REF!),"")</f>
        <v>#REF!</v>
      </c>
      <c r="W30" s="678"/>
      <c r="X30" s="678" t="e">
        <f>IF(AND(#REF!="Baja",#REF!="Moderado"),CONCATENATE("R",#REF!),"")</f>
        <v>#REF!</v>
      </c>
      <c r="Y30" s="678"/>
      <c r="Z30" s="678" t="e">
        <f>IF(AND(#REF!="Baja",#REF!="Moderado"),CONCATENATE("R",#REF!),"")</f>
        <v>#REF!</v>
      </c>
      <c r="AA30" s="679"/>
      <c r="AB30" s="695" t="e">
        <f>IF(AND(#REF!="Baja",#REF!="Mayor"),CONCATENATE("R",#REF!),"")</f>
        <v>#REF!</v>
      </c>
      <c r="AC30" s="696"/>
      <c r="AD30" s="696" t="e">
        <f>IF(AND(#REF!="Baja",#REF!="Mayor"),CONCATENATE("R",#REF!),"")</f>
        <v>#REF!</v>
      </c>
      <c r="AE30" s="696"/>
      <c r="AF30" s="696" t="e">
        <f>IF(AND(#REF!="Baja",#REF!="Mayor"),CONCATENATE("R",#REF!),"")</f>
        <v>#REF!</v>
      </c>
      <c r="AG30" s="697"/>
      <c r="AH30" s="686" t="e">
        <f>IF(AND(#REF!="Baja",#REF!="Catastrófico"),CONCATENATE("R",#REF!),"")</f>
        <v>#REF!</v>
      </c>
      <c r="AI30" s="687"/>
      <c r="AJ30" s="687" t="e">
        <f>IF(AND(#REF!="Baja",#REF!="Catastrófico"),CONCATENATE("R",#REF!),"")</f>
        <v>#REF!</v>
      </c>
      <c r="AK30" s="687"/>
      <c r="AL30" s="687" t="e">
        <f>IF(AND(#REF!="Baja",#REF!="Catastrófico"),CONCATENATE("R",#REF!),"")</f>
        <v>#REF!</v>
      </c>
      <c r="AM30" s="688"/>
      <c r="AN30" s="73"/>
      <c r="AO30" s="738" t="s">
        <v>388</v>
      </c>
      <c r="AP30" s="739"/>
      <c r="AQ30" s="739"/>
      <c r="AR30" s="739"/>
      <c r="AS30" s="739"/>
      <c r="AT30" s="740"/>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row>
    <row r="31" spans="1:80" x14ac:dyDescent="0.25">
      <c r="A31" s="73"/>
      <c r="B31" s="709"/>
      <c r="C31" s="709"/>
      <c r="D31" s="710"/>
      <c r="E31" s="702"/>
      <c r="F31" s="703"/>
      <c r="G31" s="703"/>
      <c r="H31" s="703"/>
      <c r="I31" s="703"/>
      <c r="J31" s="662"/>
      <c r="K31" s="663"/>
      <c r="L31" s="663"/>
      <c r="M31" s="663"/>
      <c r="N31" s="663"/>
      <c r="O31" s="664"/>
      <c r="P31" s="672"/>
      <c r="Q31" s="672"/>
      <c r="R31" s="672"/>
      <c r="S31" s="672"/>
      <c r="T31" s="672"/>
      <c r="U31" s="673"/>
      <c r="V31" s="671"/>
      <c r="W31" s="672"/>
      <c r="X31" s="672"/>
      <c r="Y31" s="672"/>
      <c r="Z31" s="672"/>
      <c r="AA31" s="673"/>
      <c r="AB31" s="689"/>
      <c r="AC31" s="690"/>
      <c r="AD31" s="690"/>
      <c r="AE31" s="690"/>
      <c r="AF31" s="690"/>
      <c r="AG31" s="691"/>
      <c r="AH31" s="680"/>
      <c r="AI31" s="681"/>
      <c r="AJ31" s="681"/>
      <c r="AK31" s="681"/>
      <c r="AL31" s="681"/>
      <c r="AM31" s="682"/>
      <c r="AN31" s="73"/>
      <c r="AO31" s="741"/>
      <c r="AP31" s="742"/>
      <c r="AQ31" s="742"/>
      <c r="AR31" s="742"/>
      <c r="AS31" s="742"/>
      <c r="AT31" s="743"/>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row>
    <row r="32" spans="1:80" x14ac:dyDescent="0.25">
      <c r="A32" s="73"/>
      <c r="B32" s="709"/>
      <c r="C32" s="709"/>
      <c r="D32" s="710"/>
      <c r="E32" s="702"/>
      <c r="F32" s="703"/>
      <c r="G32" s="703"/>
      <c r="H32" s="703"/>
      <c r="I32" s="703"/>
      <c r="J32" s="662" t="e">
        <f>IF(AND(#REF!="Baja",#REF!="Leve"),CONCATENATE("R",#REF!),"")</f>
        <v>#REF!</v>
      </c>
      <c r="K32" s="663"/>
      <c r="L32" s="663" t="e">
        <f>IF(AND(#REF!="Baja",#REF!="Leve"),CONCATENATE("R",#REF!),"")</f>
        <v>#REF!</v>
      </c>
      <c r="M32" s="663"/>
      <c r="N32" s="663" t="e">
        <f>IF(AND(#REF!="Baja",#REF!="Leve"),CONCATENATE("R",#REF!),"")</f>
        <v>#REF!</v>
      </c>
      <c r="O32" s="664"/>
      <c r="P32" s="672" t="e">
        <f>IF(AND(#REF!="Baja",#REF!="Menor"),CONCATENATE("R",#REF!),"")</f>
        <v>#REF!</v>
      </c>
      <c r="Q32" s="672"/>
      <c r="R32" s="672" t="e">
        <f>IF(AND(#REF!="Baja",#REF!="Menor"),CONCATENATE("R",#REF!),"")</f>
        <v>#REF!</v>
      </c>
      <c r="S32" s="672"/>
      <c r="T32" s="672" t="e">
        <f>IF(AND(#REF!="Baja",#REF!="Menor"),CONCATENATE("R",#REF!),"")</f>
        <v>#REF!</v>
      </c>
      <c r="U32" s="673"/>
      <c r="V32" s="671" t="e">
        <f>IF(AND(#REF!="Baja",#REF!="Moderado"),CONCATENATE("R",#REF!),"")</f>
        <v>#REF!</v>
      </c>
      <c r="W32" s="672"/>
      <c r="X32" s="672" t="e">
        <f>IF(AND(#REF!="Baja",#REF!="Moderado"),CONCATENATE("R",#REF!),"")</f>
        <v>#REF!</v>
      </c>
      <c r="Y32" s="672"/>
      <c r="Z32" s="672" t="e">
        <f>IF(AND(#REF!="Baja",#REF!="Moderado"),CONCATENATE("R",#REF!),"")</f>
        <v>#REF!</v>
      </c>
      <c r="AA32" s="673"/>
      <c r="AB32" s="689" t="e">
        <f>IF(AND(#REF!="Baja",#REF!="Mayor"),CONCATENATE("R",#REF!),"")</f>
        <v>#REF!</v>
      </c>
      <c r="AC32" s="690"/>
      <c r="AD32" s="690" t="e">
        <f>IF(AND(#REF!="Baja",#REF!="Mayor"),CONCATENATE("R",#REF!),"")</f>
        <v>#REF!</v>
      </c>
      <c r="AE32" s="690"/>
      <c r="AF32" s="690" t="e">
        <f>IF(AND(#REF!="Baja",#REF!="Mayor"),CONCATENATE("R",#REF!),"")</f>
        <v>#REF!</v>
      </c>
      <c r="AG32" s="691"/>
      <c r="AH32" s="680" t="e">
        <f>IF(AND(#REF!="Baja",#REF!="Catastrófico"),CONCATENATE("R",#REF!),"")</f>
        <v>#REF!</v>
      </c>
      <c r="AI32" s="681"/>
      <c r="AJ32" s="681" t="e">
        <f>IF(AND(#REF!="Baja",#REF!="Catastrófico"),CONCATENATE("R",#REF!),"")</f>
        <v>#REF!</v>
      </c>
      <c r="AK32" s="681"/>
      <c r="AL32" s="681" t="e">
        <f>IF(AND(#REF!="Baja",#REF!="Catastrófico"),CONCATENATE("R",#REF!),"")</f>
        <v>#REF!</v>
      </c>
      <c r="AM32" s="682"/>
      <c r="AN32" s="73"/>
      <c r="AO32" s="741"/>
      <c r="AP32" s="742"/>
      <c r="AQ32" s="742"/>
      <c r="AR32" s="742"/>
      <c r="AS32" s="742"/>
      <c r="AT32" s="743"/>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row>
    <row r="33" spans="1:80" x14ac:dyDescent="0.25">
      <c r="A33" s="73"/>
      <c r="B33" s="709"/>
      <c r="C33" s="709"/>
      <c r="D33" s="710"/>
      <c r="E33" s="702"/>
      <c r="F33" s="703"/>
      <c r="G33" s="703"/>
      <c r="H33" s="703"/>
      <c r="I33" s="703"/>
      <c r="J33" s="662"/>
      <c r="K33" s="663"/>
      <c r="L33" s="663"/>
      <c r="M33" s="663"/>
      <c r="N33" s="663"/>
      <c r="O33" s="664"/>
      <c r="P33" s="672"/>
      <c r="Q33" s="672"/>
      <c r="R33" s="672"/>
      <c r="S33" s="672"/>
      <c r="T33" s="672"/>
      <c r="U33" s="673"/>
      <c r="V33" s="671"/>
      <c r="W33" s="672"/>
      <c r="X33" s="672"/>
      <c r="Y33" s="672"/>
      <c r="Z33" s="672"/>
      <c r="AA33" s="673"/>
      <c r="AB33" s="689"/>
      <c r="AC33" s="690"/>
      <c r="AD33" s="690"/>
      <c r="AE33" s="690"/>
      <c r="AF33" s="690"/>
      <c r="AG33" s="691"/>
      <c r="AH33" s="680"/>
      <c r="AI33" s="681"/>
      <c r="AJ33" s="681"/>
      <c r="AK33" s="681"/>
      <c r="AL33" s="681"/>
      <c r="AM33" s="682"/>
      <c r="AN33" s="73"/>
      <c r="AO33" s="741"/>
      <c r="AP33" s="742"/>
      <c r="AQ33" s="742"/>
      <c r="AR33" s="742"/>
      <c r="AS33" s="742"/>
      <c r="AT33" s="743"/>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row>
    <row r="34" spans="1:80" x14ac:dyDescent="0.25">
      <c r="A34" s="73"/>
      <c r="B34" s="709"/>
      <c r="C34" s="709"/>
      <c r="D34" s="710"/>
      <c r="E34" s="702"/>
      <c r="F34" s="703"/>
      <c r="G34" s="703"/>
      <c r="H34" s="703"/>
      <c r="I34" s="703"/>
      <c r="J34" s="662" t="e">
        <f>IF(AND(#REF!="Baja",#REF!="Leve"),CONCATENATE("R",#REF!),"")</f>
        <v>#REF!</v>
      </c>
      <c r="K34" s="663"/>
      <c r="L34" s="663" t="e">
        <f>IF(AND(#REF!="Baja",#REF!="Leve"),CONCATENATE("R",#REF!),"")</f>
        <v>#REF!</v>
      </c>
      <c r="M34" s="663"/>
      <c r="N34" s="663" t="e">
        <f>IF(AND(#REF!="Baja",#REF!="Leve"),CONCATENATE("R",#REF!),"")</f>
        <v>#REF!</v>
      </c>
      <c r="O34" s="664"/>
      <c r="P34" s="672" t="e">
        <f>IF(AND(#REF!="Baja",#REF!="Menor"),CONCATENATE("R",#REF!),"")</f>
        <v>#REF!</v>
      </c>
      <c r="Q34" s="672"/>
      <c r="R34" s="672" t="e">
        <f>IF(AND(#REF!="Baja",#REF!="Menor"),CONCATENATE("R",#REF!),"")</f>
        <v>#REF!</v>
      </c>
      <c r="S34" s="672"/>
      <c r="T34" s="672" t="e">
        <f>IF(AND(#REF!="Baja",#REF!="Menor"),CONCATENATE("R",#REF!),"")</f>
        <v>#REF!</v>
      </c>
      <c r="U34" s="673"/>
      <c r="V34" s="671" t="e">
        <f>IF(AND(#REF!="Baja",#REF!="Moderado"),CONCATENATE("R",#REF!),"")</f>
        <v>#REF!</v>
      </c>
      <c r="W34" s="672"/>
      <c r="X34" s="672" t="e">
        <f>IF(AND(#REF!="Baja",#REF!="Moderado"),CONCATENATE("R",#REF!),"")</f>
        <v>#REF!</v>
      </c>
      <c r="Y34" s="672"/>
      <c r="Z34" s="672" t="e">
        <f>IF(AND(#REF!="Baja",#REF!="Moderado"),CONCATENATE("R",#REF!),"")</f>
        <v>#REF!</v>
      </c>
      <c r="AA34" s="673"/>
      <c r="AB34" s="689" t="e">
        <f>IF(AND(#REF!="Baja",#REF!="Mayor"),CONCATENATE("R",#REF!),"")</f>
        <v>#REF!</v>
      </c>
      <c r="AC34" s="690"/>
      <c r="AD34" s="690" t="e">
        <f>IF(AND(#REF!="Baja",#REF!="Mayor"),CONCATENATE("R",#REF!),"")</f>
        <v>#REF!</v>
      </c>
      <c r="AE34" s="690"/>
      <c r="AF34" s="690" t="e">
        <f>IF(AND(#REF!="Baja",#REF!="Mayor"),CONCATENATE("R",#REF!),"")</f>
        <v>#REF!</v>
      </c>
      <c r="AG34" s="691"/>
      <c r="AH34" s="680" t="e">
        <f>IF(AND(#REF!="Baja",#REF!="Catastrófico"),CONCATENATE("R",#REF!),"")</f>
        <v>#REF!</v>
      </c>
      <c r="AI34" s="681"/>
      <c r="AJ34" s="681" t="e">
        <f>IF(AND(#REF!="Baja",#REF!="Catastrófico"),CONCATENATE("R",#REF!),"")</f>
        <v>#REF!</v>
      </c>
      <c r="AK34" s="681"/>
      <c r="AL34" s="681" t="e">
        <f>IF(AND(#REF!="Baja",#REF!="Catastrófico"),CONCATENATE("R",#REF!),"")</f>
        <v>#REF!</v>
      </c>
      <c r="AM34" s="682"/>
      <c r="AN34" s="73"/>
      <c r="AO34" s="741"/>
      <c r="AP34" s="742"/>
      <c r="AQ34" s="742"/>
      <c r="AR34" s="742"/>
      <c r="AS34" s="742"/>
      <c r="AT34" s="743"/>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row>
    <row r="35" spans="1:80" x14ac:dyDescent="0.25">
      <c r="A35" s="73"/>
      <c r="B35" s="709"/>
      <c r="C35" s="709"/>
      <c r="D35" s="710"/>
      <c r="E35" s="702"/>
      <c r="F35" s="703"/>
      <c r="G35" s="703"/>
      <c r="H35" s="703"/>
      <c r="I35" s="703"/>
      <c r="J35" s="662"/>
      <c r="K35" s="663"/>
      <c r="L35" s="663"/>
      <c r="M35" s="663"/>
      <c r="N35" s="663"/>
      <c r="O35" s="664"/>
      <c r="P35" s="672"/>
      <c r="Q35" s="672"/>
      <c r="R35" s="672"/>
      <c r="S35" s="672"/>
      <c r="T35" s="672"/>
      <c r="U35" s="673"/>
      <c r="V35" s="671"/>
      <c r="W35" s="672"/>
      <c r="X35" s="672"/>
      <c r="Y35" s="672"/>
      <c r="Z35" s="672"/>
      <c r="AA35" s="673"/>
      <c r="AB35" s="689"/>
      <c r="AC35" s="690"/>
      <c r="AD35" s="690"/>
      <c r="AE35" s="690"/>
      <c r="AF35" s="690"/>
      <c r="AG35" s="691"/>
      <c r="AH35" s="680"/>
      <c r="AI35" s="681"/>
      <c r="AJ35" s="681"/>
      <c r="AK35" s="681"/>
      <c r="AL35" s="681"/>
      <c r="AM35" s="682"/>
      <c r="AN35" s="73"/>
      <c r="AO35" s="741"/>
      <c r="AP35" s="742"/>
      <c r="AQ35" s="742"/>
      <c r="AR35" s="742"/>
      <c r="AS35" s="742"/>
      <c r="AT35" s="743"/>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row>
    <row r="36" spans="1:80" x14ac:dyDescent="0.25">
      <c r="A36" s="73"/>
      <c r="B36" s="709"/>
      <c r="C36" s="709"/>
      <c r="D36" s="710"/>
      <c r="E36" s="702"/>
      <c r="F36" s="703"/>
      <c r="G36" s="703"/>
      <c r="H36" s="703"/>
      <c r="I36" s="703"/>
      <c r="J36" s="662" t="e">
        <f>IF(AND(#REF!="Baja",#REF!="Leve"),CONCATENATE("R",#REF!),"")</f>
        <v>#REF!</v>
      </c>
      <c r="K36" s="663"/>
      <c r="L36" s="663" t="e">
        <f>IF(AND(#REF!="Baja",#REF!="Leve"),CONCATENATE("R",#REF!),"")</f>
        <v>#REF!</v>
      </c>
      <c r="M36" s="663"/>
      <c r="N36" s="663" t="e">
        <f>IF(AND(#REF!="Baja",#REF!="Leve"),CONCATENATE("R",#REF!),"")</f>
        <v>#REF!</v>
      </c>
      <c r="O36" s="664"/>
      <c r="P36" s="672" t="e">
        <f>IF(AND(#REF!="Baja",#REF!="Menor"),CONCATENATE("R",#REF!),"")</f>
        <v>#REF!</v>
      </c>
      <c r="Q36" s="672"/>
      <c r="R36" s="672" t="e">
        <f>IF(AND(#REF!="Baja",#REF!="Menor"),CONCATENATE("R",#REF!),"")</f>
        <v>#REF!</v>
      </c>
      <c r="S36" s="672"/>
      <c r="T36" s="672" t="e">
        <f>IF(AND(#REF!="Baja",#REF!="Menor"),CONCATENATE("R",#REF!),"")</f>
        <v>#REF!</v>
      </c>
      <c r="U36" s="673"/>
      <c r="V36" s="671" t="e">
        <f>IF(AND(#REF!="Baja",#REF!="Moderado"),CONCATENATE("R",#REF!),"")</f>
        <v>#REF!</v>
      </c>
      <c r="W36" s="672"/>
      <c r="X36" s="672" t="e">
        <f>IF(AND(#REF!="Baja",#REF!="Moderado"),CONCATENATE("R",#REF!),"")</f>
        <v>#REF!</v>
      </c>
      <c r="Y36" s="672"/>
      <c r="Z36" s="672" t="e">
        <f>IF(AND(#REF!="Baja",#REF!="Moderado"),CONCATENATE("R",#REF!),"")</f>
        <v>#REF!</v>
      </c>
      <c r="AA36" s="673"/>
      <c r="AB36" s="689" t="e">
        <f>IF(AND(#REF!="Baja",#REF!="Mayor"),CONCATENATE("R",#REF!),"")</f>
        <v>#REF!</v>
      </c>
      <c r="AC36" s="690"/>
      <c r="AD36" s="690" t="e">
        <f>IF(AND(#REF!="Baja",#REF!="Mayor"),CONCATENATE("R",#REF!),"")</f>
        <v>#REF!</v>
      </c>
      <c r="AE36" s="690"/>
      <c r="AF36" s="690" t="e">
        <f>IF(AND(#REF!="Baja",#REF!="Mayor"),CONCATENATE("R",#REF!),"")</f>
        <v>#REF!</v>
      </c>
      <c r="AG36" s="691"/>
      <c r="AH36" s="680" t="e">
        <f>IF(AND(#REF!="Baja",#REF!="Catastrófico"),CONCATENATE("R",#REF!),"")</f>
        <v>#REF!</v>
      </c>
      <c r="AI36" s="681"/>
      <c r="AJ36" s="681" t="e">
        <f>IF(AND(#REF!="Baja",#REF!="Catastrófico"),CONCATENATE("R",#REF!),"")</f>
        <v>#REF!</v>
      </c>
      <c r="AK36" s="681"/>
      <c r="AL36" s="681" t="e">
        <f>IF(AND(#REF!="Baja",#REF!="Catastrófico"),CONCATENATE("R",#REF!),"")</f>
        <v>#REF!</v>
      </c>
      <c r="AM36" s="682"/>
      <c r="AN36" s="73"/>
      <c r="AO36" s="741"/>
      <c r="AP36" s="742"/>
      <c r="AQ36" s="742"/>
      <c r="AR36" s="742"/>
      <c r="AS36" s="742"/>
      <c r="AT36" s="743"/>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row>
    <row r="37" spans="1:80" ht="15.75" thickBot="1" x14ac:dyDescent="0.3">
      <c r="A37" s="73"/>
      <c r="B37" s="709"/>
      <c r="C37" s="709"/>
      <c r="D37" s="710"/>
      <c r="E37" s="705"/>
      <c r="F37" s="706"/>
      <c r="G37" s="706"/>
      <c r="H37" s="706"/>
      <c r="I37" s="706"/>
      <c r="J37" s="665"/>
      <c r="K37" s="666"/>
      <c r="L37" s="666"/>
      <c r="M37" s="666"/>
      <c r="N37" s="666"/>
      <c r="O37" s="667"/>
      <c r="P37" s="675"/>
      <c r="Q37" s="675"/>
      <c r="R37" s="675"/>
      <c r="S37" s="675"/>
      <c r="T37" s="675"/>
      <c r="U37" s="676"/>
      <c r="V37" s="674"/>
      <c r="W37" s="675"/>
      <c r="X37" s="675"/>
      <c r="Y37" s="675"/>
      <c r="Z37" s="675"/>
      <c r="AA37" s="676"/>
      <c r="AB37" s="692"/>
      <c r="AC37" s="693"/>
      <c r="AD37" s="693"/>
      <c r="AE37" s="693"/>
      <c r="AF37" s="693"/>
      <c r="AG37" s="694"/>
      <c r="AH37" s="683"/>
      <c r="AI37" s="684"/>
      <c r="AJ37" s="684"/>
      <c r="AK37" s="684"/>
      <c r="AL37" s="684"/>
      <c r="AM37" s="685"/>
      <c r="AN37" s="73"/>
      <c r="AO37" s="744"/>
      <c r="AP37" s="745"/>
      <c r="AQ37" s="745"/>
      <c r="AR37" s="745"/>
      <c r="AS37" s="745"/>
      <c r="AT37" s="746"/>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row>
    <row r="38" spans="1:80" x14ac:dyDescent="0.25">
      <c r="A38" s="73"/>
      <c r="B38" s="709"/>
      <c r="C38" s="709"/>
      <c r="D38" s="710"/>
      <c r="E38" s="699" t="s">
        <v>389</v>
      </c>
      <c r="F38" s="700"/>
      <c r="G38" s="700"/>
      <c r="H38" s="700"/>
      <c r="I38" s="701"/>
      <c r="J38" s="668" t="e">
        <f>IF(AND(#REF!="Muy Baja",#REF!="Leve"),CONCATENATE("R",#REF!),"")</f>
        <v>#REF!</v>
      </c>
      <c r="K38" s="669"/>
      <c r="L38" s="669" t="e">
        <f>IF(AND(#REF!="Muy Baja",#REF!="Leve"),CONCATENATE("R",#REF!),"")</f>
        <v>#REF!</v>
      </c>
      <c r="M38" s="669"/>
      <c r="N38" s="669" t="e">
        <f>IF(AND(#REF!="Muy Baja",#REF!="Leve"),CONCATENATE("R",#REF!),"")</f>
        <v>#REF!</v>
      </c>
      <c r="O38" s="670"/>
      <c r="P38" s="668" t="e">
        <f>IF(AND(#REF!="Muy Baja",#REF!="Menor"),CONCATENATE("R",#REF!),"")</f>
        <v>#REF!</v>
      </c>
      <c r="Q38" s="669"/>
      <c r="R38" s="669" t="e">
        <f>IF(AND(#REF!="Muy Baja",#REF!="Menor"),CONCATENATE("R",#REF!),"")</f>
        <v>#REF!</v>
      </c>
      <c r="S38" s="669"/>
      <c r="T38" s="669" t="e">
        <f>IF(AND(#REF!="Muy Baja",#REF!="Menor"),CONCATENATE("R",#REF!),"")</f>
        <v>#REF!</v>
      </c>
      <c r="U38" s="670"/>
      <c r="V38" s="677" t="e">
        <f>IF(AND(#REF!="Muy Baja",#REF!="Moderado"),CONCATENATE("R",#REF!),"")</f>
        <v>#REF!</v>
      </c>
      <c r="W38" s="678"/>
      <c r="X38" s="678" t="e">
        <f>IF(AND(#REF!="Muy Baja",#REF!="Moderado"),CONCATENATE("R",#REF!),"")</f>
        <v>#REF!</v>
      </c>
      <c r="Y38" s="678"/>
      <c r="Z38" s="678" t="e">
        <f>IF(AND(#REF!="Muy Baja",#REF!="Moderado"),CONCATENATE("R",#REF!),"")</f>
        <v>#REF!</v>
      </c>
      <c r="AA38" s="679"/>
      <c r="AB38" s="695" t="e">
        <f>IF(AND(#REF!="Muy Baja",#REF!="Mayor"),CONCATENATE("R",#REF!),"")</f>
        <v>#REF!</v>
      </c>
      <c r="AC38" s="696"/>
      <c r="AD38" s="696" t="e">
        <f>IF(AND(#REF!="Muy Baja",#REF!="Mayor"),CONCATENATE("R",#REF!),"")</f>
        <v>#REF!</v>
      </c>
      <c r="AE38" s="696"/>
      <c r="AF38" s="696" t="e">
        <f>IF(AND(#REF!="Muy Baja",#REF!="Mayor"),CONCATENATE("R",#REF!),"")</f>
        <v>#REF!</v>
      </c>
      <c r="AG38" s="697"/>
      <c r="AH38" s="686" t="e">
        <f>IF(AND(#REF!="Muy Baja",#REF!="Catastrófico"),CONCATENATE("R",#REF!),"")</f>
        <v>#REF!</v>
      </c>
      <c r="AI38" s="687"/>
      <c r="AJ38" s="687" t="e">
        <f>IF(AND(#REF!="Muy Baja",#REF!="Catastrófico"),CONCATENATE("R",#REF!),"")</f>
        <v>#REF!</v>
      </c>
      <c r="AK38" s="687"/>
      <c r="AL38" s="687" t="e">
        <f>IF(AND(#REF!="Muy Baja",#REF!="Catastrófico"),CONCATENATE("R",#REF!),"")</f>
        <v>#REF!</v>
      </c>
      <c r="AM38" s="688"/>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row>
    <row r="39" spans="1:80" x14ac:dyDescent="0.25">
      <c r="A39" s="73"/>
      <c r="B39" s="709"/>
      <c r="C39" s="709"/>
      <c r="D39" s="710"/>
      <c r="E39" s="702"/>
      <c r="F39" s="703"/>
      <c r="G39" s="703"/>
      <c r="H39" s="703"/>
      <c r="I39" s="704"/>
      <c r="J39" s="662"/>
      <c r="K39" s="663"/>
      <c r="L39" s="663"/>
      <c r="M39" s="663"/>
      <c r="N39" s="663"/>
      <c r="O39" s="664"/>
      <c r="P39" s="662"/>
      <c r="Q39" s="663"/>
      <c r="R39" s="663"/>
      <c r="S39" s="663"/>
      <c r="T39" s="663"/>
      <c r="U39" s="664"/>
      <c r="V39" s="671"/>
      <c r="W39" s="672"/>
      <c r="X39" s="672"/>
      <c r="Y39" s="672"/>
      <c r="Z39" s="672"/>
      <c r="AA39" s="673"/>
      <c r="AB39" s="689"/>
      <c r="AC39" s="690"/>
      <c r="AD39" s="690"/>
      <c r="AE39" s="690"/>
      <c r="AF39" s="690"/>
      <c r="AG39" s="691"/>
      <c r="AH39" s="680"/>
      <c r="AI39" s="681"/>
      <c r="AJ39" s="681"/>
      <c r="AK39" s="681"/>
      <c r="AL39" s="681"/>
      <c r="AM39" s="682"/>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row>
    <row r="40" spans="1:80" x14ac:dyDescent="0.25">
      <c r="A40" s="73"/>
      <c r="B40" s="709"/>
      <c r="C40" s="709"/>
      <c r="D40" s="710"/>
      <c r="E40" s="702"/>
      <c r="F40" s="703"/>
      <c r="G40" s="703"/>
      <c r="H40" s="703"/>
      <c r="I40" s="704"/>
      <c r="J40" s="662" t="e">
        <f>IF(AND(#REF!="Muy Baja",#REF!="Leve"),CONCATENATE("R",#REF!),"")</f>
        <v>#REF!</v>
      </c>
      <c r="K40" s="663"/>
      <c r="L40" s="663" t="e">
        <f>IF(AND(#REF!="Muy Baja",#REF!="Leve"),CONCATENATE("R",#REF!),"")</f>
        <v>#REF!</v>
      </c>
      <c r="M40" s="663"/>
      <c r="N40" s="663" t="e">
        <f>IF(AND(#REF!="Muy Baja",#REF!="Leve"),CONCATENATE("R",#REF!),"")</f>
        <v>#REF!</v>
      </c>
      <c r="O40" s="664"/>
      <c r="P40" s="662" t="e">
        <f>IF(AND(#REF!="Muy Baja",#REF!="Menor"),CONCATENATE("R",#REF!),"")</f>
        <v>#REF!</v>
      </c>
      <c r="Q40" s="663"/>
      <c r="R40" s="663" t="e">
        <f>IF(AND(#REF!="Muy Baja",#REF!="Menor"),CONCATENATE("R",#REF!),"")</f>
        <v>#REF!</v>
      </c>
      <c r="S40" s="663"/>
      <c r="T40" s="663" t="e">
        <f>IF(AND(#REF!="Muy Baja",#REF!="Menor"),CONCATENATE("R",#REF!),"")</f>
        <v>#REF!</v>
      </c>
      <c r="U40" s="664"/>
      <c r="V40" s="671" t="e">
        <f>IF(AND(#REF!="Muy Baja",#REF!="Moderado"),CONCATENATE("R",#REF!),"")</f>
        <v>#REF!</v>
      </c>
      <c r="W40" s="672"/>
      <c r="X40" s="672" t="e">
        <f>IF(AND(#REF!="Muy Baja",#REF!="Moderado"),CONCATENATE("R",#REF!),"")</f>
        <v>#REF!</v>
      </c>
      <c r="Y40" s="672"/>
      <c r="Z40" s="672" t="e">
        <f>IF(AND(#REF!="Muy Baja",#REF!="Moderado"),CONCATENATE("R",#REF!),"")</f>
        <v>#REF!</v>
      </c>
      <c r="AA40" s="673"/>
      <c r="AB40" s="689" t="e">
        <f>IF(AND(#REF!="Muy Baja",#REF!="Mayor"),CONCATENATE("R",#REF!),"")</f>
        <v>#REF!</v>
      </c>
      <c r="AC40" s="690"/>
      <c r="AD40" s="690" t="e">
        <f>IF(AND(#REF!="Muy Baja",#REF!="Mayor"),CONCATENATE("R",#REF!),"")</f>
        <v>#REF!</v>
      </c>
      <c r="AE40" s="690"/>
      <c r="AF40" s="690" t="e">
        <f>IF(AND(#REF!="Muy Baja",#REF!="Mayor"),CONCATENATE("R",#REF!),"")</f>
        <v>#REF!</v>
      </c>
      <c r="AG40" s="691"/>
      <c r="AH40" s="680" t="e">
        <f>IF(AND(#REF!="Muy Baja",#REF!="Catastrófico"),CONCATENATE("R",#REF!),"")</f>
        <v>#REF!</v>
      </c>
      <c r="AI40" s="681"/>
      <c r="AJ40" s="681" t="e">
        <f>IF(AND(#REF!="Muy Baja",#REF!="Catastrófico"),CONCATENATE("R",#REF!),"")</f>
        <v>#REF!</v>
      </c>
      <c r="AK40" s="681"/>
      <c r="AL40" s="681" t="e">
        <f>IF(AND(#REF!="Muy Baja",#REF!="Catastrófico"),CONCATENATE("R",#REF!),"")</f>
        <v>#REF!</v>
      </c>
      <c r="AM40" s="682"/>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row>
    <row r="41" spans="1:80" x14ac:dyDescent="0.25">
      <c r="A41" s="73"/>
      <c r="B41" s="709"/>
      <c r="C41" s="709"/>
      <c r="D41" s="710"/>
      <c r="E41" s="702"/>
      <c r="F41" s="703"/>
      <c r="G41" s="703"/>
      <c r="H41" s="703"/>
      <c r="I41" s="704"/>
      <c r="J41" s="662"/>
      <c r="K41" s="663"/>
      <c r="L41" s="663"/>
      <c r="M41" s="663"/>
      <c r="N41" s="663"/>
      <c r="O41" s="664"/>
      <c r="P41" s="662"/>
      <c r="Q41" s="663"/>
      <c r="R41" s="663"/>
      <c r="S41" s="663"/>
      <c r="T41" s="663"/>
      <c r="U41" s="664"/>
      <c r="V41" s="671"/>
      <c r="W41" s="672"/>
      <c r="X41" s="672"/>
      <c r="Y41" s="672"/>
      <c r="Z41" s="672"/>
      <c r="AA41" s="673"/>
      <c r="AB41" s="689"/>
      <c r="AC41" s="690"/>
      <c r="AD41" s="690"/>
      <c r="AE41" s="690"/>
      <c r="AF41" s="690"/>
      <c r="AG41" s="691"/>
      <c r="AH41" s="680"/>
      <c r="AI41" s="681"/>
      <c r="AJ41" s="681"/>
      <c r="AK41" s="681"/>
      <c r="AL41" s="681"/>
      <c r="AM41" s="682"/>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row>
    <row r="42" spans="1:80" x14ac:dyDescent="0.25">
      <c r="A42" s="73"/>
      <c r="B42" s="709"/>
      <c r="C42" s="709"/>
      <c r="D42" s="710"/>
      <c r="E42" s="702"/>
      <c r="F42" s="703"/>
      <c r="G42" s="703"/>
      <c r="H42" s="703"/>
      <c r="I42" s="704"/>
      <c r="J42" s="662" t="e">
        <f>IF(AND(#REF!="Muy Baja",#REF!="Leve"),CONCATENATE("R",#REF!),"")</f>
        <v>#REF!</v>
      </c>
      <c r="K42" s="663"/>
      <c r="L42" s="663" t="e">
        <f>IF(AND(#REF!="Muy Baja",#REF!="Leve"),CONCATENATE("R",#REF!),"")</f>
        <v>#REF!</v>
      </c>
      <c r="M42" s="663"/>
      <c r="N42" s="663" t="e">
        <f>IF(AND(#REF!="Muy Baja",#REF!="Leve"),CONCATENATE("R",#REF!),"")</f>
        <v>#REF!</v>
      </c>
      <c r="O42" s="664"/>
      <c r="P42" s="662" t="e">
        <f>IF(AND(#REF!="Muy Baja",#REF!="Menor"),CONCATENATE("R",#REF!),"")</f>
        <v>#REF!</v>
      </c>
      <c r="Q42" s="663"/>
      <c r="R42" s="663" t="e">
        <f>IF(AND(#REF!="Muy Baja",#REF!="Menor"),CONCATENATE("R",#REF!),"")</f>
        <v>#REF!</v>
      </c>
      <c r="S42" s="663"/>
      <c r="T42" s="663" t="e">
        <f>IF(AND(#REF!="Muy Baja",#REF!="Menor"),CONCATENATE("R",#REF!),"")</f>
        <v>#REF!</v>
      </c>
      <c r="U42" s="664"/>
      <c r="V42" s="671" t="e">
        <f>IF(AND(#REF!="Muy Baja",#REF!="Moderado"),CONCATENATE("R",#REF!),"")</f>
        <v>#REF!</v>
      </c>
      <c r="W42" s="672"/>
      <c r="X42" s="672" t="e">
        <f>IF(AND(#REF!="Muy Baja",#REF!="Moderado"),CONCATENATE("R",#REF!),"")</f>
        <v>#REF!</v>
      </c>
      <c r="Y42" s="672"/>
      <c r="Z42" s="672" t="e">
        <f>IF(AND(#REF!="Muy Baja",#REF!="Moderado"),CONCATENATE("R",#REF!),"")</f>
        <v>#REF!</v>
      </c>
      <c r="AA42" s="673"/>
      <c r="AB42" s="689" t="e">
        <f>IF(AND(#REF!="Muy Baja",#REF!="Mayor"),CONCATENATE("R",#REF!),"")</f>
        <v>#REF!</v>
      </c>
      <c r="AC42" s="690"/>
      <c r="AD42" s="690" t="e">
        <f>IF(AND(#REF!="Muy Baja",#REF!="Mayor"),CONCATENATE("R",#REF!),"")</f>
        <v>#REF!</v>
      </c>
      <c r="AE42" s="690"/>
      <c r="AF42" s="690" t="e">
        <f>IF(AND(#REF!="Muy Baja",#REF!="Mayor"),CONCATENATE("R",#REF!),"")</f>
        <v>#REF!</v>
      </c>
      <c r="AG42" s="691"/>
      <c r="AH42" s="680" t="e">
        <f>IF(AND(#REF!="Muy Baja",#REF!="Catastrófico"),CONCATENATE("R",#REF!),"")</f>
        <v>#REF!</v>
      </c>
      <c r="AI42" s="681"/>
      <c r="AJ42" s="681" t="e">
        <f>IF(AND(#REF!="Muy Baja",#REF!="Catastrófico"),CONCATENATE("R",#REF!),"")</f>
        <v>#REF!</v>
      </c>
      <c r="AK42" s="681"/>
      <c r="AL42" s="681" t="e">
        <f>IF(AND(#REF!="Muy Baja",#REF!="Catastrófico"),CONCATENATE("R",#REF!),"")</f>
        <v>#REF!</v>
      </c>
      <c r="AM42" s="682"/>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row>
    <row r="43" spans="1:80" x14ac:dyDescent="0.25">
      <c r="A43" s="73"/>
      <c r="B43" s="709"/>
      <c r="C43" s="709"/>
      <c r="D43" s="710"/>
      <c r="E43" s="702"/>
      <c r="F43" s="703"/>
      <c r="G43" s="703"/>
      <c r="H43" s="703"/>
      <c r="I43" s="704"/>
      <c r="J43" s="662"/>
      <c r="K43" s="663"/>
      <c r="L43" s="663"/>
      <c r="M43" s="663"/>
      <c r="N43" s="663"/>
      <c r="O43" s="664"/>
      <c r="P43" s="662"/>
      <c r="Q43" s="663"/>
      <c r="R43" s="663"/>
      <c r="S43" s="663"/>
      <c r="T43" s="663"/>
      <c r="U43" s="664"/>
      <c r="V43" s="671"/>
      <c r="W43" s="672"/>
      <c r="X43" s="672"/>
      <c r="Y43" s="672"/>
      <c r="Z43" s="672"/>
      <c r="AA43" s="673"/>
      <c r="AB43" s="689"/>
      <c r="AC43" s="690"/>
      <c r="AD43" s="690"/>
      <c r="AE43" s="690"/>
      <c r="AF43" s="690"/>
      <c r="AG43" s="691"/>
      <c r="AH43" s="680"/>
      <c r="AI43" s="681"/>
      <c r="AJ43" s="681"/>
      <c r="AK43" s="681"/>
      <c r="AL43" s="681"/>
      <c r="AM43" s="682"/>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row>
    <row r="44" spans="1:80" x14ac:dyDescent="0.25">
      <c r="A44" s="73"/>
      <c r="B44" s="709"/>
      <c r="C44" s="709"/>
      <c r="D44" s="710"/>
      <c r="E44" s="702"/>
      <c r="F44" s="703"/>
      <c r="G44" s="703"/>
      <c r="H44" s="703"/>
      <c r="I44" s="704"/>
      <c r="J44" s="662" t="e">
        <f>IF(AND(#REF!="Muy Baja",#REF!="Leve"),CONCATENATE("R",#REF!),"")</f>
        <v>#REF!</v>
      </c>
      <c r="K44" s="663"/>
      <c r="L44" s="663" t="e">
        <f>IF(AND(#REF!="Muy Baja",#REF!="Leve"),CONCATENATE("R",#REF!),"")</f>
        <v>#REF!</v>
      </c>
      <c r="M44" s="663"/>
      <c r="N44" s="663" t="e">
        <f>IF(AND(#REF!="Muy Baja",#REF!="Leve"),CONCATENATE("R",#REF!),"")</f>
        <v>#REF!</v>
      </c>
      <c r="O44" s="664"/>
      <c r="P44" s="662" t="e">
        <f>IF(AND(#REF!="Muy Baja",#REF!="Menor"),CONCATENATE("R",#REF!),"")</f>
        <v>#REF!</v>
      </c>
      <c r="Q44" s="663"/>
      <c r="R44" s="663" t="e">
        <f>IF(AND(#REF!="Muy Baja",#REF!="Menor"),CONCATENATE("R",#REF!),"")</f>
        <v>#REF!</v>
      </c>
      <c r="S44" s="663"/>
      <c r="T44" s="663" t="e">
        <f>IF(AND(#REF!="Muy Baja",#REF!="Menor"),CONCATENATE("R",#REF!),"")</f>
        <v>#REF!</v>
      </c>
      <c r="U44" s="664"/>
      <c r="V44" s="671" t="e">
        <f>IF(AND(#REF!="Muy Baja",#REF!="Moderado"),CONCATENATE("R",#REF!),"")</f>
        <v>#REF!</v>
      </c>
      <c r="W44" s="672"/>
      <c r="X44" s="672" t="e">
        <f>IF(AND(#REF!="Muy Baja",#REF!="Moderado"),CONCATENATE("R",#REF!),"")</f>
        <v>#REF!</v>
      </c>
      <c r="Y44" s="672"/>
      <c r="Z44" s="672" t="e">
        <f>IF(AND(#REF!="Muy Baja",#REF!="Moderado"),CONCATENATE("R",#REF!),"")</f>
        <v>#REF!</v>
      </c>
      <c r="AA44" s="673"/>
      <c r="AB44" s="689" t="e">
        <f>IF(AND(#REF!="Muy Baja",#REF!="Mayor"),CONCATENATE("R",#REF!),"")</f>
        <v>#REF!</v>
      </c>
      <c r="AC44" s="690"/>
      <c r="AD44" s="690" t="e">
        <f>IF(AND(#REF!="Muy Baja",#REF!="Mayor"),CONCATENATE("R",#REF!),"")</f>
        <v>#REF!</v>
      </c>
      <c r="AE44" s="690"/>
      <c r="AF44" s="690" t="e">
        <f>IF(AND(#REF!="Muy Baja",#REF!="Mayor"),CONCATENATE("R",#REF!),"")</f>
        <v>#REF!</v>
      </c>
      <c r="AG44" s="691"/>
      <c r="AH44" s="680" t="e">
        <f>IF(AND(#REF!="Muy Baja",#REF!="Catastrófico"),CONCATENATE("R",#REF!),"")</f>
        <v>#REF!</v>
      </c>
      <c r="AI44" s="681"/>
      <c r="AJ44" s="681" t="e">
        <f>IF(AND(#REF!="Muy Baja",#REF!="Catastrófico"),CONCATENATE("R",#REF!),"")</f>
        <v>#REF!</v>
      </c>
      <c r="AK44" s="681"/>
      <c r="AL44" s="681" t="e">
        <f>IF(AND(#REF!="Muy Baja",#REF!="Catastrófico"),CONCATENATE("R",#REF!),"")</f>
        <v>#REF!</v>
      </c>
      <c r="AM44" s="682"/>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row>
    <row r="45" spans="1:80" ht="15.75" thickBot="1" x14ac:dyDescent="0.3">
      <c r="A45" s="73"/>
      <c r="B45" s="709"/>
      <c r="C45" s="709"/>
      <c r="D45" s="710"/>
      <c r="E45" s="705"/>
      <c r="F45" s="706"/>
      <c r="G45" s="706"/>
      <c r="H45" s="706"/>
      <c r="I45" s="707"/>
      <c r="J45" s="665"/>
      <c r="K45" s="666"/>
      <c r="L45" s="666"/>
      <c r="M45" s="666"/>
      <c r="N45" s="666"/>
      <c r="O45" s="667"/>
      <c r="P45" s="665"/>
      <c r="Q45" s="666"/>
      <c r="R45" s="666"/>
      <c r="S45" s="666"/>
      <c r="T45" s="666"/>
      <c r="U45" s="667"/>
      <c r="V45" s="674"/>
      <c r="W45" s="675"/>
      <c r="X45" s="675"/>
      <c r="Y45" s="675"/>
      <c r="Z45" s="675"/>
      <c r="AA45" s="676"/>
      <c r="AB45" s="692"/>
      <c r="AC45" s="693"/>
      <c r="AD45" s="693"/>
      <c r="AE45" s="693"/>
      <c r="AF45" s="693"/>
      <c r="AG45" s="694"/>
      <c r="AH45" s="683"/>
      <c r="AI45" s="684"/>
      <c r="AJ45" s="684"/>
      <c r="AK45" s="684"/>
      <c r="AL45" s="684"/>
      <c r="AM45" s="685"/>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row>
    <row r="46" spans="1:80" x14ac:dyDescent="0.25">
      <c r="A46" s="73"/>
      <c r="B46" s="73"/>
      <c r="C46" s="73"/>
      <c r="D46" s="73"/>
      <c r="E46" s="73"/>
      <c r="F46" s="73"/>
      <c r="G46" s="73"/>
      <c r="H46" s="73"/>
      <c r="I46" s="73"/>
      <c r="J46" s="699" t="s">
        <v>390</v>
      </c>
      <c r="K46" s="700"/>
      <c r="L46" s="700"/>
      <c r="M46" s="700"/>
      <c r="N46" s="700"/>
      <c r="O46" s="701"/>
      <c r="P46" s="699" t="s">
        <v>391</v>
      </c>
      <c r="Q46" s="700"/>
      <c r="R46" s="700"/>
      <c r="S46" s="700"/>
      <c r="T46" s="700"/>
      <c r="U46" s="701"/>
      <c r="V46" s="699" t="s">
        <v>392</v>
      </c>
      <c r="W46" s="700"/>
      <c r="X46" s="700"/>
      <c r="Y46" s="700"/>
      <c r="Z46" s="700"/>
      <c r="AA46" s="701"/>
      <c r="AB46" s="699" t="s">
        <v>393</v>
      </c>
      <c r="AC46" s="708"/>
      <c r="AD46" s="700"/>
      <c r="AE46" s="700"/>
      <c r="AF46" s="700"/>
      <c r="AG46" s="701"/>
      <c r="AH46" s="699" t="s">
        <v>394</v>
      </c>
      <c r="AI46" s="700"/>
      <c r="AJ46" s="700"/>
      <c r="AK46" s="700"/>
      <c r="AL46" s="700"/>
      <c r="AM46" s="701"/>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x14ac:dyDescent="0.25">
      <c r="A47" s="73"/>
      <c r="B47" s="73"/>
      <c r="C47" s="73"/>
      <c r="D47" s="73"/>
      <c r="E47" s="73"/>
      <c r="F47" s="73"/>
      <c r="G47" s="73"/>
      <c r="H47" s="73"/>
      <c r="I47" s="73"/>
      <c r="J47" s="702"/>
      <c r="K47" s="703"/>
      <c r="L47" s="703"/>
      <c r="M47" s="703"/>
      <c r="N47" s="703"/>
      <c r="O47" s="704"/>
      <c r="P47" s="702"/>
      <c r="Q47" s="703"/>
      <c r="R47" s="703"/>
      <c r="S47" s="703"/>
      <c r="T47" s="703"/>
      <c r="U47" s="704"/>
      <c r="V47" s="702"/>
      <c r="W47" s="703"/>
      <c r="X47" s="703"/>
      <c r="Y47" s="703"/>
      <c r="Z47" s="703"/>
      <c r="AA47" s="704"/>
      <c r="AB47" s="702"/>
      <c r="AC47" s="703"/>
      <c r="AD47" s="703"/>
      <c r="AE47" s="703"/>
      <c r="AF47" s="703"/>
      <c r="AG47" s="704"/>
      <c r="AH47" s="702"/>
      <c r="AI47" s="703"/>
      <c r="AJ47" s="703"/>
      <c r="AK47" s="703"/>
      <c r="AL47" s="703"/>
      <c r="AM47" s="704"/>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x14ac:dyDescent="0.25">
      <c r="A48" s="73"/>
      <c r="B48" s="73"/>
      <c r="C48" s="73"/>
      <c r="D48" s="73"/>
      <c r="E48" s="73"/>
      <c r="F48" s="73"/>
      <c r="G48" s="73"/>
      <c r="H48" s="73"/>
      <c r="I48" s="73"/>
      <c r="J48" s="702"/>
      <c r="K48" s="703"/>
      <c r="L48" s="703"/>
      <c r="M48" s="703"/>
      <c r="N48" s="703"/>
      <c r="O48" s="704"/>
      <c r="P48" s="702"/>
      <c r="Q48" s="703"/>
      <c r="R48" s="703"/>
      <c r="S48" s="703"/>
      <c r="T48" s="703"/>
      <c r="U48" s="704"/>
      <c r="V48" s="702"/>
      <c r="W48" s="703"/>
      <c r="X48" s="703"/>
      <c r="Y48" s="703"/>
      <c r="Z48" s="703"/>
      <c r="AA48" s="704"/>
      <c r="AB48" s="702"/>
      <c r="AC48" s="703"/>
      <c r="AD48" s="703"/>
      <c r="AE48" s="703"/>
      <c r="AF48" s="703"/>
      <c r="AG48" s="704"/>
      <c r="AH48" s="702"/>
      <c r="AI48" s="703"/>
      <c r="AJ48" s="703"/>
      <c r="AK48" s="703"/>
      <c r="AL48" s="703"/>
      <c r="AM48" s="704"/>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x14ac:dyDescent="0.25">
      <c r="A49" s="73"/>
      <c r="B49" s="73"/>
      <c r="C49" s="73"/>
      <c r="D49" s="73"/>
      <c r="E49" s="73"/>
      <c r="F49" s="73"/>
      <c r="G49" s="73"/>
      <c r="H49" s="73"/>
      <c r="I49" s="73"/>
      <c r="J49" s="702"/>
      <c r="K49" s="703"/>
      <c r="L49" s="703"/>
      <c r="M49" s="703"/>
      <c r="N49" s="703"/>
      <c r="O49" s="704"/>
      <c r="P49" s="702"/>
      <c r="Q49" s="703"/>
      <c r="R49" s="703"/>
      <c r="S49" s="703"/>
      <c r="T49" s="703"/>
      <c r="U49" s="704"/>
      <c r="V49" s="702"/>
      <c r="W49" s="703"/>
      <c r="X49" s="703"/>
      <c r="Y49" s="703"/>
      <c r="Z49" s="703"/>
      <c r="AA49" s="704"/>
      <c r="AB49" s="702"/>
      <c r="AC49" s="703"/>
      <c r="AD49" s="703"/>
      <c r="AE49" s="703"/>
      <c r="AF49" s="703"/>
      <c r="AG49" s="704"/>
      <c r="AH49" s="702"/>
      <c r="AI49" s="703"/>
      <c r="AJ49" s="703"/>
      <c r="AK49" s="703"/>
      <c r="AL49" s="703"/>
      <c r="AM49" s="704"/>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x14ac:dyDescent="0.25">
      <c r="A50" s="73"/>
      <c r="B50" s="73"/>
      <c r="C50" s="73"/>
      <c r="D50" s="73"/>
      <c r="E50" s="73"/>
      <c r="F50" s="73"/>
      <c r="G50" s="73"/>
      <c r="H50" s="73"/>
      <c r="I50" s="73"/>
      <c r="J50" s="702"/>
      <c r="K50" s="703"/>
      <c r="L50" s="703"/>
      <c r="M50" s="703"/>
      <c r="N50" s="703"/>
      <c r="O50" s="704"/>
      <c r="P50" s="702"/>
      <c r="Q50" s="703"/>
      <c r="R50" s="703"/>
      <c r="S50" s="703"/>
      <c r="T50" s="703"/>
      <c r="U50" s="704"/>
      <c r="V50" s="702"/>
      <c r="W50" s="703"/>
      <c r="X50" s="703"/>
      <c r="Y50" s="703"/>
      <c r="Z50" s="703"/>
      <c r="AA50" s="704"/>
      <c r="AB50" s="702"/>
      <c r="AC50" s="703"/>
      <c r="AD50" s="703"/>
      <c r="AE50" s="703"/>
      <c r="AF50" s="703"/>
      <c r="AG50" s="704"/>
      <c r="AH50" s="702"/>
      <c r="AI50" s="703"/>
      <c r="AJ50" s="703"/>
      <c r="AK50" s="703"/>
      <c r="AL50" s="703"/>
      <c r="AM50" s="704"/>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75" thickBot="1" x14ac:dyDescent="0.3">
      <c r="A51" s="73"/>
      <c r="B51" s="73"/>
      <c r="C51" s="73"/>
      <c r="D51" s="73"/>
      <c r="E51" s="73"/>
      <c r="F51" s="73"/>
      <c r="G51" s="73"/>
      <c r="H51" s="73"/>
      <c r="I51" s="73"/>
      <c r="J51" s="705"/>
      <c r="K51" s="706"/>
      <c r="L51" s="706"/>
      <c r="M51" s="706"/>
      <c r="N51" s="706"/>
      <c r="O51" s="707"/>
      <c r="P51" s="705"/>
      <c r="Q51" s="706"/>
      <c r="R51" s="706"/>
      <c r="S51" s="706"/>
      <c r="T51" s="706"/>
      <c r="U51" s="707"/>
      <c r="V51" s="705"/>
      <c r="W51" s="706"/>
      <c r="X51" s="706"/>
      <c r="Y51" s="706"/>
      <c r="Z51" s="706"/>
      <c r="AA51" s="707"/>
      <c r="AB51" s="705"/>
      <c r="AC51" s="706"/>
      <c r="AD51" s="706"/>
      <c r="AE51" s="706"/>
      <c r="AF51" s="706"/>
      <c r="AG51" s="707"/>
      <c r="AH51" s="705"/>
      <c r="AI51" s="706"/>
      <c r="AJ51" s="706"/>
      <c r="AK51" s="706"/>
      <c r="AL51" s="706"/>
      <c r="AM51" s="707"/>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x14ac:dyDescent="0.25">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x14ac:dyDescent="0.2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x14ac:dyDescent="0.25">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row>
    <row r="63" spans="1:80" x14ac:dyDescent="0.25">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row>
    <row r="64" spans="1:80" x14ac:dyDescent="0.25">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row>
    <row r="65" spans="1:8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row>
    <row r="66" spans="1:8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row>
    <row r="67" spans="1:8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row>
    <row r="68" spans="1:8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row>
    <row r="69" spans="1:8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row>
    <row r="70" spans="1:8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row>
    <row r="71" spans="1:8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row>
    <row r="72" spans="1:8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row>
    <row r="73" spans="1:8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c r="BX73" s="73"/>
      <c r="BY73" s="73"/>
      <c r="BZ73" s="73"/>
      <c r="CA73" s="73"/>
      <c r="CB73" s="73"/>
    </row>
    <row r="74" spans="1:8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row>
    <row r="75" spans="1:8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c r="BX75" s="73"/>
      <c r="BY75" s="73"/>
      <c r="BZ75" s="73"/>
      <c r="CA75" s="73"/>
      <c r="CB75" s="73"/>
    </row>
    <row r="76" spans="1:8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row>
    <row r="77" spans="1:8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row>
    <row r="78" spans="1:8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3"/>
      <c r="CA78" s="73"/>
      <c r="CB78" s="73"/>
    </row>
    <row r="79" spans="1:8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row>
    <row r="80" spans="1:8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row>
    <row r="81" spans="1:63"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row>
    <row r="82" spans="1:63"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row>
    <row r="83" spans="1:63"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row>
    <row r="84" spans="1:63"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row>
    <row r="85" spans="1:63"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row>
    <row r="86" spans="1:63"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row>
    <row r="87" spans="1:63"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row>
    <row r="88" spans="1:63"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row>
    <row r="89" spans="1:63"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row>
    <row r="90" spans="1:63"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row>
    <row r="91" spans="1:63"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row>
    <row r="92" spans="1:63"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row>
    <row r="93" spans="1:63"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row>
    <row r="94" spans="1:63"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row>
    <row r="95" spans="1:63"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row>
    <row r="96" spans="1:63"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row>
    <row r="97" spans="1:63"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row>
    <row r="98" spans="1:63"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row>
    <row r="99" spans="1:63"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row>
    <row r="100" spans="1:63"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row>
    <row r="101" spans="1:63"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row>
    <row r="102" spans="1:63"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row>
    <row r="103" spans="1:63"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row>
    <row r="104" spans="1:63"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row>
    <row r="105" spans="1:63"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row>
    <row r="106" spans="1:63"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row>
    <row r="107" spans="1:63"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row>
    <row r="108" spans="1:63"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row>
    <row r="109" spans="1:63"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row>
    <row r="110" spans="1:63"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row>
    <row r="111" spans="1:63"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row>
    <row r="112" spans="1:63"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row>
    <row r="113" spans="1:63"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row>
    <row r="114" spans="1:63"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row>
    <row r="115" spans="1:63"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row>
    <row r="116" spans="1:63"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row>
    <row r="117" spans="1:63"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row>
    <row r="118" spans="1:63"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row>
    <row r="119" spans="1:63"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row>
    <row r="120" spans="1:63"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row>
    <row r="121" spans="1:63"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row>
    <row r="122" spans="1:63" x14ac:dyDescent="0.25">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row>
    <row r="123" spans="1:63" x14ac:dyDescent="0.25">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row>
    <row r="124" spans="1:63" x14ac:dyDescent="0.25">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row>
    <row r="125" spans="1:63" x14ac:dyDescent="0.25">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row>
    <row r="126" spans="1:63" x14ac:dyDescent="0.25">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row>
    <row r="127" spans="1:63" x14ac:dyDescent="0.25">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row>
    <row r="128" spans="1:63" x14ac:dyDescent="0.25">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row>
    <row r="129" spans="2:63" x14ac:dyDescent="0.25">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row>
    <row r="130" spans="2:63" x14ac:dyDescent="0.25">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row>
    <row r="131" spans="2:63" x14ac:dyDescent="0.25">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row>
    <row r="132" spans="2:63" x14ac:dyDescent="0.25">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row>
    <row r="133" spans="2:63" x14ac:dyDescent="0.25">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row>
    <row r="134" spans="2:63" x14ac:dyDescent="0.25">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row>
    <row r="135" spans="2:63" x14ac:dyDescent="0.25">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row>
    <row r="136" spans="2:63" x14ac:dyDescent="0.25">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row>
    <row r="137" spans="2:63" x14ac:dyDescent="0.25">
      <c r="B137" s="73"/>
      <c r="C137" s="73"/>
      <c r="D137" s="73"/>
      <c r="E137" s="73"/>
      <c r="F137" s="73"/>
      <c r="G137" s="73"/>
      <c r="H137" s="73"/>
      <c r="I137" s="73"/>
    </row>
    <row r="138" spans="2:63" x14ac:dyDescent="0.25">
      <c r="B138" s="73"/>
      <c r="C138" s="73"/>
      <c r="D138" s="73"/>
      <c r="E138" s="73"/>
      <c r="F138" s="73"/>
      <c r="G138" s="73"/>
      <c r="H138" s="73"/>
      <c r="I138" s="73"/>
    </row>
    <row r="139" spans="2:63" x14ac:dyDescent="0.25">
      <c r="B139" s="73"/>
      <c r="C139" s="73"/>
      <c r="D139" s="73"/>
      <c r="E139" s="73"/>
      <c r="F139" s="73"/>
      <c r="G139" s="73"/>
      <c r="H139" s="73"/>
      <c r="I139" s="73"/>
    </row>
    <row r="140" spans="2:63" x14ac:dyDescent="0.25">
      <c r="B140" s="73"/>
      <c r="C140" s="73"/>
      <c r="D140" s="73"/>
      <c r="E140" s="73"/>
      <c r="F140" s="73"/>
      <c r="G140" s="73"/>
      <c r="H140" s="73"/>
      <c r="I140" s="73"/>
    </row>
  </sheetData>
  <sheetProtection algorithmName="SHA-512" hashValue="kpXlidzmWxbP3brn8k4eIEWxhYHkoNV8mMuhH1lPT/xypiCOesm15jiCfvbsOoPDCD8/umcOeC7isQqNzzQXVQ==" saltValue="e8t6+j8RQ+iPDyNDapgnxw==" spinCount="100000" sheet="1" objects="1" scenarios="1"/>
  <mergeCells count="317">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42:AC43"/>
    <mergeCell ref="AD42:AE43"/>
    <mergeCell ref="AF42:AG43"/>
    <mergeCell ref="AB44:AC45"/>
    <mergeCell ref="AD44:AE45"/>
    <mergeCell ref="AF44:AG45"/>
    <mergeCell ref="AB38:AC39"/>
    <mergeCell ref="AD38:AE39"/>
    <mergeCell ref="AF38:AG39"/>
    <mergeCell ref="AB40:AC41"/>
    <mergeCell ref="AD40:AE41"/>
    <mergeCell ref="AF40:AG41"/>
    <mergeCell ref="AH10:AI11"/>
    <mergeCell ref="AJ10:AK11"/>
    <mergeCell ref="AL10:AM11"/>
    <mergeCell ref="AH12:AI13"/>
    <mergeCell ref="AJ12:AK13"/>
    <mergeCell ref="AL12:AM13"/>
    <mergeCell ref="AH6:AI7"/>
    <mergeCell ref="AJ6:AK7"/>
    <mergeCell ref="AL6:AM7"/>
    <mergeCell ref="AH8:AI9"/>
    <mergeCell ref="AJ8:AK9"/>
    <mergeCell ref="AL8:AM9"/>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42:AI43"/>
    <mergeCell ref="AJ42:AK43"/>
    <mergeCell ref="AL42:AM43"/>
    <mergeCell ref="AH44:AI45"/>
    <mergeCell ref="AJ44:AK45"/>
    <mergeCell ref="AL44:AM45"/>
    <mergeCell ref="AH38:AI39"/>
    <mergeCell ref="AJ38:AK39"/>
    <mergeCell ref="AL38:AM39"/>
    <mergeCell ref="AH40:AI41"/>
    <mergeCell ref="AJ40:AK41"/>
    <mergeCell ref="AL40:AM41"/>
    <mergeCell ref="J18:K19"/>
    <mergeCell ref="L18:M19"/>
    <mergeCell ref="N18:O19"/>
    <mergeCell ref="J20:K21"/>
    <mergeCell ref="L20:M21"/>
    <mergeCell ref="N20:O21"/>
    <mergeCell ref="J14:K15"/>
    <mergeCell ref="L14:M15"/>
    <mergeCell ref="N14:O15"/>
    <mergeCell ref="J16:K17"/>
    <mergeCell ref="L16:M17"/>
    <mergeCell ref="N16:O17"/>
    <mergeCell ref="P18:Q19"/>
    <mergeCell ref="R18:S19"/>
    <mergeCell ref="T18:U19"/>
    <mergeCell ref="P20:Q21"/>
    <mergeCell ref="R20:S21"/>
    <mergeCell ref="T20:U21"/>
    <mergeCell ref="P14:Q15"/>
    <mergeCell ref="R14:S15"/>
    <mergeCell ref="T14:U15"/>
    <mergeCell ref="P16:Q17"/>
    <mergeCell ref="R16:S17"/>
    <mergeCell ref="T16:U17"/>
    <mergeCell ref="J26:K27"/>
    <mergeCell ref="L26:M27"/>
    <mergeCell ref="N26:O27"/>
    <mergeCell ref="J28:K29"/>
    <mergeCell ref="L28:M29"/>
    <mergeCell ref="N28:O29"/>
    <mergeCell ref="J22:K23"/>
    <mergeCell ref="L22:M23"/>
    <mergeCell ref="N22:O23"/>
    <mergeCell ref="J24:K25"/>
    <mergeCell ref="L24:M25"/>
    <mergeCell ref="N24:O25"/>
    <mergeCell ref="P26:Q27"/>
    <mergeCell ref="R26:S27"/>
    <mergeCell ref="T26:U27"/>
    <mergeCell ref="P28:Q29"/>
    <mergeCell ref="R28:S29"/>
    <mergeCell ref="T28:U29"/>
    <mergeCell ref="P22:Q23"/>
    <mergeCell ref="R22:S23"/>
    <mergeCell ref="T22:U23"/>
    <mergeCell ref="P24:Q25"/>
    <mergeCell ref="R24:S25"/>
    <mergeCell ref="T24:U25"/>
    <mergeCell ref="V26:W27"/>
    <mergeCell ref="X26:Y27"/>
    <mergeCell ref="Z26:AA27"/>
    <mergeCell ref="V28:W29"/>
    <mergeCell ref="X28:Y29"/>
    <mergeCell ref="Z28:AA29"/>
    <mergeCell ref="V22:W23"/>
    <mergeCell ref="X22:Y23"/>
    <mergeCell ref="Z22:AA23"/>
    <mergeCell ref="V24:W25"/>
    <mergeCell ref="X24:Y25"/>
    <mergeCell ref="Z24:AA25"/>
    <mergeCell ref="V34:W35"/>
    <mergeCell ref="X34:Y35"/>
    <mergeCell ref="Z34:AA35"/>
    <mergeCell ref="V36:W37"/>
    <mergeCell ref="X36:Y37"/>
    <mergeCell ref="Z36:AA37"/>
    <mergeCell ref="V30:W31"/>
    <mergeCell ref="X30:Y31"/>
    <mergeCell ref="Z30:AA31"/>
    <mergeCell ref="V32:W33"/>
    <mergeCell ref="X32:Y33"/>
    <mergeCell ref="Z32:AA33"/>
    <mergeCell ref="P34:Q35"/>
    <mergeCell ref="R34:S35"/>
    <mergeCell ref="T34:U35"/>
    <mergeCell ref="P36:Q37"/>
    <mergeCell ref="R36:S37"/>
    <mergeCell ref="T36:U37"/>
    <mergeCell ref="P30:Q31"/>
    <mergeCell ref="R30:S31"/>
    <mergeCell ref="T30:U31"/>
    <mergeCell ref="P32:Q33"/>
    <mergeCell ref="R32:S33"/>
    <mergeCell ref="T32:U33"/>
    <mergeCell ref="V42:W43"/>
    <mergeCell ref="X42:Y43"/>
    <mergeCell ref="Z42:AA43"/>
    <mergeCell ref="V44:W45"/>
    <mergeCell ref="X44:Y45"/>
    <mergeCell ref="Z44:AA45"/>
    <mergeCell ref="V38:W39"/>
    <mergeCell ref="X38:Y39"/>
    <mergeCell ref="Z38:AA39"/>
    <mergeCell ref="V40:W41"/>
    <mergeCell ref="X40:Y41"/>
    <mergeCell ref="Z40:AA41"/>
    <mergeCell ref="N40:O41"/>
    <mergeCell ref="J34:K35"/>
    <mergeCell ref="L34:M35"/>
    <mergeCell ref="N34:O35"/>
    <mergeCell ref="J36:K37"/>
    <mergeCell ref="L36:M37"/>
    <mergeCell ref="N36:O37"/>
    <mergeCell ref="J30:K31"/>
    <mergeCell ref="L30:M31"/>
    <mergeCell ref="N30:O31"/>
    <mergeCell ref="J32:K33"/>
    <mergeCell ref="L32:M33"/>
    <mergeCell ref="N32:O33"/>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CM248"/>
  <sheetViews>
    <sheetView zoomScale="50" zoomScaleNormal="50" workbookViewId="0">
      <selection activeCell="J2" sqref="J2:AM4"/>
    </sheetView>
  </sheetViews>
  <sheetFormatPr baseColWidth="10" defaultColWidth="11.42578125" defaultRowHeight="15" x14ac:dyDescent="0.2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row>
    <row r="2" spans="1:91" ht="18" customHeight="1" x14ac:dyDescent="0.25">
      <c r="A2" s="73"/>
      <c r="B2" s="776" t="s">
        <v>395</v>
      </c>
      <c r="C2" s="777"/>
      <c r="D2" s="777"/>
      <c r="E2" s="777"/>
      <c r="F2" s="777"/>
      <c r="G2" s="777"/>
      <c r="H2" s="777"/>
      <c r="I2" s="777"/>
      <c r="J2" s="698" t="s">
        <v>134</v>
      </c>
      <c r="K2" s="698"/>
      <c r="L2" s="698"/>
      <c r="M2" s="698"/>
      <c r="N2" s="698"/>
      <c r="O2" s="698"/>
      <c r="P2" s="698"/>
      <c r="Q2" s="698"/>
      <c r="R2" s="698"/>
      <c r="S2" s="698"/>
      <c r="T2" s="698"/>
      <c r="U2" s="698"/>
      <c r="V2" s="698"/>
      <c r="W2" s="698"/>
      <c r="X2" s="698"/>
      <c r="Y2" s="698"/>
      <c r="Z2" s="698"/>
      <c r="AA2" s="698"/>
      <c r="AB2" s="698"/>
      <c r="AC2" s="698"/>
      <c r="AD2" s="698"/>
      <c r="AE2" s="698"/>
      <c r="AF2" s="698"/>
      <c r="AG2" s="698"/>
      <c r="AH2" s="698"/>
      <c r="AI2" s="698"/>
      <c r="AJ2" s="698"/>
      <c r="AK2" s="698"/>
      <c r="AL2" s="698"/>
      <c r="AM2" s="698"/>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row>
    <row r="3" spans="1:91" ht="18.75" customHeight="1" x14ac:dyDescent="0.25">
      <c r="A3" s="73"/>
      <c r="B3" s="777"/>
      <c r="C3" s="777"/>
      <c r="D3" s="777"/>
      <c r="E3" s="777"/>
      <c r="F3" s="777"/>
      <c r="G3" s="777"/>
      <c r="H3" s="777"/>
      <c r="I3" s="777"/>
      <c r="J3" s="698"/>
      <c r="K3" s="698"/>
      <c r="L3" s="698"/>
      <c r="M3" s="698"/>
      <c r="N3" s="698"/>
      <c r="O3" s="698"/>
      <c r="P3" s="698"/>
      <c r="Q3" s="698"/>
      <c r="R3" s="698"/>
      <c r="S3" s="698"/>
      <c r="T3" s="698"/>
      <c r="U3" s="698"/>
      <c r="V3" s="698"/>
      <c r="W3" s="698"/>
      <c r="X3" s="698"/>
      <c r="Y3" s="698"/>
      <c r="Z3" s="698"/>
      <c r="AA3" s="698"/>
      <c r="AB3" s="698"/>
      <c r="AC3" s="698"/>
      <c r="AD3" s="698"/>
      <c r="AE3" s="698"/>
      <c r="AF3" s="698"/>
      <c r="AG3" s="698"/>
      <c r="AH3" s="698"/>
      <c r="AI3" s="698"/>
      <c r="AJ3" s="698"/>
      <c r="AK3" s="698"/>
      <c r="AL3" s="698"/>
      <c r="AM3" s="698"/>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row>
    <row r="4" spans="1:91" ht="15" customHeight="1" x14ac:dyDescent="0.25">
      <c r="A4" s="73"/>
      <c r="B4" s="777"/>
      <c r="C4" s="777"/>
      <c r="D4" s="777"/>
      <c r="E4" s="777"/>
      <c r="F4" s="777"/>
      <c r="G4" s="777"/>
      <c r="H4" s="777"/>
      <c r="I4" s="777"/>
      <c r="J4" s="698"/>
      <c r="K4" s="698"/>
      <c r="L4" s="698"/>
      <c r="M4" s="698"/>
      <c r="N4" s="698"/>
      <c r="O4" s="698"/>
      <c r="P4" s="698"/>
      <c r="Q4" s="698"/>
      <c r="R4" s="698"/>
      <c r="S4" s="698"/>
      <c r="T4" s="698"/>
      <c r="U4" s="698"/>
      <c r="V4" s="698"/>
      <c r="W4" s="698"/>
      <c r="X4" s="698"/>
      <c r="Y4" s="698"/>
      <c r="Z4" s="698"/>
      <c r="AA4" s="698"/>
      <c r="AB4" s="698"/>
      <c r="AC4" s="698"/>
      <c r="AD4" s="698"/>
      <c r="AE4" s="698"/>
      <c r="AF4" s="698"/>
      <c r="AG4" s="698"/>
      <c r="AH4" s="698"/>
      <c r="AI4" s="698"/>
      <c r="AJ4" s="698"/>
      <c r="AK4" s="698"/>
      <c r="AL4" s="698"/>
      <c r="AM4" s="698"/>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row>
    <row r="5" spans="1:91"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row>
    <row r="6" spans="1:91" ht="15" customHeight="1" x14ac:dyDescent="0.25">
      <c r="A6" s="73"/>
      <c r="B6" s="709" t="s">
        <v>381</v>
      </c>
      <c r="C6" s="709"/>
      <c r="D6" s="710"/>
      <c r="E6" s="747" t="s">
        <v>382</v>
      </c>
      <c r="F6" s="748"/>
      <c r="G6" s="748"/>
      <c r="H6" s="748"/>
      <c r="I6" s="749"/>
      <c r="J6" s="36" t="e">
        <f>IF(AND(#REF!="Muy Alta",#REF!="Leve"),CONCATENATE("R1C",#REF!),"")</f>
        <v>#REF!</v>
      </c>
      <c r="K6" s="37" t="e">
        <f>IF(AND(#REF!="Muy Alta",#REF!="Leve"),CONCATENATE("R1C",#REF!),"")</f>
        <v>#REF!</v>
      </c>
      <c r="L6" s="37" t="e">
        <f>IF(AND(#REF!="Muy Alta",#REF!="Leve"),CONCATENATE("R1C",#REF!),"")</f>
        <v>#REF!</v>
      </c>
      <c r="M6" s="37" t="e">
        <f>IF(AND(#REF!="Muy Alta",#REF!="Leve"),CONCATENATE("R1C",#REF!),"")</f>
        <v>#REF!</v>
      </c>
      <c r="N6" s="37" t="e">
        <f>IF(AND(#REF!="Muy Alta",#REF!="Leve"),CONCATENATE("R1C",#REF!),"")</f>
        <v>#REF!</v>
      </c>
      <c r="O6" s="38" t="e">
        <f>IF(AND(#REF!="Muy Alta",#REF!="Leve"),CONCATENATE("R1C",#REF!),"")</f>
        <v>#REF!</v>
      </c>
      <c r="P6" s="36" t="e">
        <f>IF(AND(#REF!="Muy Alta",#REF!="Menor"),CONCATENATE("R1C",#REF!),"")</f>
        <v>#REF!</v>
      </c>
      <c r="Q6" s="37" t="e">
        <f>IF(AND(#REF!="Muy Alta",#REF!="Menor"),CONCATENATE("R1C",#REF!),"")</f>
        <v>#REF!</v>
      </c>
      <c r="R6" s="37" t="e">
        <f>IF(AND(#REF!="Muy Alta",#REF!="Menor"),CONCATENATE("R1C",#REF!),"")</f>
        <v>#REF!</v>
      </c>
      <c r="S6" s="37" t="e">
        <f>IF(AND(#REF!="Muy Alta",#REF!="Menor"),CONCATENATE("R1C",#REF!),"")</f>
        <v>#REF!</v>
      </c>
      <c r="T6" s="37" t="e">
        <f>IF(AND(#REF!="Muy Alta",#REF!="Menor"),CONCATENATE("R1C",#REF!),"")</f>
        <v>#REF!</v>
      </c>
      <c r="U6" s="38" t="e">
        <f>IF(AND(#REF!="Muy Alta",#REF!="Menor"),CONCATENATE("R1C",#REF!),"")</f>
        <v>#REF!</v>
      </c>
      <c r="V6" s="36" t="e">
        <f>IF(AND(#REF!="Muy Alta",#REF!="Moderado"),CONCATENATE("R1C",#REF!),"")</f>
        <v>#REF!</v>
      </c>
      <c r="W6" s="37" t="e">
        <f>IF(AND(#REF!="Muy Alta",#REF!="Moderado"),CONCATENATE("R1C",#REF!),"")</f>
        <v>#REF!</v>
      </c>
      <c r="X6" s="37" t="e">
        <f>IF(AND(#REF!="Muy Alta",#REF!="Moderado"),CONCATENATE("R1C",#REF!),"")</f>
        <v>#REF!</v>
      </c>
      <c r="Y6" s="37" t="e">
        <f>IF(AND(#REF!="Muy Alta",#REF!="Moderado"),CONCATENATE("R1C",#REF!),"")</f>
        <v>#REF!</v>
      </c>
      <c r="Z6" s="37" t="e">
        <f>IF(AND(#REF!="Muy Alta",#REF!="Moderado"),CONCATENATE("R1C",#REF!),"")</f>
        <v>#REF!</v>
      </c>
      <c r="AA6" s="38" t="e">
        <f>IF(AND(#REF!="Muy Alta",#REF!="Moderado"),CONCATENATE("R1C",#REF!),"")</f>
        <v>#REF!</v>
      </c>
      <c r="AB6" s="36" t="e">
        <f>IF(AND(#REF!="Muy Alta",#REF!="Mayor"),CONCATENATE("R1C",#REF!),"")</f>
        <v>#REF!</v>
      </c>
      <c r="AC6" s="37" t="e">
        <f>IF(AND(#REF!="Muy Alta",#REF!="Mayor"),CONCATENATE("R1C",#REF!),"")</f>
        <v>#REF!</v>
      </c>
      <c r="AD6" s="37" t="e">
        <f>IF(AND(#REF!="Muy Alta",#REF!="Mayor"),CONCATENATE("R1C",#REF!),"")</f>
        <v>#REF!</v>
      </c>
      <c r="AE6" s="37" t="e">
        <f>IF(AND(#REF!="Muy Alta",#REF!="Mayor"),CONCATENATE("R1C",#REF!),"")</f>
        <v>#REF!</v>
      </c>
      <c r="AF6" s="37" t="e">
        <f>IF(AND(#REF!="Muy Alta",#REF!="Mayor"),CONCATENATE("R1C",#REF!),"")</f>
        <v>#REF!</v>
      </c>
      <c r="AG6" s="38" t="e">
        <f>IF(AND(#REF!="Muy Alta",#REF!="Mayor"),CONCATENATE("R1C",#REF!),"")</f>
        <v>#REF!</v>
      </c>
      <c r="AH6" s="39" t="e">
        <f>IF(AND(#REF!="Muy Alta",#REF!="Catastrófico"),CONCATENATE("R1C",#REF!),"")</f>
        <v>#REF!</v>
      </c>
      <c r="AI6" s="40" t="e">
        <f>IF(AND(#REF!="Muy Alta",#REF!="Catastrófico"),CONCATENATE("R1C",#REF!),"")</f>
        <v>#REF!</v>
      </c>
      <c r="AJ6" s="40" t="e">
        <f>IF(AND(#REF!="Muy Alta",#REF!="Catastrófico"),CONCATENATE("R1C",#REF!),"")</f>
        <v>#REF!</v>
      </c>
      <c r="AK6" s="40" t="e">
        <f>IF(AND(#REF!="Muy Alta",#REF!="Catastrófico"),CONCATENATE("R1C",#REF!),"")</f>
        <v>#REF!</v>
      </c>
      <c r="AL6" s="40" t="e">
        <f>IF(AND(#REF!="Muy Alta",#REF!="Catastrófico"),CONCATENATE("R1C",#REF!),"")</f>
        <v>#REF!</v>
      </c>
      <c r="AM6" s="41" t="e">
        <f>IF(AND(#REF!="Muy Alta",#REF!="Catastrófico"),CONCATENATE("R1C",#REF!),"")</f>
        <v>#REF!</v>
      </c>
      <c r="AN6" s="73"/>
      <c r="AO6" s="767" t="s">
        <v>383</v>
      </c>
      <c r="AP6" s="768"/>
      <c r="AQ6" s="768"/>
      <c r="AR6" s="768"/>
      <c r="AS6" s="768"/>
      <c r="AT6" s="769"/>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row>
    <row r="7" spans="1:91" ht="15" customHeight="1" x14ac:dyDescent="0.25">
      <c r="A7" s="73"/>
      <c r="B7" s="709"/>
      <c r="C7" s="709"/>
      <c r="D7" s="710"/>
      <c r="E7" s="750"/>
      <c r="F7" s="751"/>
      <c r="G7" s="751"/>
      <c r="H7" s="751"/>
      <c r="I7" s="752"/>
      <c r="J7" s="42" t="e">
        <f>IF(AND(#REF!="Muy Alta",#REF!="Leve"),CONCATENATE("R2C",#REF!),"")</f>
        <v>#REF!</v>
      </c>
      <c r="K7" s="43" t="e">
        <f>IF(AND(#REF!="Muy Alta",#REF!="Leve"),CONCATENATE("R2C",#REF!),"")</f>
        <v>#REF!</v>
      </c>
      <c r="L7" s="43" t="e">
        <f>IF(AND(#REF!="Muy Alta",#REF!="Leve"),CONCATENATE("R2C",#REF!),"")</f>
        <v>#REF!</v>
      </c>
      <c r="M7" s="43" t="e">
        <f>IF(AND(#REF!="Muy Alta",#REF!="Leve"),CONCATENATE("R2C",#REF!),"")</f>
        <v>#REF!</v>
      </c>
      <c r="N7" s="43" t="e">
        <f>IF(AND(#REF!="Muy Alta",#REF!="Leve"),CONCATENATE("R2C",#REF!),"")</f>
        <v>#REF!</v>
      </c>
      <c r="O7" s="44" t="e">
        <f>IF(AND(#REF!="Muy Alta",#REF!="Leve"),CONCATENATE("R2C",#REF!),"")</f>
        <v>#REF!</v>
      </c>
      <c r="P7" s="42" t="e">
        <f>IF(AND(#REF!="Muy Alta",#REF!="Menor"),CONCATENATE("R2C",#REF!),"")</f>
        <v>#REF!</v>
      </c>
      <c r="Q7" s="43" t="e">
        <f>IF(AND(#REF!="Muy Alta",#REF!="Menor"),CONCATENATE("R2C",#REF!),"")</f>
        <v>#REF!</v>
      </c>
      <c r="R7" s="43" t="e">
        <f>IF(AND(#REF!="Muy Alta",#REF!="Menor"),CONCATENATE("R2C",#REF!),"")</f>
        <v>#REF!</v>
      </c>
      <c r="S7" s="43" t="e">
        <f>IF(AND(#REF!="Muy Alta",#REF!="Menor"),CONCATENATE("R2C",#REF!),"")</f>
        <v>#REF!</v>
      </c>
      <c r="T7" s="43" t="e">
        <f>IF(AND(#REF!="Muy Alta",#REF!="Menor"),CONCATENATE("R2C",#REF!),"")</f>
        <v>#REF!</v>
      </c>
      <c r="U7" s="44" t="e">
        <f>IF(AND(#REF!="Muy Alta",#REF!="Menor"),CONCATENATE("R2C",#REF!),"")</f>
        <v>#REF!</v>
      </c>
      <c r="V7" s="42" t="e">
        <f>IF(AND(#REF!="Muy Alta",#REF!="Moderado"),CONCATENATE("R2C",#REF!),"")</f>
        <v>#REF!</v>
      </c>
      <c r="W7" s="43" t="e">
        <f>IF(AND(#REF!="Muy Alta",#REF!="Moderado"),CONCATENATE("R2C",#REF!),"")</f>
        <v>#REF!</v>
      </c>
      <c r="X7" s="43" t="e">
        <f>IF(AND(#REF!="Muy Alta",#REF!="Moderado"),CONCATENATE("R2C",#REF!),"")</f>
        <v>#REF!</v>
      </c>
      <c r="Y7" s="43" t="e">
        <f>IF(AND(#REF!="Muy Alta",#REF!="Moderado"),CONCATENATE("R2C",#REF!),"")</f>
        <v>#REF!</v>
      </c>
      <c r="Z7" s="43" t="e">
        <f>IF(AND(#REF!="Muy Alta",#REF!="Moderado"),CONCATENATE("R2C",#REF!),"")</f>
        <v>#REF!</v>
      </c>
      <c r="AA7" s="44" t="e">
        <f>IF(AND(#REF!="Muy Alta",#REF!="Moderado"),CONCATENATE("R2C",#REF!),"")</f>
        <v>#REF!</v>
      </c>
      <c r="AB7" s="42" t="e">
        <f>IF(AND(#REF!="Muy Alta",#REF!="Mayor"),CONCATENATE("R2C",#REF!),"")</f>
        <v>#REF!</v>
      </c>
      <c r="AC7" s="43" t="e">
        <f>IF(AND(#REF!="Muy Alta",#REF!="Mayor"),CONCATENATE("R2C",#REF!),"")</f>
        <v>#REF!</v>
      </c>
      <c r="AD7" s="43" t="e">
        <f>IF(AND(#REF!="Muy Alta",#REF!="Mayor"),CONCATENATE("R2C",#REF!),"")</f>
        <v>#REF!</v>
      </c>
      <c r="AE7" s="43" t="e">
        <f>IF(AND(#REF!="Muy Alta",#REF!="Mayor"),CONCATENATE("R2C",#REF!),"")</f>
        <v>#REF!</v>
      </c>
      <c r="AF7" s="43" t="e">
        <f>IF(AND(#REF!="Muy Alta",#REF!="Mayor"),CONCATENATE("R2C",#REF!),"")</f>
        <v>#REF!</v>
      </c>
      <c r="AG7" s="44" t="e">
        <f>IF(AND(#REF!="Muy Alta",#REF!="Mayor"),CONCATENATE("R2C",#REF!),"")</f>
        <v>#REF!</v>
      </c>
      <c r="AH7" s="45" t="e">
        <f>IF(AND(#REF!="Muy Alta",#REF!="Catastrófico"),CONCATENATE("R2C",#REF!),"")</f>
        <v>#REF!</v>
      </c>
      <c r="AI7" s="46" t="e">
        <f>IF(AND(#REF!="Muy Alta",#REF!="Catastrófico"),CONCATENATE("R2C",#REF!),"")</f>
        <v>#REF!</v>
      </c>
      <c r="AJ7" s="46" t="e">
        <f>IF(AND(#REF!="Muy Alta",#REF!="Catastrófico"),CONCATENATE("R2C",#REF!),"")</f>
        <v>#REF!</v>
      </c>
      <c r="AK7" s="46" t="e">
        <f>IF(AND(#REF!="Muy Alta",#REF!="Catastrófico"),CONCATENATE("R2C",#REF!),"")</f>
        <v>#REF!</v>
      </c>
      <c r="AL7" s="46" t="e">
        <f>IF(AND(#REF!="Muy Alta",#REF!="Catastrófico"),CONCATENATE("R2C",#REF!),"")</f>
        <v>#REF!</v>
      </c>
      <c r="AM7" s="47" t="e">
        <f>IF(AND(#REF!="Muy Alta",#REF!="Catastrófico"),CONCATENATE("R2C",#REF!),"")</f>
        <v>#REF!</v>
      </c>
      <c r="AN7" s="73"/>
      <c r="AO7" s="770"/>
      <c r="AP7" s="771"/>
      <c r="AQ7" s="771"/>
      <c r="AR7" s="771"/>
      <c r="AS7" s="771"/>
      <c r="AT7" s="772"/>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row>
    <row r="8" spans="1:91" ht="15" customHeight="1" x14ac:dyDescent="0.25">
      <c r="A8" s="73"/>
      <c r="B8" s="709"/>
      <c r="C8" s="709"/>
      <c r="D8" s="710"/>
      <c r="E8" s="750"/>
      <c r="F8" s="751"/>
      <c r="G8" s="751"/>
      <c r="H8" s="751"/>
      <c r="I8" s="752"/>
      <c r="J8" s="42" t="e">
        <f>IF(AND(#REF!="Muy Alta",#REF!="Leve"),CONCATENATE("R3C",#REF!),"")</f>
        <v>#REF!</v>
      </c>
      <c r="K8" s="43" t="e">
        <f>IF(AND(#REF!="Muy Alta",#REF!="Leve"),CONCATENATE("R3C",#REF!),"")</f>
        <v>#REF!</v>
      </c>
      <c r="L8" s="43" t="e">
        <f>IF(AND(#REF!="Muy Alta",#REF!="Leve"),CONCATENATE("R3C",#REF!),"")</f>
        <v>#REF!</v>
      </c>
      <c r="M8" s="43" t="e">
        <f>IF(AND(#REF!="Muy Alta",#REF!="Leve"),CONCATENATE("R3C",#REF!),"")</f>
        <v>#REF!</v>
      </c>
      <c r="N8" s="43" t="e">
        <f>IF(AND(#REF!="Muy Alta",#REF!="Leve"),CONCATENATE("R3C",#REF!),"")</f>
        <v>#REF!</v>
      </c>
      <c r="O8" s="44" t="e">
        <f>IF(AND(#REF!="Muy Alta",#REF!="Leve"),CONCATENATE("R3C",#REF!),"")</f>
        <v>#REF!</v>
      </c>
      <c r="P8" s="42" t="e">
        <f>IF(AND(#REF!="Muy Alta",#REF!="Menor"),CONCATENATE("R3C",#REF!),"")</f>
        <v>#REF!</v>
      </c>
      <c r="Q8" s="43" t="e">
        <f>IF(AND(#REF!="Muy Alta",#REF!="Menor"),CONCATENATE("R3C",#REF!),"")</f>
        <v>#REF!</v>
      </c>
      <c r="R8" s="43" t="e">
        <f>IF(AND(#REF!="Muy Alta",#REF!="Menor"),CONCATENATE("R3C",#REF!),"")</f>
        <v>#REF!</v>
      </c>
      <c r="S8" s="43" t="e">
        <f>IF(AND(#REF!="Muy Alta",#REF!="Menor"),CONCATENATE("R3C",#REF!),"")</f>
        <v>#REF!</v>
      </c>
      <c r="T8" s="43" t="e">
        <f>IF(AND(#REF!="Muy Alta",#REF!="Menor"),CONCATENATE("R3C",#REF!),"")</f>
        <v>#REF!</v>
      </c>
      <c r="U8" s="44" t="e">
        <f>IF(AND(#REF!="Muy Alta",#REF!="Menor"),CONCATENATE("R3C",#REF!),"")</f>
        <v>#REF!</v>
      </c>
      <c r="V8" s="42" t="e">
        <f>IF(AND(#REF!="Muy Alta",#REF!="Moderado"),CONCATENATE("R3C",#REF!),"")</f>
        <v>#REF!</v>
      </c>
      <c r="W8" s="43" t="e">
        <f>IF(AND(#REF!="Muy Alta",#REF!="Moderado"),CONCATENATE("R3C",#REF!),"")</f>
        <v>#REF!</v>
      </c>
      <c r="X8" s="43" t="e">
        <f>IF(AND(#REF!="Muy Alta",#REF!="Moderado"),CONCATENATE("R3C",#REF!),"")</f>
        <v>#REF!</v>
      </c>
      <c r="Y8" s="43" t="e">
        <f>IF(AND(#REF!="Muy Alta",#REF!="Moderado"),CONCATENATE("R3C",#REF!),"")</f>
        <v>#REF!</v>
      </c>
      <c r="Z8" s="43" t="e">
        <f>IF(AND(#REF!="Muy Alta",#REF!="Moderado"),CONCATENATE("R3C",#REF!),"")</f>
        <v>#REF!</v>
      </c>
      <c r="AA8" s="44" t="e">
        <f>IF(AND(#REF!="Muy Alta",#REF!="Moderado"),CONCATENATE("R3C",#REF!),"")</f>
        <v>#REF!</v>
      </c>
      <c r="AB8" s="42" t="e">
        <f>IF(AND(#REF!="Muy Alta",#REF!="Mayor"),CONCATENATE("R3C",#REF!),"")</f>
        <v>#REF!</v>
      </c>
      <c r="AC8" s="43" t="e">
        <f>IF(AND(#REF!="Muy Alta",#REF!="Mayor"),CONCATENATE("R3C",#REF!),"")</f>
        <v>#REF!</v>
      </c>
      <c r="AD8" s="43" t="e">
        <f>IF(AND(#REF!="Muy Alta",#REF!="Mayor"),CONCATENATE("R3C",#REF!),"")</f>
        <v>#REF!</v>
      </c>
      <c r="AE8" s="43" t="e">
        <f>IF(AND(#REF!="Muy Alta",#REF!="Mayor"),CONCATENATE("R3C",#REF!),"")</f>
        <v>#REF!</v>
      </c>
      <c r="AF8" s="43" t="e">
        <f>IF(AND(#REF!="Muy Alta",#REF!="Mayor"),CONCATENATE("R3C",#REF!),"")</f>
        <v>#REF!</v>
      </c>
      <c r="AG8" s="44" t="e">
        <f>IF(AND(#REF!="Muy Alta",#REF!="Mayor"),CONCATENATE("R3C",#REF!),"")</f>
        <v>#REF!</v>
      </c>
      <c r="AH8" s="45" t="e">
        <f>IF(AND(#REF!="Muy Alta",#REF!="Catastrófico"),CONCATENATE("R3C",#REF!),"")</f>
        <v>#REF!</v>
      </c>
      <c r="AI8" s="46" t="e">
        <f>IF(AND(#REF!="Muy Alta",#REF!="Catastrófico"),CONCATENATE("R3C",#REF!),"")</f>
        <v>#REF!</v>
      </c>
      <c r="AJ8" s="46" t="e">
        <f>IF(AND(#REF!="Muy Alta",#REF!="Catastrófico"),CONCATENATE("R3C",#REF!),"")</f>
        <v>#REF!</v>
      </c>
      <c r="AK8" s="46" t="e">
        <f>IF(AND(#REF!="Muy Alta",#REF!="Catastrófico"),CONCATENATE("R3C",#REF!),"")</f>
        <v>#REF!</v>
      </c>
      <c r="AL8" s="46" t="e">
        <f>IF(AND(#REF!="Muy Alta",#REF!="Catastrófico"),CONCATENATE("R3C",#REF!),"")</f>
        <v>#REF!</v>
      </c>
      <c r="AM8" s="47" t="e">
        <f>IF(AND(#REF!="Muy Alta",#REF!="Catastrófico"),CONCATENATE("R3C",#REF!),"")</f>
        <v>#REF!</v>
      </c>
      <c r="AN8" s="73"/>
      <c r="AO8" s="770"/>
      <c r="AP8" s="771"/>
      <c r="AQ8" s="771"/>
      <c r="AR8" s="771"/>
      <c r="AS8" s="771"/>
      <c r="AT8" s="772"/>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row>
    <row r="9" spans="1:91" ht="15" customHeight="1" x14ac:dyDescent="0.25">
      <c r="A9" s="73"/>
      <c r="B9" s="709"/>
      <c r="C9" s="709"/>
      <c r="D9" s="710"/>
      <c r="E9" s="750"/>
      <c r="F9" s="751"/>
      <c r="G9" s="751"/>
      <c r="H9" s="751"/>
      <c r="I9" s="752"/>
      <c r="J9" s="42" t="e">
        <f>IF(AND(#REF!="Muy Alta",#REF!="Leve"),CONCATENATE("R4C",#REF!),"")</f>
        <v>#REF!</v>
      </c>
      <c r="K9" s="43" t="e">
        <f>IF(AND(#REF!="Muy Alta",#REF!="Leve"),CONCATENATE("R4C",#REF!),"")</f>
        <v>#REF!</v>
      </c>
      <c r="L9" s="43" t="e">
        <f>IF(AND(#REF!="Muy Alta",#REF!="Leve"),CONCATENATE("R4C",#REF!),"")</f>
        <v>#REF!</v>
      </c>
      <c r="M9" s="43" t="e">
        <f>IF(AND(#REF!="Muy Alta",#REF!="Leve"),CONCATENATE("R4C",#REF!),"")</f>
        <v>#REF!</v>
      </c>
      <c r="N9" s="43" t="e">
        <f>IF(AND(#REF!="Muy Alta",#REF!="Leve"),CONCATENATE("R4C",#REF!),"")</f>
        <v>#REF!</v>
      </c>
      <c r="O9" s="44" t="e">
        <f>IF(AND(#REF!="Muy Alta",#REF!="Leve"),CONCATENATE("R4C",#REF!),"")</f>
        <v>#REF!</v>
      </c>
      <c r="P9" s="42" t="e">
        <f>IF(AND(#REF!="Muy Alta",#REF!="Menor"),CONCATENATE("R4C",#REF!),"")</f>
        <v>#REF!</v>
      </c>
      <c r="Q9" s="43" t="e">
        <f>IF(AND(#REF!="Muy Alta",#REF!="Menor"),CONCATENATE("R4C",#REF!),"")</f>
        <v>#REF!</v>
      </c>
      <c r="R9" s="43" t="e">
        <f>IF(AND(#REF!="Muy Alta",#REF!="Menor"),CONCATENATE("R4C",#REF!),"")</f>
        <v>#REF!</v>
      </c>
      <c r="S9" s="43" t="e">
        <f>IF(AND(#REF!="Muy Alta",#REF!="Menor"),CONCATENATE("R4C",#REF!),"")</f>
        <v>#REF!</v>
      </c>
      <c r="T9" s="43" t="e">
        <f>IF(AND(#REF!="Muy Alta",#REF!="Menor"),CONCATENATE("R4C",#REF!),"")</f>
        <v>#REF!</v>
      </c>
      <c r="U9" s="44" t="e">
        <f>IF(AND(#REF!="Muy Alta",#REF!="Menor"),CONCATENATE("R4C",#REF!),"")</f>
        <v>#REF!</v>
      </c>
      <c r="V9" s="42" t="e">
        <f>IF(AND(#REF!="Muy Alta",#REF!="Moderado"),CONCATENATE("R4C",#REF!),"")</f>
        <v>#REF!</v>
      </c>
      <c r="W9" s="43" t="e">
        <f>IF(AND(#REF!="Muy Alta",#REF!="Moderado"),CONCATENATE("R4C",#REF!),"")</f>
        <v>#REF!</v>
      </c>
      <c r="X9" s="43" t="e">
        <f>IF(AND(#REF!="Muy Alta",#REF!="Moderado"),CONCATENATE("R4C",#REF!),"")</f>
        <v>#REF!</v>
      </c>
      <c r="Y9" s="43" t="e">
        <f>IF(AND(#REF!="Muy Alta",#REF!="Moderado"),CONCATENATE("R4C",#REF!),"")</f>
        <v>#REF!</v>
      </c>
      <c r="Z9" s="43" t="e">
        <f>IF(AND(#REF!="Muy Alta",#REF!="Moderado"),CONCATENATE("R4C",#REF!),"")</f>
        <v>#REF!</v>
      </c>
      <c r="AA9" s="44" t="e">
        <f>IF(AND(#REF!="Muy Alta",#REF!="Moderado"),CONCATENATE("R4C",#REF!),"")</f>
        <v>#REF!</v>
      </c>
      <c r="AB9" s="42" t="e">
        <f>IF(AND(#REF!="Muy Alta",#REF!="Mayor"),CONCATENATE("R4C",#REF!),"")</f>
        <v>#REF!</v>
      </c>
      <c r="AC9" s="43" t="e">
        <f>IF(AND(#REF!="Muy Alta",#REF!="Mayor"),CONCATENATE("R4C",#REF!),"")</f>
        <v>#REF!</v>
      </c>
      <c r="AD9" s="43" t="e">
        <f>IF(AND(#REF!="Muy Alta",#REF!="Mayor"),CONCATENATE("R4C",#REF!),"")</f>
        <v>#REF!</v>
      </c>
      <c r="AE9" s="43" t="e">
        <f>IF(AND(#REF!="Muy Alta",#REF!="Mayor"),CONCATENATE("R4C",#REF!),"")</f>
        <v>#REF!</v>
      </c>
      <c r="AF9" s="43" t="e">
        <f>IF(AND(#REF!="Muy Alta",#REF!="Mayor"),CONCATENATE("R4C",#REF!),"")</f>
        <v>#REF!</v>
      </c>
      <c r="AG9" s="44" t="e">
        <f>IF(AND(#REF!="Muy Alta",#REF!="Mayor"),CONCATENATE("R4C",#REF!),"")</f>
        <v>#REF!</v>
      </c>
      <c r="AH9" s="45" t="e">
        <f>IF(AND(#REF!="Muy Alta",#REF!="Catastrófico"),CONCATENATE("R4C",#REF!),"")</f>
        <v>#REF!</v>
      </c>
      <c r="AI9" s="46" t="e">
        <f>IF(AND(#REF!="Muy Alta",#REF!="Catastrófico"),CONCATENATE("R4C",#REF!),"")</f>
        <v>#REF!</v>
      </c>
      <c r="AJ9" s="46" t="e">
        <f>IF(AND(#REF!="Muy Alta",#REF!="Catastrófico"),CONCATENATE("R4C",#REF!),"")</f>
        <v>#REF!</v>
      </c>
      <c r="AK9" s="46" t="e">
        <f>IF(AND(#REF!="Muy Alta",#REF!="Catastrófico"),CONCATENATE("R4C",#REF!),"")</f>
        <v>#REF!</v>
      </c>
      <c r="AL9" s="46" t="e">
        <f>IF(AND(#REF!="Muy Alta",#REF!="Catastrófico"),CONCATENATE("R4C",#REF!),"")</f>
        <v>#REF!</v>
      </c>
      <c r="AM9" s="47" t="e">
        <f>IF(AND(#REF!="Muy Alta",#REF!="Catastrófico"),CONCATENATE("R4C",#REF!),"")</f>
        <v>#REF!</v>
      </c>
      <c r="AN9" s="73"/>
      <c r="AO9" s="770"/>
      <c r="AP9" s="771"/>
      <c r="AQ9" s="771"/>
      <c r="AR9" s="771"/>
      <c r="AS9" s="771"/>
      <c r="AT9" s="772"/>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row>
    <row r="10" spans="1:91" ht="15" customHeight="1" x14ac:dyDescent="0.25">
      <c r="A10" s="73"/>
      <c r="B10" s="709"/>
      <c r="C10" s="709"/>
      <c r="D10" s="710"/>
      <c r="E10" s="750"/>
      <c r="F10" s="751"/>
      <c r="G10" s="751"/>
      <c r="H10" s="751"/>
      <c r="I10" s="752"/>
      <c r="J10" s="42" t="e">
        <f>IF(AND(#REF!="Muy Alta",#REF!="Leve"),CONCATENATE("R5C",#REF!),"")</f>
        <v>#REF!</v>
      </c>
      <c r="K10" s="43" t="e">
        <f>IF(AND(#REF!="Muy Alta",#REF!="Leve"),CONCATENATE("R5C",#REF!),"")</f>
        <v>#REF!</v>
      </c>
      <c r="L10" s="43" t="e">
        <f>IF(AND(#REF!="Muy Alta",#REF!="Leve"),CONCATENATE("R5C",#REF!),"")</f>
        <v>#REF!</v>
      </c>
      <c r="M10" s="43" t="e">
        <f>IF(AND(#REF!="Muy Alta",#REF!="Leve"),CONCATENATE("R5C",#REF!),"")</f>
        <v>#REF!</v>
      </c>
      <c r="N10" s="43" t="e">
        <f>IF(AND(#REF!="Muy Alta",#REF!="Leve"),CONCATENATE("R5C",#REF!),"")</f>
        <v>#REF!</v>
      </c>
      <c r="O10" s="44" t="e">
        <f>IF(AND(#REF!="Muy Alta",#REF!="Leve"),CONCATENATE("R5C",#REF!),"")</f>
        <v>#REF!</v>
      </c>
      <c r="P10" s="42" t="e">
        <f>IF(AND(#REF!="Muy Alta",#REF!="Menor"),CONCATENATE("R5C",#REF!),"")</f>
        <v>#REF!</v>
      </c>
      <c r="Q10" s="43" t="e">
        <f>IF(AND(#REF!="Muy Alta",#REF!="Menor"),CONCATENATE("R5C",#REF!),"")</f>
        <v>#REF!</v>
      </c>
      <c r="R10" s="43" t="e">
        <f>IF(AND(#REF!="Muy Alta",#REF!="Menor"),CONCATENATE("R5C",#REF!),"")</f>
        <v>#REF!</v>
      </c>
      <c r="S10" s="43" t="e">
        <f>IF(AND(#REF!="Muy Alta",#REF!="Menor"),CONCATENATE("R5C",#REF!),"")</f>
        <v>#REF!</v>
      </c>
      <c r="T10" s="43" t="e">
        <f>IF(AND(#REF!="Muy Alta",#REF!="Menor"),CONCATENATE("R5C",#REF!),"")</f>
        <v>#REF!</v>
      </c>
      <c r="U10" s="44" t="e">
        <f>IF(AND(#REF!="Muy Alta",#REF!="Menor"),CONCATENATE("R5C",#REF!),"")</f>
        <v>#REF!</v>
      </c>
      <c r="V10" s="42" t="e">
        <f>IF(AND(#REF!="Muy Alta",#REF!="Moderado"),CONCATENATE("R5C",#REF!),"")</f>
        <v>#REF!</v>
      </c>
      <c r="W10" s="43" t="e">
        <f>IF(AND(#REF!="Muy Alta",#REF!="Moderado"),CONCATENATE("R5C",#REF!),"")</f>
        <v>#REF!</v>
      </c>
      <c r="X10" s="43" t="e">
        <f>IF(AND(#REF!="Muy Alta",#REF!="Moderado"),CONCATENATE("R5C",#REF!),"")</f>
        <v>#REF!</v>
      </c>
      <c r="Y10" s="43" t="e">
        <f>IF(AND(#REF!="Muy Alta",#REF!="Moderado"),CONCATENATE("R5C",#REF!),"")</f>
        <v>#REF!</v>
      </c>
      <c r="Z10" s="43" t="e">
        <f>IF(AND(#REF!="Muy Alta",#REF!="Moderado"),CONCATENATE("R5C",#REF!),"")</f>
        <v>#REF!</v>
      </c>
      <c r="AA10" s="44" t="e">
        <f>IF(AND(#REF!="Muy Alta",#REF!="Moderado"),CONCATENATE("R5C",#REF!),"")</f>
        <v>#REF!</v>
      </c>
      <c r="AB10" s="42" t="e">
        <f>IF(AND(#REF!="Muy Alta",#REF!="Mayor"),CONCATENATE("R5C",#REF!),"")</f>
        <v>#REF!</v>
      </c>
      <c r="AC10" s="43" t="e">
        <f>IF(AND(#REF!="Muy Alta",#REF!="Mayor"),CONCATENATE("R5C",#REF!),"")</f>
        <v>#REF!</v>
      </c>
      <c r="AD10" s="43" t="e">
        <f>IF(AND(#REF!="Muy Alta",#REF!="Mayor"),CONCATENATE("R5C",#REF!),"")</f>
        <v>#REF!</v>
      </c>
      <c r="AE10" s="43" t="e">
        <f>IF(AND(#REF!="Muy Alta",#REF!="Mayor"),CONCATENATE("R5C",#REF!),"")</f>
        <v>#REF!</v>
      </c>
      <c r="AF10" s="43" t="e">
        <f>IF(AND(#REF!="Muy Alta",#REF!="Mayor"),CONCATENATE("R5C",#REF!),"")</f>
        <v>#REF!</v>
      </c>
      <c r="AG10" s="44" t="e">
        <f>IF(AND(#REF!="Muy Alta",#REF!="Mayor"),CONCATENATE("R5C",#REF!),"")</f>
        <v>#REF!</v>
      </c>
      <c r="AH10" s="45" t="e">
        <f>IF(AND(#REF!="Muy Alta",#REF!="Catastrófico"),CONCATENATE("R5C",#REF!),"")</f>
        <v>#REF!</v>
      </c>
      <c r="AI10" s="46" t="e">
        <f>IF(AND(#REF!="Muy Alta",#REF!="Catastrófico"),CONCATENATE("R5C",#REF!),"")</f>
        <v>#REF!</v>
      </c>
      <c r="AJ10" s="46" t="e">
        <f>IF(AND(#REF!="Muy Alta",#REF!="Catastrófico"),CONCATENATE("R5C",#REF!),"")</f>
        <v>#REF!</v>
      </c>
      <c r="AK10" s="46" t="e">
        <f>IF(AND(#REF!="Muy Alta",#REF!="Catastrófico"),CONCATENATE("R5C",#REF!),"")</f>
        <v>#REF!</v>
      </c>
      <c r="AL10" s="46" t="e">
        <f>IF(AND(#REF!="Muy Alta",#REF!="Catastrófico"),CONCATENATE("R5C",#REF!),"")</f>
        <v>#REF!</v>
      </c>
      <c r="AM10" s="47" t="e">
        <f>IF(AND(#REF!="Muy Alta",#REF!="Catastrófico"),CONCATENATE("R5C",#REF!),"")</f>
        <v>#REF!</v>
      </c>
      <c r="AN10" s="73"/>
      <c r="AO10" s="770"/>
      <c r="AP10" s="771"/>
      <c r="AQ10" s="771"/>
      <c r="AR10" s="771"/>
      <c r="AS10" s="771"/>
      <c r="AT10" s="772"/>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row>
    <row r="11" spans="1:91" ht="15" customHeight="1" x14ac:dyDescent="0.25">
      <c r="A11" s="73"/>
      <c r="B11" s="709"/>
      <c r="C11" s="709"/>
      <c r="D11" s="710"/>
      <c r="E11" s="750"/>
      <c r="F11" s="751"/>
      <c r="G11" s="751"/>
      <c r="H11" s="751"/>
      <c r="I11" s="752"/>
      <c r="J11" s="42" t="e">
        <f>IF(AND(#REF!="Muy Alta",#REF!="Leve"),CONCATENATE("R6C",#REF!),"")</f>
        <v>#REF!</v>
      </c>
      <c r="K11" s="43" t="e">
        <f>IF(AND(#REF!="Muy Alta",#REF!="Leve"),CONCATENATE("R6C",#REF!),"")</f>
        <v>#REF!</v>
      </c>
      <c r="L11" s="43" t="e">
        <f>IF(AND(#REF!="Muy Alta",#REF!="Leve"),CONCATENATE("R6C",#REF!),"")</f>
        <v>#REF!</v>
      </c>
      <c r="M11" s="43" t="e">
        <f>IF(AND(#REF!="Muy Alta",#REF!="Leve"),CONCATENATE("R6C",#REF!),"")</f>
        <v>#REF!</v>
      </c>
      <c r="N11" s="43" t="e">
        <f>IF(AND(#REF!="Muy Alta",#REF!="Leve"),CONCATENATE("R6C",#REF!),"")</f>
        <v>#REF!</v>
      </c>
      <c r="O11" s="44" t="e">
        <f>IF(AND(#REF!="Muy Alta",#REF!="Leve"),CONCATENATE("R6C",#REF!),"")</f>
        <v>#REF!</v>
      </c>
      <c r="P11" s="42" t="e">
        <f>IF(AND(#REF!="Muy Alta",#REF!="Menor"),CONCATENATE("R6C",#REF!),"")</f>
        <v>#REF!</v>
      </c>
      <c r="Q11" s="43" t="e">
        <f>IF(AND(#REF!="Muy Alta",#REF!="Menor"),CONCATENATE("R6C",#REF!),"")</f>
        <v>#REF!</v>
      </c>
      <c r="R11" s="43" t="e">
        <f>IF(AND(#REF!="Muy Alta",#REF!="Menor"),CONCATENATE("R6C",#REF!),"")</f>
        <v>#REF!</v>
      </c>
      <c r="S11" s="43" t="e">
        <f>IF(AND(#REF!="Muy Alta",#REF!="Menor"),CONCATENATE("R6C",#REF!),"")</f>
        <v>#REF!</v>
      </c>
      <c r="T11" s="43" t="e">
        <f>IF(AND(#REF!="Muy Alta",#REF!="Menor"),CONCATENATE("R6C",#REF!),"")</f>
        <v>#REF!</v>
      </c>
      <c r="U11" s="44" t="e">
        <f>IF(AND(#REF!="Muy Alta",#REF!="Menor"),CONCATENATE("R6C",#REF!),"")</f>
        <v>#REF!</v>
      </c>
      <c r="V11" s="42" t="e">
        <f>IF(AND(#REF!="Muy Alta",#REF!="Moderado"),CONCATENATE("R6C",#REF!),"")</f>
        <v>#REF!</v>
      </c>
      <c r="W11" s="43" t="e">
        <f>IF(AND(#REF!="Muy Alta",#REF!="Moderado"),CONCATENATE("R6C",#REF!),"")</f>
        <v>#REF!</v>
      </c>
      <c r="X11" s="43" t="e">
        <f>IF(AND(#REF!="Muy Alta",#REF!="Moderado"),CONCATENATE("R6C",#REF!),"")</f>
        <v>#REF!</v>
      </c>
      <c r="Y11" s="43" t="e">
        <f>IF(AND(#REF!="Muy Alta",#REF!="Moderado"),CONCATENATE("R6C",#REF!),"")</f>
        <v>#REF!</v>
      </c>
      <c r="Z11" s="43" t="e">
        <f>IF(AND(#REF!="Muy Alta",#REF!="Moderado"),CONCATENATE("R6C",#REF!),"")</f>
        <v>#REF!</v>
      </c>
      <c r="AA11" s="44" t="e">
        <f>IF(AND(#REF!="Muy Alta",#REF!="Moderado"),CONCATENATE("R6C",#REF!),"")</f>
        <v>#REF!</v>
      </c>
      <c r="AB11" s="42" t="e">
        <f>IF(AND(#REF!="Muy Alta",#REF!="Mayor"),CONCATENATE("R6C",#REF!),"")</f>
        <v>#REF!</v>
      </c>
      <c r="AC11" s="43" t="e">
        <f>IF(AND(#REF!="Muy Alta",#REF!="Mayor"),CONCATENATE("R6C",#REF!),"")</f>
        <v>#REF!</v>
      </c>
      <c r="AD11" s="43" t="e">
        <f>IF(AND(#REF!="Muy Alta",#REF!="Mayor"),CONCATENATE("R6C",#REF!),"")</f>
        <v>#REF!</v>
      </c>
      <c r="AE11" s="43" t="e">
        <f>IF(AND(#REF!="Muy Alta",#REF!="Mayor"),CONCATENATE("R6C",#REF!),"")</f>
        <v>#REF!</v>
      </c>
      <c r="AF11" s="43" t="e">
        <f>IF(AND(#REF!="Muy Alta",#REF!="Mayor"),CONCATENATE("R6C",#REF!),"")</f>
        <v>#REF!</v>
      </c>
      <c r="AG11" s="44" t="e">
        <f>IF(AND(#REF!="Muy Alta",#REF!="Mayor"),CONCATENATE("R6C",#REF!),"")</f>
        <v>#REF!</v>
      </c>
      <c r="AH11" s="45" t="e">
        <f>IF(AND(#REF!="Muy Alta",#REF!="Catastrófico"),CONCATENATE("R6C",#REF!),"")</f>
        <v>#REF!</v>
      </c>
      <c r="AI11" s="46" t="e">
        <f>IF(AND(#REF!="Muy Alta",#REF!="Catastrófico"),CONCATENATE("R6C",#REF!),"")</f>
        <v>#REF!</v>
      </c>
      <c r="AJ11" s="46" t="e">
        <f>IF(AND(#REF!="Muy Alta",#REF!="Catastrófico"),CONCATENATE("R6C",#REF!),"")</f>
        <v>#REF!</v>
      </c>
      <c r="AK11" s="46" t="e">
        <f>IF(AND(#REF!="Muy Alta",#REF!="Catastrófico"),CONCATENATE("R6C",#REF!),"")</f>
        <v>#REF!</v>
      </c>
      <c r="AL11" s="46" t="e">
        <f>IF(AND(#REF!="Muy Alta",#REF!="Catastrófico"),CONCATENATE("R6C",#REF!),"")</f>
        <v>#REF!</v>
      </c>
      <c r="AM11" s="47" t="e">
        <f>IF(AND(#REF!="Muy Alta",#REF!="Catastrófico"),CONCATENATE("R6C",#REF!),"")</f>
        <v>#REF!</v>
      </c>
      <c r="AN11" s="73"/>
      <c r="AO11" s="770"/>
      <c r="AP11" s="771"/>
      <c r="AQ11" s="771"/>
      <c r="AR11" s="771"/>
      <c r="AS11" s="771"/>
      <c r="AT11" s="772"/>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row>
    <row r="12" spans="1:91" ht="15" customHeight="1" x14ac:dyDescent="0.25">
      <c r="A12" s="73"/>
      <c r="B12" s="709"/>
      <c r="C12" s="709"/>
      <c r="D12" s="710"/>
      <c r="E12" s="750"/>
      <c r="F12" s="751"/>
      <c r="G12" s="751"/>
      <c r="H12" s="751"/>
      <c r="I12" s="752"/>
      <c r="J12" s="42" t="e">
        <f>IF(AND(#REF!="Muy Alta",#REF!="Leve"),CONCATENATE("R7C",#REF!),"")</f>
        <v>#REF!</v>
      </c>
      <c r="K12" s="43" t="e">
        <f>IF(AND(#REF!="Muy Alta",#REF!="Leve"),CONCATENATE("R7C",#REF!),"")</f>
        <v>#REF!</v>
      </c>
      <c r="L12" s="43" t="e">
        <f>IF(AND(#REF!="Muy Alta",#REF!="Leve"),CONCATENATE("R7C",#REF!),"")</f>
        <v>#REF!</v>
      </c>
      <c r="M12" s="43" t="e">
        <f>IF(AND(#REF!="Muy Alta",#REF!="Leve"),CONCATENATE("R7C",#REF!),"")</f>
        <v>#REF!</v>
      </c>
      <c r="N12" s="43" t="e">
        <f>IF(AND(#REF!="Muy Alta",#REF!="Leve"),CONCATENATE("R7C",#REF!),"")</f>
        <v>#REF!</v>
      </c>
      <c r="O12" s="44" t="e">
        <f>IF(AND(#REF!="Muy Alta",#REF!="Leve"),CONCATENATE("R7C",#REF!),"")</f>
        <v>#REF!</v>
      </c>
      <c r="P12" s="42" t="e">
        <f>IF(AND(#REF!="Muy Alta",#REF!="Menor"),CONCATENATE("R7C",#REF!),"")</f>
        <v>#REF!</v>
      </c>
      <c r="Q12" s="43" t="e">
        <f>IF(AND(#REF!="Muy Alta",#REF!="Menor"),CONCATENATE("R7C",#REF!),"")</f>
        <v>#REF!</v>
      </c>
      <c r="R12" s="43" t="e">
        <f>IF(AND(#REF!="Muy Alta",#REF!="Menor"),CONCATENATE("R7C",#REF!),"")</f>
        <v>#REF!</v>
      </c>
      <c r="S12" s="43" t="e">
        <f>IF(AND(#REF!="Muy Alta",#REF!="Menor"),CONCATENATE("R7C",#REF!),"")</f>
        <v>#REF!</v>
      </c>
      <c r="T12" s="43" t="e">
        <f>IF(AND(#REF!="Muy Alta",#REF!="Menor"),CONCATENATE("R7C",#REF!),"")</f>
        <v>#REF!</v>
      </c>
      <c r="U12" s="44" t="e">
        <f>IF(AND(#REF!="Muy Alta",#REF!="Menor"),CONCATENATE("R7C",#REF!),"")</f>
        <v>#REF!</v>
      </c>
      <c r="V12" s="42" t="e">
        <f>IF(AND(#REF!="Muy Alta",#REF!="Moderado"),CONCATENATE("R7C",#REF!),"")</f>
        <v>#REF!</v>
      </c>
      <c r="W12" s="43" t="e">
        <f>IF(AND(#REF!="Muy Alta",#REF!="Moderado"),CONCATENATE("R7C",#REF!),"")</f>
        <v>#REF!</v>
      </c>
      <c r="X12" s="43" t="e">
        <f>IF(AND(#REF!="Muy Alta",#REF!="Moderado"),CONCATENATE("R7C",#REF!),"")</f>
        <v>#REF!</v>
      </c>
      <c r="Y12" s="43" t="e">
        <f>IF(AND(#REF!="Muy Alta",#REF!="Moderado"),CONCATENATE("R7C",#REF!),"")</f>
        <v>#REF!</v>
      </c>
      <c r="Z12" s="43" t="e">
        <f>IF(AND(#REF!="Muy Alta",#REF!="Moderado"),CONCATENATE("R7C",#REF!),"")</f>
        <v>#REF!</v>
      </c>
      <c r="AA12" s="44" t="e">
        <f>IF(AND(#REF!="Muy Alta",#REF!="Moderado"),CONCATENATE("R7C",#REF!),"")</f>
        <v>#REF!</v>
      </c>
      <c r="AB12" s="42" t="e">
        <f>IF(AND(#REF!="Muy Alta",#REF!="Mayor"),CONCATENATE("R7C",#REF!),"")</f>
        <v>#REF!</v>
      </c>
      <c r="AC12" s="43" t="e">
        <f>IF(AND(#REF!="Muy Alta",#REF!="Mayor"),CONCATENATE("R7C",#REF!),"")</f>
        <v>#REF!</v>
      </c>
      <c r="AD12" s="43" t="e">
        <f>IF(AND(#REF!="Muy Alta",#REF!="Mayor"),CONCATENATE("R7C",#REF!),"")</f>
        <v>#REF!</v>
      </c>
      <c r="AE12" s="43" t="e">
        <f>IF(AND(#REF!="Muy Alta",#REF!="Mayor"),CONCATENATE("R7C",#REF!),"")</f>
        <v>#REF!</v>
      </c>
      <c r="AF12" s="43" t="e">
        <f>IF(AND(#REF!="Muy Alta",#REF!="Mayor"),CONCATENATE("R7C",#REF!),"")</f>
        <v>#REF!</v>
      </c>
      <c r="AG12" s="44" t="e">
        <f>IF(AND(#REF!="Muy Alta",#REF!="Mayor"),CONCATENATE("R7C",#REF!),"")</f>
        <v>#REF!</v>
      </c>
      <c r="AH12" s="45" t="e">
        <f>IF(AND(#REF!="Muy Alta",#REF!="Catastrófico"),CONCATENATE("R7C",#REF!),"")</f>
        <v>#REF!</v>
      </c>
      <c r="AI12" s="46" t="e">
        <f>IF(AND(#REF!="Muy Alta",#REF!="Catastrófico"),CONCATENATE("R7C",#REF!),"")</f>
        <v>#REF!</v>
      </c>
      <c r="AJ12" s="46" t="e">
        <f>IF(AND(#REF!="Muy Alta",#REF!="Catastrófico"),CONCATENATE("R7C",#REF!),"")</f>
        <v>#REF!</v>
      </c>
      <c r="AK12" s="46" t="e">
        <f>IF(AND(#REF!="Muy Alta",#REF!="Catastrófico"),CONCATENATE("R7C",#REF!),"")</f>
        <v>#REF!</v>
      </c>
      <c r="AL12" s="46" t="e">
        <f>IF(AND(#REF!="Muy Alta",#REF!="Catastrófico"),CONCATENATE("R7C",#REF!),"")</f>
        <v>#REF!</v>
      </c>
      <c r="AM12" s="47" t="e">
        <f>IF(AND(#REF!="Muy Alta",#REF!="Catastrófico"),CONCATENATE("R7C",#REF!),"")</f>
        <v>#REF!</v>
      </c>
      <c r="AN12" s="73"/>
      <c r="AO12" s="770"/>
      <c r="AP12" s="771"/>
      <c r="AQ12" s="771"/>
      <c r="AR12" s="771"/>
      <c r="AS12" s="771"/>
      <c r="AT12" s="772"/>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row>
    <row r="13" spans="1:91" ht="15" customHeight="1" x14ac:dyDescent="0.25">
      <c r="A13" s="73"/>
      <c r="B13" s="709"/>
      <c r="C13" s="709"/>
      <c r="D13" s="710"/>
      <c r="E13" s="750"/>
      <c r="F13" s="751"/>
      <c r="G13" s="751"/>
      <c r="H13" s="751"/>
      <c r="I13" s="752"/>
      <c r="J13" s="42" t="e">
        <f>IF(AND(#REF!="Muy Alta",#REF!="Leve"),CONCATENATE("R8C",#REF!),"")</f>
        <v>#REF!</v>
      </c>
      <c r="K13" s="43" t="e">
        <f>IF(AND(#REF!="Muy Alta",#REF!="Leve"),CONCATENATE("R8C",#REF!),"")</f>
        <v>#REF!</v>
      </c>
      <c r="L13" s="43" t="e">
        <f>IF(AND(#REF!="Muy Alta",#REF!="Leve"),CONCATENATE("R8C",#REF!),"")</f>
        <v>#REF!</v>
      </c>
      <c r="M13" s="43" t="e">
        <f>IF(AND(#REF!="Muy Alta",#REF!="Leve"),CONCATENATE("R8C",#REF!),"")</f>
        <v>#REF!</v>
      </c>
      <c r="N13" s="43" t="e">
        <f>IF(AND(#REF!="Muy Alta",#REF!="Leve"),CONCATENATE("R8C",#REF!),"")</f>
        <v>#REF!</v>
      </c>
      <c r="O13" s="44" t="e">
        <f>IF(AND(#REF!="Muy Alta",#REF!="Leve"),CONCATENATE("R8C",#REF!),"")</f>
        <v>#REF!</v>
      </c>
      <c r="P13" s="42" t="e">
        <f>IF(AND(#REF!="Muy Alta",#REF!="Menor"),CONCATENATE("R8C",#REF!),"")</f>
        <v>#REF!</v>
      </c>
      <c r="Q13" s="43" t="e">
        <f>IF(AND(#REF!="Muy Alta",#REF!="Menor"),CONCATENATE("R8C",#REF!),"")</f>
        <v>#REF!</v>
      </c>
      <c r="R13" s="43" t="e">
        <f>IF(AND(#REF!="Muy Alta",#REF!="Menor"),CONCATENATE("R8C",#REF!),"")</f>
        <v>#REF!</v>
      </c>
      <c r="S13" s="43" t="e">
        <f>IF(AND(#REF!="Muy Alta",#REF!="Menor"),CONCATENATE("R8C",#REF!),"")</f>
        <v>#REF!</v>
      </c>
      <c r="T13" s="43" t="e">
        <f>IF(AND(#REF!="Muy Alta",#REF!="Menor"),CONCATENATE("R8C",#REF!),"")</f>
        <v>#REF!</v>
      </c>
      <c r="U13" s="44" t="e">
        <f>IF(AND(#REF!="Muy Alta",#REF!="Menor"),CONCATENATE("R8C",#REF!),"")</f>
        <v>#REF!</v>
      </c>
      <c r="V13" s="42" t="e">
        <f>IF(AND(#REF!="Muy Alta",#REF!="Moderado"),CONCATENATE("R8C",#REF!),"")</f>
        <v>#REF!</v>
      </c>
      <c r="W13" s="43" t="e">
        <f>IF(AND(#REF!="Muy Alta",#REF!="Moderado"),CONCATENATE("R8C",#REF!),"")</f>
        <v>#REF!</v>
      </c>
      <c r="X13" s="43" t="e">
        <f>IF(AND(#REF!="Muy Alta",#REF!="Moderado"),CONCATENATE("R8C",#REF!),"")</f>
        <v>#REF!</v>
      </c>
      <c r="Y13" s="43" t="e">
        <f>IF(AND(#REF!="Muy Alta",#REF!="Moderado"),CONCATENATE("R8C",#REF!),"")</f>
        <v>#REF!</v>
      </c>
      <c r="Z13" s="43" t="e">
        <f>IF(AND(#REF!="Muy Alta",#REF!="Moderado"),CONCATENATE("R8C",#REF!),"")</f>
        <v>#REF!</v>
      </c>
      <c r="AA13" s="44" t="e">
        <f>IF(AND(#REF!="Muy Alta",#REF!="Moderado"),CONCATENATE("R8C",#REF!),"")</f>
        <v>#REF!</v>
      </c>
      <c r="AB13" s="42" t="e">
        <f>IF(AND(#REF!="Muy Alta",#REF!="Mayor"),CONCATENATE("R8C",#REF!),"")</f>
        <v>#REF!</v>
      </c>
      <c r="AC13" s="43" t="e">
        <f>IF(AND(#REF!="Muy Alta",#REF!="Mayor"),CONCATENATE("R8C",#REF!),"")</f>
        <v>#REF!</v>
      </c>
      <c r="AD13" s="43" t="e">
        <f>IF(AND(#REF!="Muy Alta",#REF!="Mayor"),CONCATENATE("R8C",#REF!),"")</f>
        <v>#REF!</v>
      </c>
      <c r="AE13" s="43" t="e">
        <f>IF(AND(#REF!="Muy Alta",#REF!="Mayor"),CONCATENATE("R8C",#REF!),"")</f>
        <v>#REF!</v>
      </c>
      <c r="AF13" s="43" t="e">
        <f>IF(AND(#REF!="Muy Alta",#REF!="Mayor"),CONCATENATE("R8C",#REF!),"")</f>
        <v>#REF!</v>
      </c>
      <c r="AG13" s="44" t="e">
        <f>IF(AND(#REF!="Muy Alta",#REF!="Mayor"),CONCATENATE("R8C",#REF!),"")</f>
        <v>#REF!</v>
      </c>
      <c r="AH13" s="45" t="e">
        <f>IF(AND(#REF!="Muy Alta",#REF!="Catastrófico"),CONCATENATE("R8C",#REF!),"")</f>
        <v>#REF!</v>
      </c>
      <c r="AI13" s="46" t="e">
        <f>IF(AND(#REF!="Muy Alta",#REF!="Catastrófico"),CONCATENATE("R8C",#REF!),"")</f>
        <v>#REF!</v>
      </c>
      <c r="AJ13" s="46" t="e">
        <f>IF(AND(#REF!="Muy Alta",#REF!="Catastrófico"),CONCATENATE("R8C",#REF!),"")</f>
        <v>#REF!</v>
      </c>
      <c r="AK13" s="46" t="e">
        <f>IF(AND(#REF!="Muy Alta",#REF!="Catastrófico"),CONCATENATE("R8C",#REF!),"")</f>
        <v>#REF!</v>
      </c>
      <c r="AL13" s="46" t="e">
        <f>IF(AND(#REF!="Muy Alta",#REF!="Catastrófico"),CONCATENATE("R8C",#REF!),"")</f>
        <v>#REF!</v>
      </c>
      <c r="AM13" s="47" t="e">
        <f>IF(AND(#REF!="Muy Alta",#REF!="Catastrófico"),CONCATENATE("R8C",#REF!),"")</f>
        <v>#REF!</v>
      </c>
      <c r="AN13" s="73"/>
      <c r="AO13" s="770"/>
      <c r="AP13" s="771"/>
      <c r="AQ13" s="771"/>
      <c r="AR13" s="771"/>
      <c r="AS13" s="771"/>
      <c r="AT13" s="772"/>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row>
    <row r="14" spans="1:91" ht="15" customHeight="1" x14ac:dyDescent="0.25">
      <c r="A14" s="73"/>
      <c r="B14" s="709"/>
      <c r="C14" s="709"/>
      <c r="D14" s="710"/>
      <c r="E14" s="750"/>
      <c r="F14" s="751"/>
      <c r="G14" s="751"/>
      <c r="H14" s="751"/>
      <c r="I14" s="752"/>
      <c r="J14" s="42" t="e">
        <f>IF(AND(#REF!="Muy Alta",#REF!="Leve"),CONCATENATE("R9C",#REF!),"")</f>
        <v>#REF!</v>
      </c>
      <c r="K14" s="43" t="e">
        <f>IF(AND(#REF!="Muy Alta",#REF!="Leve"),CONCATENATE("R9C",#REF!),"")</f>
        <v>#REF!</v>
      </c>
      <c r="L14" s="43" t="e">
        <f>IF(AND(#REF!="Muy Alta",#REF!="Leve"),CONCATENATE("R9C",#REF!),"")</f>
        <v>#REF!</v>
      </c>
      <c r="M14" s="43" t="e">
        <f>IF(AND(#REF!="Muy Alta",#REF!="Leve"),CONCATENATE("R9C",#REF!),"")</f>
        <v>#REF!</v>
      </c>
      <c r="N14" s="43" t="e">
        <f>IF(AND(#REF!="Muy Alta",#REF!="Leve"),CONCATENATE("R9C",#REF!),"")</f>
        <v>#REF!</v>
      </c>
      <c r="O14" s="44" t="e">
        <f>IF(AND(#REF!="Muy Alta",#REF!="Leve"),CONCATENATE("R9C",#REF!),"")</f>
        <v>#REF!</v>
      </c>
      <c r="P14" s="42" t="e">
        <f>IF(AND(#REF!="Muy Alta",#REF!="Menor"),CONCATENATE("R9C",#REF!),"")</f>
        <v>#REF!</v>
      </c>
      <c r="Q14" s="43" t="e">
        <f>IF(AND(#REF!="Muy Alta",#REF!="Menor"),CONCATENATE("R9C",#REF!),"")</f>
        <v>#REF!</v>
      </c>
      <c r="R14" s="43" t="e">
        <f>IF(AND(#REF!="Muy Alta",#REF!="Menor"),CONCATENATE("R9C",#REF!),"")</f>
        <v>#REF!</v>
      </c>
      <c r="S14" s="43" t="e">
        <f>IF(AND(#REF!="Muy Alta",#REF!="Menor"),CONCATENATE("R9C",#REF!),"")</f>
        <v>#REF!</v>
      </c>
      <c r="T14" s="43" t="e">
        <f>IF(AND(#REF!="Muy Alta",#REF!="Menor"),CONCATENATE("R9C",#REF!),"")</f>
        <v>#REF!</v>
      </c>
      <c r="U14" s="44" t="e">
        <f>IF(AND(#REF!="Muy Alta",#REF!="Menor"),CONCATENATE("R9C",#REF!),"")</f>
        <v>#REF!</v>
      </c>
      <c r="V14" s="42" t="e">
        <f>IF(AND(#REF!="Muy Alta",#REF!="Moderado"),CONCATENATE("R9C",#REF!),"")</f>
        <v>#REF!</v>
      </c>
      <c r="W14" s="43" t="e">
        <f>IF(AND(#REF!="Muy Alta",#REF!="Moderado"),CONCATENATE("R9C",#REF!),"")</f>
        <v>#REF!</v>
      </c>
      <c r="X14" s="43" t="e">
        <f>IF(AND(#REF!="Muy Alta",#REF!="Moderado"),CONCATENATE("R9C",#REF!),"")</f>
        <v>#REF!</v>
      </c>
      <c r="Y14" s="43" t="e">
        <f>IF(AND(#REF!="Muy Alta",#REF!="Moderado"),CONCATENATE("R9C",#REF!),"")</f>
        <v>#REF!</v>
      </c>
      <c r="Z14" s="43" t="e">
        <f>IF(AND(#REF!="Muy Alta",#REF!="Moderado"),CONCATENATE("R9C",#REF!),"")</f>
        <v>#REF!</v>
      </c>
      <c r="AA14" s="44" t="e">
        <f>IF(AND(#REF!="Muy Alta",#REF!="Moderado"),CONCATENATE("R9C",#REF!),"")</f>
        <v>#REF!</v>
      </c>
      <c r="AB14" s="42" t="e">
        <f>IF(AND(#REF!="Muy Alta",#REF!="Mayor"),CONCATENATE("R9C",#REF!),"")</f>
        <v>#REF!</v>
      </c>
      <c r="AC14" s="43" t="e">
        <f>IF(AND(#REF!="Muy Alta",#REF!="Mayor"),CONCATENATE("R9C",#REF!),"")</f>
        <v>#REF!</v>
      </c>
      <c r="AD14" s="43" t="e">
        <f>IF(AND(#REF!="Muy Alta",#REF!="Mayor"),CONCATENATE("R9C",#REF!),"")</f>
        <v>#REF!</v>
      </c>
      <c r="AE14" s="43" t="e">
        <f>IF(AND(#REF!="Muy Alta",#REF!="Mayor"),CONCATENATE("R9C",#REF!),"")</f>
        <v>#REF!</v>
      </c>
      <c r="AF14" s="43" t="e">
        <f>IF(AND(#REF!="Muy Alta",#REF!="Mayor"),CONCATENATE("R9C",#REF!),"")</f>
        <v>#REF!</v>
      </c>
      <c r="AG14" s="44" t="e">
        <f>IF(AND(#REF!="Muy Alta",#REF!="Mayor"),CONCATENATE("R9C",#REF!),"")</f>
        <v>#REF!</v>
      </c>
      <c r="AH14" s="45" t="e">
        <f>IF(AND(#REF!="Muy Alta",#REF!="Catastrófico"),CONCATENATE("R9C",#REF!),"")</f>
        <v>#REF!</v>
      </c>
      <c r="AI14" s="46" t="e">
        <f>IF(AND(#REF!="Muy Alta",#REF!="Catastrófico"),CONCATENATE("R9C",#REF!),"")</f>
        <v>#REF!</v>
      </c>
      <c r="AJ14" s="46" t="e">
        <f>IF(AND(#REF!="Muy Alta",#REF!="Catastrófico"),CONCATENATE("R9C",#REF!),"")</f>
        <v>#REF!</v>
      </c>
      <c r="AK14" s="46" t="e">
        <f>IF(AND(#REF!="Muy Alta",#REF!="Catastrófico"),CONCATENATE("R9C",#REF!),"")</f>
        <v>#REF!</v>
      </c>
      <c r="AL14" s="46" t="e">
        <f>IF(AND(#REF!="Muy Alta",#REF!="Catastrófico"),CONCATENATE("R9C",#REF!),"")</f>
        <v>#REF!</v>
      </c>
      <c r="AM14" s="47" t="e">
        <f>IF(AND(#REF!="Muy Alta",#REF!="Catastrófico"),CONCATENATE("R9C",#REF!),"")</f>
        <v>#REF!</v>
      </c>
      <c r="AN14" s="73"/>
      <c r="AO14" s="770"/>
      <c r="AP14" s="771"/>
      <c r="AQ14" s="771"/>
      <c r="AR14" s="771"/>
      <c r="AS14" s="771"/>
      <c r="AT14" s="772"/>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row>
    <row r="15" spans="1:91" ht="15.75" customHeight="1" thickBot="1" x14ac:dyDescent="0.3">
      <c r="A15" s="73"/>
      <c r="B15" s="709"/>
      <c r="C15" s="709"/>
      <c r="D15" s="710"/>
      <c r="E15" s="753"/>
      <c r="F15" s="754"/>
      <c r="G15" s="754"/>
      <c r="H15" s="754"/>
      <c r="I15" s="755"/>
      <c r="J15" s="48" t="e">
        <f>IF(AND(#REF!="Muy Alta",#REF!="Leve"),CONCATENATE("R10C",#REF!),"")</f>
        <v>#REF!</v>
      </c>
      <c r="K15" s="49" t="e">
        <f>IF(AND(#REF!="Muy Alta",#REF!="Leve"),CONCATENATE("R10C",#REF!),"")</f>
        <v>#REF!</v>
      </c>
      <c r="L15" s="49" t="e">
        <f>IF(AND(#REF!="Muy Alta",#REF!="Leve"),CONCATENATE("R10C",#REF!),"")</f>
        <v>#REF!</v>
      </c>
      <c r="M15" s="49" t="e">
        <f>IF(AND(#REF!="Muy Alta",#REF!="Leve"),CONCATENATE("R10C",#REF!),"")</f>
        <v>#REF!</v>
      </c>
      <c r="N15" s="49" t="e">
        <f>IF(AND(#REF!="Muy Alta",#REF!="Leve"),CONCATENATE("R10C",#REF!),"")</f>
        <v>#REF!</v>
      </c>
      <c r="O15" s="50" t="e">
        <f>IF(AND(#REF!="Muy Alta",#REF!="Leve"),CONCATENATE("R10C",#REF!),"")</f>
        <v>#REF!</v>
      </c>
      <c r="P15" s="42" t="e">
        <f>IF(AND(#REF!="Muy Alta",#REF!="Menor"),CONCATENATE("R10C",#REF!),"")</f>
        <v>#REF!</v>
      </c>
      <c r="Q15" s="43" t="e">
        <f>IF(AND(#REF!="Muy Alta",#REF!="Menor"),CONCATENATE("R10C",#REF!),"")</f>
        <v>#REF!</v>
      </c>
      <c r="R15" s="43" t="e">
        <f>IF(AND(#REF!="Muy Alta",#REF!="Menor"),CONCATENATE("R10C",#REF!),"")</f>
        <v>#REF!</v>
      </c>
      <c r="S15" s="43" t="e">
        <f>IF(AND(#REF!="Muy Alta",#REF!="Menor"),CONCATENATE("R10C",#REF!),"")</f>
        <v>#REF!</v>
      </c>
      <c r="T15" s="43" t="e">
        <f>IF(AND(#REF!="Muy Alta",#REF!="Menor"),CONCATENATE("R10C",#REF!),"")</f>
        <v>#REF!</v>
      </c>
      <c r="U15" s="44" t="e">
        <f>IF(AND(#REF!="Muy Alta",#REF!="Menor"),CONCATENATE("R10C",#REF!),"")</f>
        <v>#REF!</v>
      </c>
      <c r="V15" s="48" t="e">
        <f>IF(AND(#REF!="Muy Alta",#REF!="Moderado"),CONCATENATE("R10C",#REF!),"")</f>
        <v>#REF!</v>
      </c>
      <c r="W15" s="49" t="e">
        <f>IF(AND(#REF!="Muy Alta",#REF!="Moderado"),CONCATENATE("R10C",#REF!),"")</f>
        <v>#REF!</v>
      </c>
      <c r="X15" s="49" t="e">
        <f>IF(AND(#REF!="Muy Alta",#REF!="Moderado"),CONCATENATE("R10C",#REF!),"")</f>
        <v>#REF!</v>
      </c>
      <c r="Y15" s="49" t="e">
        <f>IF(AND(#REF!="Muy Alta",#REF!="Moderado"),CONCATENATE("R10C",#REF!),"")</f>
        <v>#REF!</v>
      </c>
      <c r="Z15" s="49" t="e">
        <f>IF(AND(#REF!="Muy Alta",#REF!="Moderado"),CONCATENATE("R10C",#REF!),"")</f>
        <v>#REF!</v>
      </c>
      <c r="AA15" s="50" t="e">
        <f>IF(AND(#REF!="Muy Alta",#REF!="Moderado"),CONCATENATE("R10C",#REF!),"")</f>
        <v>#REF!</v>
      </c>
      <c r="AB15" s="42" t="e">
        <f>IF(AND(#REF!="Muy Alta",#REF!="Mayor"),CONCATENATE("R10C",#REF!),"")</f>
        <v>#REF!</v>
      </c>
      <c r="AC15" s="43" t="e">
        <f>IF(AND(#REF!="Muy Alta",#REF!="Mayor"),CONCATENATE("R10C",#REF!),"")</f>
        <v>#REF!</v>
      </c>
      <c r="AD15" s="43" t="e">
        <f>IF(AND(#REF!="Muy Alta",#REF!="Mayor"),CONCATENATE("R10C",#REF!),"")</f>
        <v>#REF!</v>
      </c>
      <c r="AE15" s="43" t="e">
        <f>IF(AND(#REF!="Muy Alta",#REF!="Mayor"),CONCATENATE("R10C",#REF!),"")</f>
        <v>#REF!</v>
      </c>
      <c r="AF15" s="43" t="e">
        <f>IF(AND(#REF!="Muy Alta",#REF!="Mayor"),CONCATENATE("R10C",#REF!),"")</f>
        <v>#REF!</v>
      </c>
      <c r="AG15" s="44" t="e">
        <f>IF(AND(#REF!="Muy Alta",#REF!="Mayor"),CONCATENATE("R10C",#REF!),"")</f>
        <v>#REF!</v>
      </c>
      <c r="AH15" s="51" t="e">
        <f>IF(AND(#REF!="Muy Alta",#REF!="Catastrófico"),CONCATENATE("R10C",#REF!),"")</f>
        <v>#REF!</v>
      </c>
      <c r="AI15" s="52" t="e">
        <f>IF(AND(#REF!="Muy Alta",#REF!="Catastrófico"),CONCATENATE("R10C",#REF!),"")</f>
        <v>#REF!</v>
      </c>
      <c r="AJ15" s="52" t="e">
        <f>IF(AND(#REF!="Muy Alta",#REF!="Catastrófico"),CONCATENATE("R10C",#REF!),"")</f>
        <v>#REF!</v>
      </c>
      <c r="AK15" s="52" t="e">
        <f>IF(AND(#REF!="Muy Alta",#REF!="Catastrófico"),CONCATENATE("R10C",#REF!),"")</f>
        <v>#REF!</v>
      </c>
      <c r="AL15" s="52" t="e">
        <f>IF(AND(#REF!="Muy Alta",#REF!="Catastrófico"),CONCATENATE("R10C",#REF!),"")</f>
        <v>#REF!</v>
      </c>
      <c r="AM15" s="53" t="e">
        <f>IF(AND(#REF!="Muy Alta",#REF!="Catastrófico"),CONCATENATE("R10C",#REF!),"")</f>
        <v>#REF!</v>
      </c>
      <c r="AN15" s="73"/>
      <c r="AO15" s="773"/>
      <c r="AP15" s="774"/>
      <c r="AQ15" s="774"/>
      <c r="AR15" s="774"/>
      <c r="AS15" s="774"/>
      <c r="AT15" s="775"/>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row>
    <row r="16" spans="1:91" ht="15" customHeight="1" x14ac:dyDescent="0.25">
      <c r="A16" s="73"/>
      <c r="B16" s="709"/>
      <c r="C16" s="709"/>
      <c r="D16" s="710"/>
      <c r="E16" s="747" t="s">
        <v>384</v>
      </c>
      <c r="F16" s="748"/>
      <c r="G16" s="748"/>
      <c r="H16" s="748"/>
      <c r="I16" s="748"/>
      <c r="J16" s="54" t="e">
        <f>IF(AND(#REF!="Alta",#REF!="Leve"),CONCATENATE("R1C",#REF!),"")</f>
        <v>#REF!</v>
      </c>
      <c r="K16" s="55" t="e">
        <f>IF(AND(#REF!="Alta",#REF!="Leve"),CONCATENATE("R1C",#REF!),"")</f>
        <v>#REF!</v>
      </c>
      <c r="L16" s="55" t="e">
        <f>IF(AND(#REF!="Alta",#REF!="Leve"),CONCATENATE("R1C",#REF!),"")</f>
        <v>#REF!</v>
      </c>
      <c r="M16" s="55" t="e">
        <f>IF(AND(#REF!="Alta",#REF!="Leve"),CONCATENATE("R1C",#REF!),"")</f>
        <v>#REF!</v>
      </c>
      <c r="N16" s="55" t="e">
        <f>IF(AND(#REF!="Alta",#REF!="Leve"),CONCATENATE("R1C",#REF!),"")</f>
        <v>#REF!</v>
      </c>
      <c r="O16" s="56" t="e">
        <f>IF(AND(#REF!="Alta",#REF!="Leve"),CONCATENATE("R1C",#REF!),"")</f>
        <v>#REF!</v>
      </c>
      <c r="P16" s="54" t="e">
        <f>IF(AND(#REF!="Alta",#REF!="Menor"),CONCATENATE("R1C",#REF!),"")</f>
        <v>#REF!</v>
      </c>
      <c r="Q16" s="55" t="e">
        <f>IF(AND(#REF!="Alta",#REF!="Menor"),CONCATENATE("R1C",#REF!),"")</f>
        <v>#REF!</v>
      </c>
      <c r="R16" s="55" t="e">
        <f>IF(AND(#REF!="Alta",#REF!="Menor"),CONCATENATE("R1C",#REF!),"")</f>
        <v>#REF!</v>
      </c>
      <c r="S16" s="55" t="e">
        <f>IF(AND(#REF!="Alta",#REF!="Menor"),CONCATENATE("R1C",#REF!),"")</f>
        <v>#REF!</v>
      </c>
      <c r="T16" s="55" t="e">
        <f>IF(AND(#REF!="Alta",#REF!="Menor"),CONCATENATE("R1C",#REF!),"")</f>
        <v>#REF!</v>
      </c>
      <c r="U16" s="56" t="e">
        <f>IF(AND(#REF!="Alta",#REF!="Menor"),CONCATENATE("R1C",#REF!),"")</f>
        <v>#REF!</v>
      </c>
      <c r="V16" s="36" t="e">
        <f>IF(AND(#REF!="Alta",#REF!="Moderado"),CONCATENATE("R1C",#REF!),"")</f>
        <v>#REF!</v>
      </c>
      <c r="W16" s="37" t="e">
        <f>IF(AND(#REF!="Alta",#REF!="Moderado"),CONCATENATE("R1C",#REF!),"")</f>
        <v>#REF!</v>
      </c>
      <c r="X16" s="37" t="e">
        <f>IF(AND(#REF!="Alta",#REF!="Moderado"),CONCATENATE("R1C",#REF!),"")</f>
        <v>#REF!</v>
      </c>
      <c r="Y16" s="37" t="e">
        <f>IF(AND(#REF!="Alta",#REF!="Moderado"),CONCATENATE("R1C",#REF!),"")</f>
        <v>#REF!</v>
      </c>
      <c r="Z16" s="37" t="e">
        <f>IF(AND(#REF!="Alta",#REF!="Moderado"),CONCATENATE("R1C",#REF!),"")</f>
        <v>#REF!</v>
      </c>
      <c r="AA16" s="38" t="e">
        <f>IF(AND(#REF!="Alta",#REF!="Moderado"),CONCATENATE("R1C",#REF!),"")</f>
        <v>#REF!</v>
      </c>
      <c r="AB16" s="36" t="e">
        <f>IF(AND(#REF!="Alta",#REF!="Mayor"),CONCATENATE("R1C",#REF!),"")</f>
        <v>#REF!</v>
      </c>
      <c r="AC16" s="37" t="e">
        <f>IF(AND(#REF!="Alta",#REF!="Mayor"),CONCATENATE("R1C",#REF!),"")</f>
        <v>#REF!</v>
      </c>
      <c r="AD16" s="37" t="e">
        <f>IF(AND(#REF!="Alta",#REF!="Mayor"),CONCATENATE("R1C",#REF!),"")</f>
        <v>#REF!</v>
      </c>
      <c r="AE16" s="37" t="e">
        <f>IF(AND(#REF!="Alta",#REF!="Mayor"),CONCATENATE("R1C",#REF!),"")</f>
        <v>#REF!</v>
      </c>
      <c r="AF16" s="37" t="e">
        <f>IF(AND(#REF!="Alta",#REF!="Mayor"),CONCATENATE("R1C",#REF!),"")</f>
        <v>#REF!</v>
      </c>
      <c r="AG16" s="38" t="e">
        <f>IF(AND(#REF!="Alta",#REF!="Mayor"),CONCATENATE("R1C",#REF!),"")</f>
        <v>#REF!</v>
      </c>
      <c r="AH16" s="39" t="e">
        <f>IF(AND(#REF!="Alta",#REF!="Catastrófico"),CONCATENATE("R1C",#REF!),"")</f>
        <v>#REF!</v>
      </c>
      <c r="AI16" s="40" t="e">
        <f>IF(AND(#REF!="Alta",#REF!="Catastrófico"),CONCATENATE("R1C",#REF!),"")</f>
        <v>#REF!</v>
      </c>
      <c r="AJ16" s="40" t="e">
        <f>IF(AND(#REF!="Alta",#REF!="Catastrófico"),CONCATENATE("R1C",#REF!),"")</f>
        <v>#REF!</v>
      </c>
      <c r="AK16" s="40" t="e">
        <f>IF(AND(#REF!="Alta",#REF!="Catastrófico"),CONCATENATE("R1C",#REF!),"")</f>
        <v>#REF!</v>
      </c>
      <c r="AL16" s="40" t="e">
        <f>IF(AND(#REF!="Alta",#REF!="Catastrófico"),CONCATENATE("R1C",#REF!),"")</f>
        <v>#REF!</v>
      </c>
      <c r="AM16" s="41" t="e">
        <f>IF(AND(#REF!="Alta",#REF!="Catastrófico"),CONCATENATE("R1C",#REF!),"")</f>
        <v>#REF!</v>
      </c>
      <c r="AN16" s="73"/>
      <c r="AO16" s="757" t="s">
        <v>385</v>
      </c>
      <c r="AP16" s="758"/>
      <c r="AQ16" s="758"/>
      <c r="AR16" s="758"/>
      <c r="AS16" s="758"/>
      <c r="AT16" s="759"/>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row>
    <row r="17" spans="1:76" ht="15" customHeight="1" x14ac:dyDescent="0.25">
      <c r="A17" s="73"/>
      <c r="B17" s="709"/>
      <c r="C17" s="709"/>
      <c r="D17" s="710"/>
      <c r="E17" s="766"/>
      <c r="F17" s="751"/>
      <c r="G17" s="751"/>
      <c r="H17" s="751"/>
      <c r="I17" s="751"/>
      <c r="J17" s="57" t="e">
        <f>IF(AND(#REF!="Alta",#REF!="Leve"),CONCATENATE("R2C",#REF!),"")</f>
        <v>#REF!</v>
      </c>
      <c r="K17" s="58" t="e">
        <f>IF(AND(#REF!="Alta",#REF!="Leve"),CONCATENATE("R2C",#REF!),"")</f>
        <v>#REF!</v>
      </c>
      <c r="L17" s="58" t="e">
        <f>IF(AND(#REF!="Alta",#REF!="Leve"),CONCATENATE("R2C",#REF!),"")</f>
        <v>#REF!</v>
      </c>
      <c r="M17" s="58" t="e">
        <f>IF(AND(#REF!="Alta",#REF!="Leve"),CONCATENATE("R2C",#REF!),"")</f>
        <v>#REF!</v>
      </c>
      <c r="N17" s="58" t="e">
        <f>IF(AND(#REF!="Alta",#REF!="Leve"),CONCATENATE("R2C",#REF!),"")</f>
        <v>#REF!</v>
      </c>
      <c r="O17" s="59" t="e">
        <f>IF(AND(#REF!="Alta",#REF!="Leve"),CONCATENATE("R2C",#REF!),"")</f>
        <v>#REF!</v>
      </c>
      <c r="P17" s="57" t="e">
        <f>IF(AND(#REF!="Alta",#REF!="Menor"),CONCATENATE("R2C",#REF!),"")</f>
        <v>#REF!</v>
      </c>
      <c r="Q17" s="58" t="e">
        <f>IF(AND(#REF!="Alta",#REF!="Menor"),CONCATENATE("R2C",#REF!),"")</f>
        <v>#REF!</v>
      </c>
      <c r="R17" s="58" t="e">
        <f>IF(AND(#REF!="Alta",#REF!="Menor"),CONCATENATE("R2C",#REF!),"")</f>
        <v>#REF!</v>
      </c>
      <c r="S17" s="58" t="e">
        <f>IF(AND(#REF!="Alta",#REF!="Menor"),CONCATENATE("R2C",#REF!),"")</f>
        <v>#REF!</v>
      </c>
      <c r="T17" s="58" t="e">
        <f>IF(AND(#REF!="Alta",#REF!="Menor"),CONCATENATE("R2C",#REF!),"")</f>
        <v>#REF!</v>
      </c>
      <c r="U17" s="59" t="e">
        <f>IF(AND(#REF!="Alta",#REF!="Menor"),CONCATENATE("R2C",#REF!),"")</f>
        <v>#REF!</v>
      </c>
      <c r="V17" s="42" t="e">
        <f>IF(AND(#REF!="Alta",#REF!="Moderado"),CONCATENATE("R2C",#REF!),"")</f>
        <v>#REF!</v>
      </c>
      <c r="W17" s="43" t="e">
        <f>IF(AND(#REF!="Alta",#REF!="Moderado"),CONCATENATE("R2C",#REF!),"")</f>
        <v>#REF!</v>
      </c>
      <c r="X17" s="43" t="e">
        <f>IF(AND(#REF!="Alta",#REF!="Moderado"),CONCATENATE("R2C",#REF!),"")</f>
        <v>#REF!</v>
      </c>
      <c r="Y17" s="43" t="e">
        <f>IF(AND(#REF!="Alta",#REF!="Moderado"),CONCATENATE("R2C",#REF!),"")</f>
        <v>#REF!</v>
      </c>
      <c r="Z17" s="43" t="e">
        <f>IF(AND(#REF!="Alta",#REF!="Moderado"),CONCATENATE("R2C",#REF!),"")</f>
        <v>#REF!</v>
      </c>
      <c r="AA17" s="44" t="e">
        <f>IF(AND(#REF!="Alta",#REF!="Moderado"),CONCATENATE("R2C",#REF!),"")</f>
        <v>#REF!</v>
      </c>
      <c r="AB17" s="42" t="e">
        <f>IF(AND(#REF!="Alta",#REF!="Mayor"),CONCATENATE("R2C",#REF!),"")</f>
        <v>#REF!</v>
      </c>
      <c r="AC17" s="43" t="e">
        <f>IF(AND(#REF!="Alta",#REF!="Mayor"),CONCATENATE("R2C",#REF!),"")</f>
        <v>#REF!</v>
      </c>
      <c r="AD17" s="43" t="e">
        <f>IF(AND(#REF!="Alta",#REF!="Mayor"),CONCATENATE("R2C",#REF!),"")</f>
        <v>#REF!</v>
      </c>
      <c r="AE17" s="43" t="e">
        <f>IF(AND(#REF!="Alta",#REF!="Mayor"),CONCATENATE("R2C",#REF!),"")</f>
        <v>#REF!</v>
      </c>
      <c r="AF17" s="43" t="e">
        <f>IF(AND(#REF!="Alta",#REF!="Mayor"),CONCATENATE("R2C",#REF!),"")</f>
        <v>#REF!</v>
      </c>
      <c r="AG17" s="44" t="e">
        <f>IF(AND(#REF!="Alta",#REF!="Mayor"),CONCATENATE("R2C",#REF!),"")</f>
        <v>#REF!</v>
      </c>
      <c r="AH17" s="45" t="e">
        <f>IF(AND(#REF!="Alta",#REF!="Catastrófico"),CONCATENATE("R2C",#REF!),"")</f>
        <v>#REF!</v>
      </c>
      <c r="AI17" s="46" t="e">
        <f>IF(AND(#REF!="Alta",#REF!="Catastrófico"),CONCATENATE("R2C",#REF!),"")</f>
        <v>#REF!</v>
      </c>
      <c r="AJ17" s="46" t="e">
        <f>IF(AND(#REF!="Alta",#REF!="Catastrófico"),CONCATENATE("R2C",#REF!),"")</f>
        <v>#REF!</v>
      </c>
      <c r="AK17" s="46" t="e">
        <f>IF(AND(#REF!="Alta",#REF!="Catastrófico"),CONCATENATE("R2C",#REF!),"")</f>
        <v>#REF!</v>
      </c>
      <c r="AL17" s="46" t="e">
        <f>IF(AND(#REF!="Alta",#REF!="Catastrófico"),CONCATENATE("R2C",#REF!),"")</f>
        <v>#REF!</v>
      </c>
      <c r="AM17" s="47" t="e">
        <f>IF(AND(#REF!="Alta",#REF!="Catastrófico"),CONCATENATE("R2C",#REF!),"")</f>
        <v>#REF!</v>
      </c>
      <c r="AN17" s="73"/>
      <c r="AO17" s="760"/>
      <c r="AP17" s="761"/>
      <c r="AQ17" s="761"/>
      <c r="AR17" s="761"/>
      <c r="AS17" s="761"/>
      <c r="AT17" s="762"/>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row>
    <row r="18" spans="1:76" ht="15" customHeight="1" x14ac:dyDescent="0.25">
      <c r="A18" s="73"/>
      <c r="B18" s="709"/>
      <c r="C18" s="709"/>
      <c r="D18" s="710"/>
      <c r="E18" s="750"/>
      <c r="F18" s="751"/>
      <c r="G18" s="751"/>
      <c r="H18" s="751"/>
      <c r="I18" s="751"/>
      <c r="J18" s="57" t="e">
        <f>IF(AND(#REF!="Alta",#REF!="Leve"),CONCATENATE("R3C",#REF!),"")</f>
        <v>#REF!</v>
      </c>
      <c r="K18" s="58" t="e">
        <f>IF(AND(#REF!="Alta",#REF!="Leve"),CONCATENATE("R3C",#REF!),"")</f>
        <v>#REF!</v>
      </c>
      <c r="L18" s="58" t="e">
        <f>IF(AND(#REF!="Alta",#REF!="Leve"),CONCATENATE("R3C",#REF!),"")</f>
        <v>#REF!</v>
      </c>
      <c r="M18" s="58" t="e">
        <f>IF(AND(#REF!="Alta",#REF!="Leve"),CONCATENATE("R3C",#REF!),"")</f>
        <v>#REF!</v>
      </c>
      <c r="N18" s="58" t="e">
        <f>IF(AND(#REF!="Alta",#REF!="Leve"),CONCATENATE("R3C",#REF!),"")</f>
        <v>#REF!</v>
      </c>
      <c r="O18" s="59" t="e">
        <f>IF(AND(#REF!="Alta",#REF!="Leve"),CONCATENATE("R3C",#REF!),"")</f>
        <v>#REF!</v>
      </c>
      <c r="P18" s="57" t="e">
        <f>IF(AND(#REF!="Alta",#REF!="Menor"),CONCATENATE("R3C",#REF!),"")</f>
        <v>#REF!</v>
      </c>
      <c r="Q18" s="58" t="e">
        <f>IF(AND(#REF!="Alta",#REF!="Menor"),CONCATENATE("R3C",#REF!),"")</f>
        <v>#REF!</v>
      </c>
      <c r="R18" s="58" t="e">
        <f>IF(AND(#REF!="Alta",#REF!="Menor"),CONCATENATE("R3C",#REF!),"")</f>
        <v>#REF!</v>
      </c>
      <c r="S18" s="58" t="e">
        <f>IF(AND(#REF!="Alta",#REF!="Menor"),CONCATENATE("R3C",#REF!),"")</f>
        <v>#REF!</v>
      </c>
      <c r="T18" s="58" t="e">
        <f>IF(AND(#REF!="Alta",#REF!="Menor"),CONCATENATE("R3C",#REF!),"")</f>
        <v>#REF!</v>
      </c>
      <c r="U18" s="59" t="e">
        <f>IF(AND(#REF!="Alta",#REF!="Menor"),CONCATENATE("R3C",#REF!),"")</f>
        <v>#REF!</v>
      </c>
      <c r="V18" s="42" t="e">
        <f>IF(AND(#REF!="Alta",#REF!="Moderado"),CONCATENATE("R3C",#REF!),"")</f>
        <v>#REF!</v>
      </c>
      <c r="W18" s="43" t="e">
        <f>IF(AND(#REF!="Alta",#REF!="Moderado"),CONCATENATE("R3C",#REF!),"")</f>
        <v>#REF!</v>
      </c>
      <c r="X18" s="43" t="e">
        <f>IF(AND(#REF!="Alta",#REF!="Moderado"),CONCATENATE("R3C",#REF!),"")</f>
        <v>#REF!</v>
      </c>
      <c r="Y18" s="43" t="e">
        <f>IF(AND(#REF!="Alta",#REF!="Moderado"),CONCATENATE("R3C",#REF!),"")</f>
        <v>#REF!</v>
      </c>
      <c r="Z18" s="43" t="e">
        <f>IF(AND(#REF!="Alta",#REF!="Moderado"),CONCATENATE("R3C",#REF!),"")</f>
        <v>#REF!</v>
      </c>
      <c r="AA18" s="44" t="e">
        <f>IF(AND(#REF!="Alta",#REF!="Moderado"),CONCATENATE("R3C",#REF!),"")</f>
        <v>#REF!</v>
      </c>
      <c r="AB18" s="42" t="e">
        <f>IF(AND(#REF!="Alta",#REF!="Mayor"),CONCATENATE("R3C",#REF!),"")</f>
        <v>#REF!</v>
      </c>
      <c r="AC18" s="43" t="e">
        <f>IF(AND(#REF!="Alta",#REF!="Mayor"),CONCATENATE("R3C",#REF!),"")</f>
        <v>#REF!</v>
      </c>
      <c r="AD18" s="43" t="e">
        <f>IF(AND(#REF!="Alta",#REF!="Mayor"),CONCATENATE("R3C",#REF!),"")</f>
        <v>#REF!</v>
      </c>
      <c r="AE18" s="43" t="e">
        <f>IF(AND(#REF!="Alta",#REF!="Mayor"),CONCATENATE("R3C",#REF!),"")</f>
        <v>#REF!</v>
      </c>
      <c r="AF18" s="43" t="e">
        <f>IF(AND(#REF!="Alta",#REF!="Mayor"),CONCATENATE("R3C",#REF!),"")</f>
        <v>#REF!</v>
      </c>
      <c r="AG18" s="44" t="e">
        <f>IF(AND(#REF!="Alta",#REF!="Mayor"),CONCATENATE("R3C",#REF!),"")</f>
        <v>#REF!</v>
      </c>
      <c r="AH18" s="45" t="e">
        <f>IF(AND(#REF!="Alta",#REF!="Catastrófico"),CONCATENATE("R3C",#REF!),"")</f>
        <v>#REF!</v>
      </c>
      <c r="AI18" s="46" t="e">
        <f>IF(AND(#REF!="Alta",#REF!="Catastrófico"),CONCATENATE("R3C",#REF!),"")</f>
        <v>#REF!</v>
      </c>
      <c r="AJ18" s="46" t="e">
        <f>IF(AND(#REF!="Alta",#REF!="Catastrófico"),CONCATENATE("R3C",#REF!),"")</f>
        <v>#REF!</v>
      </c>
      <c r="AK18" s="46" t="e">
        <f>IF(AND(#REF!="Alta",#REF!="Catastrófico"),CONCATENATE("R3C",#REF!),"")</f>
        <v>#REF!</v>
      </c>
      <c r="AL18" s="46" t="e">
        <f>IF(AND(#REF!="Alta",#REF!="Catastrófico"),CONCATENATE("R3C",#REF!),"")</f>
        <v>#REF!</v>
      </c>
      <c r="AM18" s="47" t="e">
        <f>IF(AND(#REF!="Alta",#REF!="Catastrófico"),CONCATENATE("R3C",#REF!),"")</f>
        <v>#REF!</v>
      </c>
      <c r="AN18" s="73"/>
      <c r="AO18" s="760"/>
      <c r="AP18" s="761"/>
      <c r="AQ18" s="761"/>
      <c r="AR18" s="761"/>
      <c r="AS18" s="761"/>
      <c r="AT18" s="762"/>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row>
    <row r="19" spans="1:76" ht="15" customHeight="1" x14ac:dyDescent="0.25">
      <c r="A19" s="73"/>
      <c r="B19" s="709"/>
      <c r="C19" s="709"/>
      <c r="D19" s="710"/>
      <c r="E19" s="750"/>
      <c r="F19" s="751"/>
      <c r="G19" s="751"/>
      <c r="H19" s="751"/>
      <c r="I19" s="751"/>
      <c r="J19" s="57" t="e">
        <f>IF(AND(#REF!="Alta",#REF!="Leve"),CONCATENATE("R4C",#REF!),"")</f>
        <v>#REF!</v>
      </c>
      <c r="K19" s="58" t="e">
        <f>IF(AND(#REF!="Alta",#REF!="Leve"),CONCATENATE("R4C",#REF!),"")</f>
        <v>#REF!</v>
      </c>
      <c r="L19" s="58" t="e">
        <f>IF(AND(#REF!="Alta",#REF!="Leve"),CONCATENATE("R4C",#REF!),"")</f>
        <v>#REF!</v>
      </c>
      <c r="M19" s="58" t="e">
        <f>IF(AND(#REF!="Alta",#REF!="Leve"),CONCATENATE("R4C",#REF!),"")</f>
        <v>#REF!</v>
      </c>
      <c r="N19" s="58" t="e">
        <f>IF(AND(#REF!="Alta",#REF!="Leve"),CONCATENATE("R4C",#REF!),"")</f>
        <v>#REF!</v>
      </c>
      <c r="O19" s="59" t="e">
        <f>IF(AND(#REF!="Alta",#REF!="Leve"),CONCATENATE("R4C",#REF!),"")</f>
        <v>#REF!</v>
      </c>
      <c r="P19" s="57" t="e">
        <f>IF(AND(#REF!="Alta",#REF!="Menor"),CONCATENATE("R4C",#REF!),"")</f>
        <v>#REF!</v>
      </c>
      <c r="Q19" s="58" t="e">
        <f>IF(AND(#REF!="Alta",#REF!="Menor"),CONCATENATE("R4C",#REF!),"")</f>
        <v>#REF!</v>
      </c>
      <c r="R19" s="58" t="e">
        <f>IF(AND(#REF!="Alta",#REF!="Menor"),CONCATENATE("R4C",#REF!),"")</f>
        <v>#REF!</v>
      </c>
      <c r="S19" s="58" t="e">
        <f>IF(AND(#REF!="Alta",#REF!="Menor"),CONCATENATE("R4C",#REF!),"")</f>
        <v>#REF!</v>
      </c>
      <c r="T19" s="58" t="e">
        <f>IF(AND(#REF!="Alta",#REF!="Menor"),CONCATENATE("R4C",#REF!),"")</f>
        <v>#REF!</v>
      </c>
      <c r="U19" s="59" t="e">
        <f>IF(AND(#REF!="Alta",#REF!="Menor"),CONCATENATE("R4C",#REF!),"")</f>
        <v>#REF!</v>
      </c>
      <c r="V19" s="42" t="e">
        <f>IF(AND(#REF!="Alta",#REF!="Moderado"),CONCATENATE("R4C",#REF!),"")</f>
        <v>#REF!</v>
      </c>
      <c r="W19" s="43" t="e">
        <f>IF(AND(#REF!="Alta",#REF!="Moderado"),CONCATENATE("R4C",#REF!),"")</f>
        <v>#REF!</v>
      </c>
      <c r="X19" s="43" t="e">
        <f>IF(AND(#REF!="Alta",#REF!="Moderado"),CONCATENATE("R4C",#REF!),"")</f>
        <v>#REF!</v>
      </c>
      <c r="Y19" s="43" t="e">
        <f>IF(AND(#REF!="Alta",#REF!="Moderado"),CONCATENATE("R4C",#REF!),"")</f>
        <v>#REF!</v>
      </c>
      <c r="Z19" s="43" t="e">
        <f>IF(AND(#REF!="Alta",#REF!="Moderado"),CONCATENATE("R4C",#REF!),"")</f>
        <v>#REF!</v>
      </c>
      <c r="AA19" s="44" t="e">
        <f>IF(AND(#REF!="Alta",#REF!="Moderado"),CONCATENATE("R4C",#REF!),"")</f>
        <v>#REF!</v>
      </c>
      <c r="AB19" s="42" t="e">
        <f>IF(AND(#REF!="Alta",#REF!="Mayor"),CONCATENATE("R4C",#REF!),"")</f>
        <v>#REF!</v>
      </c>
      <c r="AC19" s="43" t="e">
        <f>IF(AND(#REF!="Alta",#REF!="Mayor"),CONCATENATE("R4C",#REF!),"")</f>
        <v>#REF!</v>
      </c>
      <c r="AD19" s="43" t="e">
        <f>IF(AND(#REF!="Alta",#REF!="Mayor"),CONCATENATE("R4C",#REF!),"")</f>
        <v>#REF!</v>
      </c>
      <c r="AE19" s="43" t="e">
        <f>IF(AND(#REF!="Alta",#REF!="Mayor"),CONCATENATE("R4C",#REF!),"")</f>
        <v>#REF!</v>
      </c>
      <c r="AF19" s="43" t="e">
        <f>IF(AND(#REF!="Alta",#REF!="Mayor"),CONCATENATE("R4C",#REF!),"")</f>
        <v>#REF!</v>
      </c>
      <c r="AG19" s="44" t="e">
        <f>IF(AND(#REF!="Alta",#REF!="Mayor"),CONCATENATE("R4C",#REF!),"")</f>
        <v>#REF!</v>
      </c>
      <c r="AH19" s="45" t="e">
        <f>IF(AND(#REF!="Alta",#REF!="Catastrófico"),CONCATENATE("R4C",#REF!),"")</f>
        <v>#REF!</v>
      </c>
      <c r="AI19" s="46" t="e">
        <f>IF(AND(#REF!="Alta",#REF!="Catastrófico"),CONCATENATE("R4C",#REF!),"")</f>
        <v>#REF!</v>
      </c>
      <c r="AJ19" s="46" t="e">
        <f>IF(AND(#REF!="Alta",#REF!="Catastrófico"),CONCATENATE("R4C",#REF!),"")</f>
        <v>#REF!</v>
      </c>
      <c r="AK19" s="46" t="e">
        <f>IF(AND(#REF!="Alta",#REF!="Catastrófico"),CONCATENATE("R4C",#REF!),"")</f>
        <v>#REF!</v>
      </c>
      <c r="AL19" s="46" t="e">
        <f>IF(AND(#REF!="Alta",#REF!="Catastrófico"),CONCATENATE("R4C",#REF!),"")</f>
        <v>#REF!</v>
      </c>
      <c r="AM19" s="47" t="e">
        <f>IF(AND(#REF!="Alta",#REF!="Catastrófico"),CONCATENATE("R4C",#REF!),"")</f>
        <v>#REF!</v>
      </c>
      <c r="AN19" s="73"/>
      <c r="AO19" s="760"/>
      <c r="AP19" s="761"/>
      <c r="AQ19" s="761"/>
      <c r="AR19" s="761"/>
      <c r="AS19" s="761"/>
      <c r="AT19" s="762"/>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row>
    <row r="20" spans="1:76" ht="15" customHeight="1" x14ac:dyDescent="0.25">
      <c r="A20" s="73"/>
      <c r="B20" s="709"/>
      <c r="C20" s="709"/>
      <c r="D20" s="710"/>
      <c r="E20" s="750"/>
      <c r="F20" s="751"/>
      <c r="G20" s="751"/>
      <c r="H20" s="751"/>
      <c r="I20" s="751"/>
      <c r="J20" s="57" t="e">
        <f>IF(AND(#REF!="Alta",#REF!="Leve"),CONCATENATE("R5C",#REF!),"")</f>
        <v>#REF!</v>
      </c>
      <c r="K20" s="58" t="e">
        <f>IF(AND(#REF!="Alta",#REF!="Leve"),CONCATENATE("R5C",#REF!),"")</f>
        <v>#REF!</v>
      </c>
      <c r="L20" s="58" t="e">
        <f>IF(AND(#REF!="Alta",#REF!="Leve"),CONCATENATE("R5C",#REF!),"")</f>
        <v>#REF!</v>
      </c>
      <c r="M20" s="58" t="e">
        <f>IF(AND(#REF!="Alta",#REF!="Leve"),CONCATENATE("R5C",#REF!),"")</f>
        <v>#REF!</v>
      </c>
      <c r="N20" s="58" t="e">
        <f>IF(AND(#REF!="Alta",#REF!="Leve"),CONCATENATE("R5C",#REF!),"")</f>
        <v>#REF!</v>
      </c>
      <c r="O20" s="59" t="e">
        <f>IF(AND(#REF!="Alta",#REF!="Leve"),CONCATENATE("R5C",#REF!),"")</f>
        <v>#REF!</v>
      </c>
      <c r="P20" s="57" t="e">
        <f>IF(AND(#REF!="Alta",#REF!="Menor"),CONCATENATE("R5C",#REF!),"")</f>
        <v>#REF!</v>
      </c>
      <c r="Q20" s="58" t="e">
        <f>IF(AND(#REF!="Alta",#REF!="Menor"),CONCATENATE("R5C",#REF!),"")</f>
        <v>#REF!</v>
      </c>
      <c r="R20" s="58" t="e">
        <f>IF(AND(#REF!="Alta",#REF!="Menor"),CONCATENATE("R5C",#REF!),"")</f>
        <v>#REF!</v>
      </c>
      <c r="S20" s="58" t="e">
        <f>IF(AND(#REF!="Alta",#REF!="Menor"),CONCATENATE("R5C",#REF!),"")</f>
        <v>#REF!</v>
      </c>
      <c r="T20" s="58" t="e">
        <f>IF(AND(#REF!="Alta",#REF!="Menor"),CONCATENATE("R5C",#REF!),"")</f>
        <v>#REF!</v>
      </c>
      <c r="U20" s="59" t="e">
        <f>IF(AND(#REF!="Alta",#REF!="Menor"),CONCATENATE("R5C",#REF!),"")</f>
        <v>#REF!</v>
      </c>
      <c r="V20" s="42" t="e">
        <f>IF(AND(#REF!="Alta",#REF!="Moderado"),CONCATENATE("R5C",#REF!),"")</f>
        <v>#REF!</v>
      </c>
      <c r="W20" s="43" t="e">
        <f>IF(AND(#REF!="Alta",#REF!="Moderado"),CONCATENATE("R5C",#REF!),"")</f>
        <v>#REF!</v>
      </c>
      <c r="X20" s="43" t="e">
        <f>IF(AND(#REF!="Alta",#REF!="Moderado"),CONCATENATE("R5C",#REF!),"")</f>
        <v>#REF!</v>
      </c>
      <c r="Y20" s="43" t="e">
        <f>IF(AND(#REF!="Alta",#REF!="Moderado"),CONCATENATE("R5C",#REF!),"")</f>
        <v>#REF!</v>
      </c>
      <c r="Z20" s="43" t="e">
        <f>IF(AND(#REF!="Alta",#REF!="Moderado"),CONCATENATE("R5C",#REF!),"")</f>
        <v>#REF!</v>
      </c>
      <c r="AA20" s="44" t="e">
        <f>IF(AND(#REF!="Alta",#REF!="Moderado"),CONCATENATE("R5C",#REF!),"")</f>
        <v>#REF!</v>
      </c>
      <c r="AB20" s="42" t="e">
        <f>IF(AND(#REF!="Alta",#REF!="Mayor"),CONCATENATE("R5C",#REF!),"")</f>
        <v>#REF!</v>
      </c>
      <c r="AC20" s="43" t="e">
        <f>IF(AND(#REF!="Alta",#REF!="Mayor"),CONCATENATE("R5C",#REF!),"")</f>
        <v>#REF!</v>
      </c>
      <c r="AD20" s="43" t="e">
        <f>IF(AND(#REF!="Alta",#REF!="Mayor"),CONCATENATE("R5C",#REF!),"")</f>
        <v>#REF!</v>
      </c>
      <c r="AE20" s="43" t="e">
        <f>IF(AND(#REF!="Alta",#REF!="Mayor"),CONCATENATE("R5C",#REF!),"")</f>
        <v>#REF!</v>
      </c>
      <c r="AF20" s="43" t="e">
        <f>IF(AND(#REF!="Alta",#REF!="Mayor"),CONCATENATE("R5C",#REF!),"")</f>
        <v>#REF!</v>
      </c>
      <c r="AG20" s="44" t="e">
        <f>IF(AND(#REF!="Alta",#REF!="Mayor"),CONCATENATE("R5C",#REF!),"")</f>
        <v>#REF!</v>
      </c>
      <c r="AH20" s="45" t="e">
        <f>IF(AND(#REF!="Alta",#REF!="Catastrófico"),CONCATENATE("R5C",#REF!),"")</f>
        <v>#REF!</v>
      </c>
      <c r="AI20" s="46" t="e">
        <f>IF(AND(#REF!="Alta",#REF!="Catastrófico"),CONCATENATE("R5C",#REF!),"")</f>
        <v>#REF!</v>
      </c>
      <c r="AJ20" s="46" t="e">
        <f>IF(AND(#REF!="Alta",#REF!="Catastrófico"),CONCATENATE("R5C",#REF!),"")</f>
        <v>#REF!</v>
      </c>
      <c r="AK20" s="46" t="e">
        <f>IF(AND(#REF!="Alta",#REF!="Catastrófico"),CONCATENATE("R5C",#REF!),"")</f>
        <v>#REF!</v>
      </c>
      <c r="AL20" s="46" t="e">
        <f>IF(AND(#REF!="Alta",#REF!="Catastrófico"),CONCATENATE("R5C",#REF!),"")</f>
        <v>#REF!</v>
      </c>
      <c r="AM20" s="47" t="e">
        <f>IF(AND(#REF!="Alta",#REF!="Catastrófico"),CONCATENATE("R5C",#REF!),"")</f>
        <v>#REF!</v>
      </c>
      <c r="AN20" s="73"/>
      <c r="AO20" s="760"/>
      <c r="AP20" s="761"/>
      <c r="AQ20" s="761"/>
      <c r="AR20" s="761"/>
      <c r="AS20" s="761"/>
      <c r="AT20" s="762"/>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row>
    <row r="21" spans="1:76" ht="15" customHeight="1" x14ac:dyDescent="0.25">
      <c r="A21" s="73"/>
      <c r="B21" s="709"/>
      <c r="C21" s="709"/>
      <c r="D21" s="710"/>
      <c r="E21" s="750"/>
      <c r="F21" s="751"/>
      <c r="G21" s="751"/>
      <c r="H21" s="751"/>
      <c r="I21" s="751"/>
      <c r="J21" s="57" t="e">
        <f>IF(AND(#REF!="Alta",#REF!="Leve"),CONCATENATE("R6C",#REF!),"")</f>
        <v>#REF!</v>
      </c>
      <c r="K21" s="58" t="e">
        <f>IF(AND(#REF!="Alta",#REF!="Leve"),CONCATENATE("R6C",#REF!),"")</f>
        <v>#REF!</v>
      </c>
      <c r="L21" s="58" t="e">
        <f>IF(AND(#REF!="Alta",#REF!="Leve"),CONCATENATE("R6C",#REF!),"")</f>
        <v>#REF!</v>
      </c>
      <c r="M21" s="58" t="e">
        <f>IF(AND(#REF!="Alta",#REF!="Leve"),CONCATENATE("R6C",#REF!),"")</f>
        <v>#REF!</v>
      </c>
      <c r="N21" s="58" t="e">
        <f>IF(AND(#REF!="Alta",#REF!="Leve"),CONCATENATE("R6C",#REF!),"")</f>
        <v>#REF!</v>
      </c>
      <c r="O21" s="59" t="e">
        <f>IF(AND(#REF!="Alta",#REF!="Leve"),CONCATENATE("R6C",#REF!),"")</f>
        <v>#REF!</v>
      </c>
      <c r="P21" s="57" t="e">
        <f>IF(AND(#REF!="Alta",#REF!="Menor"),CONCATENATE("R6C",#REF!),"")</f>
        <v>#REF!</v>
      </c>
      <c r="Q21" s="58" t="e">
        <f>IF(AND(#REF!="Alta",#REF!="Menor"),CONCATENATE("R6C",#REF!),"")</f>
        <v>#REF!</v>
      </c>
      <c r="R21" s="58" t="e">
        <f>IF(AND(#REF!="Alta",#REF!="Menor"),CONCATENATE("R6C",#REF!),"")</f>
        <v>#REF!</v>
      </c>
      <c r="S21" s="58" t="e">
        <f>IF(AND(#REF!="Alta",#REF!="Menor"),CONCATENATE("R6C",#REF!),"")</f>
        <v>#REF!</v>
      </c>
      <c r="T21" s="58" t="e">
        <f>IF(AND(#REF!="Alta",#REF!="Menor"),CONCATENATE("R6C",#REF!),"")</f>
        <v>#REF!</v>
      </c>
      <c r="U21" s="59" t="e">
        <f>IF(AND(#REF!="Alta",#REF!="Menor"),CONCATENATE("R6C",#REF!),"")</f>
        <v>#REF!</v>
      </c>
      <c r="V21" s="42" t="e">
        <f>IF(AND(#REF!="Alta",#REF!="Moderado"),CONCATENATE("R6C",#REF!),"")</f>
        <v>#REF!</v>
      </c>
      <c r="W21" s="43" t="e">
        <f>IF(AND(#REF!="Alta",#REF!="Moderado"),CONCATENATE("R6C",#REF!),"")</f>
        <v>#REF!</v>
      </c>
      <c r="X21" s="43" t="e">
        <f>IF(AND(#REF!="Alta",#REF!="Moderado"),CONCATENATE("R6C",#REF!),"")</f>
        <v>#REF!</v>
      </c>
      <c r="Y21" s="43" t="e">
        <f>IF(AND(#REF!="Alta",#REF!="Moderado"),CONCATENATE("R6C",#REF!),"")</f>
        <v>#REF!</v>
      </c>
      <c r="Z21" s="43" t="e">
        <f>IF(AND(#REF!="Alta",#REF!="Moderado"),CONCATENATE("R6C",#REF!),"")</f>
        <v>#REF!</v>
      </c>
      <c r="AA21" s="44" t="e">
        <f>IF(AND(#REF!="Alta",#REF!="Moderado"),CONCATENATE("R6C",#REF!),"")</f>
        <v>#REF!</v>
      </c>
      <c r="AB21" s="42" t="e">
        <f>IF(AND(#REF!="Alta",#REF!="Mayor"),CONCATENATE("R6C",#REF!),"")</f>
        <v>#REF!</v>
      </c>
      <c r="AC21" s="43" t="e">
        <f>IF(AND(#REF!="Alta",#REF!="Mayor"),CONCATENATE("R6C",#REF!),"")</f>
        <v>#REF!</v>
      </c>
      <c r="AD21" s="43" t="e">
        <f>IF(AND(#REF!="Alta",#REF!="Mayor"),CONCATENATE("R6C",#REF!),"")</f>
        <v>#REF!</v>
      </c>
      <c r="AE21" s="43" t="e">
        <f>IF(AND(#REF!="Alta",#REF!="Mayor"),CONCATENATE("R6C",#REF!),"")</f>
        <v>#REF!</v>
      </c>
      <c r="AF21" s="43" t="e">
        <f>IF(AND(#REF!="Alta",#REF!="Mayor"),CONCATENATE("R6C",#REF!),"")</f>
        <v>#REF!</v>
      </c>
      <c r="AG21" s="44" t="e">
        <f>IF(AND(#REF!="Alta",#REF!="Mayor"),CONCATENATE("R6C",#REF!),"")</f>
        <v>#REF!</v>
      </c>
      <c r="AH21" s="45" t="e">
        <f>IF(AND(#REF!="Alta",#REF!="Catastrófico"),CONCATENATE("R6C",#REF!),"")</f>
        <v>#REF!</v>
      </c>
      <c r="AI21" s="46" t="e">
        <f>IF(AND(#REF!="Alta",#REF!="Catastrófico"),CONCATENATE("R6C",#REF!),"")</f>
        <v>#REF!</v>
      </c>
      <c r="AJ21" s="46" t="e">
        <f>IF(AND(#REF!="Alta",#REF!="Catastrófico"),CONCATENATE("R6C",#REF!),"")</f>
        <v>#REF!</v>
      </c>
      <c r="AK21" s="46" t="e">
        <f>IF(AND(#REF!="Alta",#REF!="Catastrófico"),CONCATENATE("R6C",#REF!),"")</f>
        <v>#REF!</v>
      </c>
      <c r="AL21" s="46" t="e">
        <f>IF(AND(#REF!="Alta",#REF!="Catastrófico"),CONCATENATE("R6C",#REF!),"")</f>
        <v>#REF!</v>
      </c>
      <c r="AM21" s="47" t="e">
        <f>IF(AND(#REF!="Alta",#REF!="Catastrófico"),CONCATENATE("R6C",#REF!),"")</f>
        <v>#REF!</v>
      </c>
      <c r="AN21" s="73"/>
      <c r="AO21" s="760"/>
      <c r="AP21" s="761"/>
      <c r="AQ21" s="761"/>
      <c r="AR21" s="761"/>
      <c r="AS21" s="761"/>
      <c r="AT21" s="762"/>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row>
    <row r="22" spans="1:76" ht="15" customHeight="1" x14ac:dyDescent="0.25">
      <c r="A22" s="73"/>
      <c r="B22" s="709"/>
      <c r="C22" s="709"/>
      <c r="D22" s="710"/>
      <c r="E22" s="750"/>
      <c r="F22" s="751"/>
      <c r="G22" s="751"/>
      <c r="H22" s="751"/>
      <c r="I22" s="751"/>
      <c r="J22" s="57" t="e">
        <f>IF(AND(#REF!="Alta",#REF!="Leve"),CONCATENATE("R7C",#REF!),"")</f>
        <v>#REF!</v>
      </c>
      <c r="K22" s="58" t="e">
        <f>IF(AND(#REF!="Alta",#REF!="Leve"),CONCATENATE("R7C",#REF!),"")</f>
        <v>#REF!</v>
      </c>
      <c r="L22" s="58" t="e">
        <f>IF(AND(#REF!="Alta",#REF!="Leve"),CONCATENATE("R7C",#REF!),"")</f>
        <v>#REF!</v>
      </c>
      <c r="M22" s="58" t="e">
        <f>IF(AND(#REF!="Alta",#REF!="Leve"),CONCATENATE("R7C",#REF!),"")</f>
        <v>#REF!</v>
      </c>
      <c r="N22" s="58" t="e">
        <f>IF(AND(#REF!="Alta",#REF!="Leve"),CONCATENATE("R7C",#REF!),"")</f>
        <v>#REF!</v>
      </c>
      <c r="O22" s="59" t="e">
        <f>IF(AND(#REF!="Alta",#REF!="Leve"),CONCATENATE("R7C",#REF!),"")</f>
        <v>#REF!</v>
      </c>
      <c r="P22" s="57" t="e">
        <f>IF(AND(#REF!="Alta",#REF!="Menor"),CONCATENATE("R7C",#REF!),"")</f>
        <v>#REF!</v>
      </c>
      <c r="Q22" s="58" t="e">
        <f>IF(AND(#REF!="Alta",#REF!="Menor"),CONCATENATE("R7C",#REF!),"")</f>
        <v>#REF!</v>
      </c>
      <c r="R22" s="58" t="e">
        <f>IF(AND(#REF!="Alta",#REF!="Menor"),CONCATENATE("R7C",#REF!),"")</f>
        <v>#REF!</v>
      </c>
      <c r="S22" s="58" t="e">
        <f>IF(AND(#REF!="Alta",#REF!="Menor"),CONCATENATE("R7C",#REF!),"")</f>
        <v>#REF!</v>
      </c>
      <c r="T22" s="58" t="e">
        <f>IF(AND(#REF!="Alta",#REF!="Menor"),CONCATENATE("R7C",#REF!),"")</f>
        <v>#REF!</v>
      </c>
      <c r="U22" s="59" t="e">
        <f>IF(AND(#REF!="Alta",#REF!="Menor"),CONCATENATE("R7C",#REF!),"")</f>
        <v>#REF!</v>
      </c>
      <c r="V22" s="42" t="e">
        <f>IF(AND(#REF!="Alta",#REF!="Moderado"),CONCATENATE("R7C",#REF!),"")</f>
        <v>#REF!</v>
      </c>
      <c r="W22" s="43" t="e">
        <f>IF(AND(#REF!="Alta",#REF!="Moderado"),CONCATENATE("R7C",#REF!),"")</f>
        <v>#REF!</v>
      </c>
      <c r="X22" s="43" t="e">
        <f>IF(AND(#REF!="Alta",#REF!="Moderado"),CONCATENATE("R7C",#REF!),"")</f>
        <v>#REF!</v>
      </c>
      <c r="Y22" s="43" t="e">
        <f>IF(AND(#REF!="Alta",#REF!="Moderado"),CONCATENATE("R7C",#REF!),"")</f>
        <v>#REF!</v>
      </c>
      <c r="Z22" s="43" t="e">
        <f>IF(AND(#REF!="Alta",#REF!="Moderado"),CONCATENATE("R7C",#REF!),"")</f>
        <v>#REF!</v>
      </c>
      <c r="AA22" s="44" t="e">
        <f>IF(AND(#REF!="Alta",#REF!="Moderado"),CONCATENATE("R7C",#REF!),"")</f>
        <v>#REF!</v>
      </c>
      <c r="AB22" s="42" t="e">
        <f>IF(AND(#REF!="Alta",#REF!="Mayor"),CONCATENATE("R7C",#REF!),"")</f>
        <v>#REF!</v>
      </c>
      <c r="AC22" s="43" t="e">
        <f>IF(AND(#REF!="Alta",#REF!="Mayor"),CONCATENATE("R7C",#REF!),"")</f>
        <v>#REF!</v>
      </c>
      <c r="AD22" s="43" t="e">
        <f>IF(AND(#REF!="Alta",#REF!="Mayor"),CONCATENATE("R7C",#REF!),"")</f>
        <v>#REF!</v>
      </c>
      <c r="AE22" s="43" t="e">
        <f>IF(AND(#REF!="Alta",#REF!="Mayor"),CONCATENATE("R7C",#REF!),"")</f>
        <v>#REF!</v>
      </c>
      <c r="AF22" s="43" t="e">
        <f>IF(AND(#REF!="Alta",#REF!="Mayor"),CONCATENATE("R7C",#REF!),"")</f>
        <v>#REF!</v>
      </c>
      <c r="AG22" s="44" t="e">
        <f>IF(AND(#REF!="Alta",#REF!="Mayor"),CONCATENATE("R7C",#REF!),"")</f>
        <v>#REF!</v>
      </c>
      <c r="AH22" s="45" t="e">
        <f>IF(AND(#REF!="Alta",#REF!="Catastrófico"),CONCATENATE("R7C",#REF!),"")</f>
        <v>#REF!</v>
      </c>
      <c r="AI22" s="46" t="e">
        <f>IF(AND(#REF!="Alta",#REF!="Catastrófico"),CONCATENATE("R7C",#REF!),"")</f>
        <v>#REF!</v>
      </c>
      <c r="AJ22" s="46" t="e">
        <f>IF(AND(#REF!="Alta",#REF!="Catastrófico"),CONCATENATE("R7C",#REF!),"")</f>
        <v>#REF!</v>
      </c>
      <c r="AK22" s="46" t="e">
        <f>IF(AND(#REF!="Alta",#REF!="Catastrófico"),CONCATENATE("R7C",#REF!),"")</f>
        <v>#REF!</v>
      </c>
      <c r="AL22" s="46" t="e">
        <f>IF(AND(#REF!="Alta",#REF!="Catastrófico"),CONCATENATE("R7C",#REF!),"")</f>
        <v>#REF!</v>
      </c>
      <c r="AM22" s="47" t="e">
        <f>IF(AND(#REF!="Alta",#REF!="Catastrófico"),CONCATENATE("R7C",#REF!),"")</f>
        <v>#REF!</v>
      </c>
      <c r="AN22" s="73"/>
      <c r="AO22" s="760"/>
      <c r="AP22" s="761"/>
      <c r="AQ22" s="761"/>
      <c r="AR22" s="761"/>
      <c r="AS22" s="761"/>
      <c r="AT22" s="762"/>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row>
    <row r="23" spans="1:76" ht="15" customHeight="1" x14ac:dyDescent="0.25">
      <c r="A23" s="73"/>
      <c r="B23" s="709"/>
      <c r="C23" s="709"/>
      <c r="D23" s="710"/>
      <c r="E23" s="750"/>
      <c r="F23" s="751"/>
      <c r="G23" s="751"/>
      <c r="H23" s="751"/>
      <c r="I23" s="751"/>
      <c r="J23" s="57" t="e">
        <f>IF(AND(#REF!="Alta",#REF!="Leve"),CONCATENATE("R8C",#REF!),"")</f>
        <v>#REF!</v>
      </c>
      <c r="K23" s="58" t="e">
        <f>IF(AND(#REF!="Alta",#REF!="Leve"),CONCATENATE("R8C",#REF!),"")</f>
        <v>#REF!</v>
      </c>
      <c r="L23" s="58" t="e">
        <f>IF(AND(#REF!="Alta",#REF!="Leve"),CONCATENATE("R8C",#REF!),"")</f>
        <v>#REF!</v>
      </c>
      <c r="M23" s="58" t="e">
        <f>IF(AND(#REF!="Alta",#REF!="Leve"),CONCATENATE("R8C",#REF!),"")</f>
        <v>#REF!</v>
      </c>
      <c r="N23" s="58" t="e">
        <f>IF(AND(#REF!="Alta",#REF!="Leve"),CONCATENATE("R8C",#REF!),"")</f>
        <v>#REF!</v>
      </c>
      <c r="O23" s="59" t="e">
        <f>IF(AND(#REF!="Alta",#REF!="Leve"),CONCATENATE("R8C",#REF!),"")</f>
        <v>#REF!</v>
      </c>
      <c r="P23" s="57" t="e">
        <f>IF(AND(#REF!="Alta",#REF!="Menor"),CONCATENATE("R8C",#REF!),"")</f>
        <v>#REF!</v>
      </c>
      <c r="Q23" s="58" t="e">
        <f>IF(AND(#REF!="Alta",#REF!="Menor"),CONCATENATE("R8C",#REF!),"")</f>
        <v>#REF!</v>
      </c>
      <c r="R23" s="58" t="e">
        <f>IF(AND(#REF!="Alta",#REF!="Menor"),CONCATENATE("R8C",#REF!),"")</f>
        <v>#REF!</v>
      </c>
      <c r="S23" s="58" t="e">
        <f>IF(AND(#REF!="Alta",#REF!="Menor"),CONCATENATE("R8C",#REF!),"")</f>
        <v>#REF!</v>
      </c>
      <c r="T23" s="58" t="e">
        <f>IF(AND(#REF!="Alta",#REF!="Menor"),CONCATENATE("R8C",#REF!),"")</f>
        <v>#REF!</v>
      </c>
      <c r="U23" s="59" t="e">
        <f>IF(AND(#REF!="Alta",#REF!="Menor"),CONCATENATE("R8C",#REF!),"")</f>
        <v>#REF!</v>
      </c>
      <c r="V23" s="42" t="e">
        <f>IF(AND(#REF!="Alta",#REF!="Moderado"),CONCATENATE("R8C",#REF!),"")</f>
        <v>#REF!</v>
      </c>
      <c r="W23" s="43" t="e">
        <f>IF(AND(#REF!="Alta",#REF!="Moderado"),CONCATENATE("R8C",#REF!),"")</f>
        <v>#REF!</v>
      </c>
      <c r="X23" s="43" t="e">
        <f>IF(AND(#REF!="Alta",#REF!="Moderado"),CONCATENATE("R8C",#REF!),"")</f>
        <v>#REF!</v>
      </c>
      <c r="Y23" s="43" t="e">
        <f>IF(AND(#REF!="Alta",#REF!="Moderado"),CONCATENATE("R8C",#REF!),"")</f>
        <v>#REF!</v>
      </c>
      <c r="Z23" s="43" t="e">
        <f>IF(AND(#REF!="Alta",#REF!="Moderado"),CONCATENATE("R8C",#REF!),"")</f>
        <v>#REF!</v>
      </c>
      <c r="AA23" s="44" t="e">
        <f>IF(AND(#REF!="Alta",#REF!="Moderado"),CONCATENATE("R8C",#REF!),"")</f>
        <v>#REF!</v>
      </c>
      <c r="AB23" s="42" t="e">
        <f>IF(AND(#REF!="Alta",#REF!="Mayor"),CONCATENATE("R8C",#REF!),"")</f>
        <v>#REF!</v>
      </c>
      <c r="AC23" s="43" t="e">
        <f>IF(AND(#REF!="Alta",#REF!="Mayor"),CONCATENATE("R8C",#REF!),"")</f>
        <v>#REF!</v>
      </c>
      <c r="AD23" s="43" t="e">
        <f>IF(AND(#REF!="Alta",#REF!="Mayor"),CONCATENATE("R8C",#REF!),"")</f>
        <v>#REF!</v>
      </c>
      <c r="AE23" s="43" t="e">
        <f>IF(AND(#REF!="Alta",#REF!="Mayor"),CONCATENATE("R8C",#REF!),"")</f>
        <v>#REF!</v>
      </c>
      <c r="AF23" s="43" t="e">
        <f>IF(AND(#REF!="Alta",#REF!="Mayor"),CONCATENATE("R8C",#REF!),"")</f>
        <v>#REF!</v>
      </c>
      <c r="AG23" s="44" t="e">
        <f>IF(AND(#REF!="Alta",#REF!="Mayor"),CONCATENATE("R8C",#REF!),"")</f>
        <v>#REF!</v>
      </c>
      <c r="AH23" s="45" t="e">
        <f>IF(AND(#REF!="Alta",#REF!="Catastrófico"),CONCATENATE("R8C",#REF!),"")</f>
        <v>#REF!</v>
      </c>
      <c r="AI23" s="46" t="e">
        <f>IF(AND(#REF!="Alta",#REF!="Catastrófico"),CONCATENATE("R8C",#REF!),"")</f>
        <v>#REF!</v>
      </c>
      <c r="AJ23" s="46" t="e">
        <f>IF(AND(#REF!="Alta",#REF!="Catastrófico"),CONCATENATE("R8C",#REF!),"")</f>
        <v>#REF!</v>
      </c>
      <c r="AK23" s="46" t="e">
        <f>IF(AND(#REF!="Alta",#REF!="Catastrófico"),CONCATENATE("R8C",#REF!),"")</f>
        <v>#REF!</v>
      </c>
      <c r="AL23" s="46" t="e">
        <f>IF(AND(#REF!="Alta",#REF!="Catastrófico"),CONCATENATE("R8C",#REF!),"")</f>
        <v>#REF!</v>
      </c>
      <c r="AM23" s="47" t="e">
        <f>IF(AND(#REF!="Alta",#REF!="Catastrófico"),CONCATENATE("R8C",#REF!),"")</f>
        <v>#REF!</v>
      </c>
      <c r="AN23" s="73"/>
      <c r="AO23" s="760"/>
      <c r="AP23" s="761"/>
      <c r="AQ23" s="761"/>
      <c r="AR23" s="761"/>
      <c r="AS23" s="761"/>
      <c r="AT23" s="762"/>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row>
    <row r="24" spans="1:76" ht="15" customHeight="1" x14ac:dyDescent="0.25">
      <c r="A24" s="73"/>
      <c r="B24" s="709"/>
      <c r="C24" s="709"/>
      <c r="D24" s="710"/>
      <c r="E24" s="750"/>
      <c r="F24" s="751"/>
      <c r="G24" s="751"/>
      <c r="H24" s="751"/>
      <c r="I24" s="751"/>
      <c r="J24" s="57" t="e">
        <f>IF(AND(#REF!="Alta",#REF!="Leve"),CONCATENATE("R9C",#REF!),"")</f>
        <v>#REF!</v>
      </c>
      <c r="K24" s="58" t="e">
        <f>IF(AND(#REF!="Alta",#REF!="Leve"),CONCATENATE("R9C",#REF!),"")</f>
        <v>#REF!</v>
      </c>
      <c r="L24" s="58" t="e">
        <f>IF(AND(#REF!="Alta",#REF!="Leve"),CONCATENATE("R9C",#REF!),"")</f>
        <v>#REF!</v>
      </c>
      <c r="M24" s="58" t="e">
        <f>IF(AND(#REF!="Alta",#REF!="Leve"),CONCATENATE("R9C",#REF!),"")</f>
        <v>#REF!</v>
      </c>
      <c r="N24" s="58" t="e">
        <f>IF(AND(#REF!="Alta",#REF!="Leve"),CONCATENATE("R9C",#REF!),"")</f>
        <v>#REF!</v>
      </c>
      <c r="O24" s="59" t="e">
        <f>IF(AND(#REF!="Alta",#REF!="Leve"),CONCATENATE("R9C",#REF!),"")</f>
        <v>#REF!</v>
      </c>
      <c r="P24" s="57" t="e">
        <f>IF(AND(#REF!="Alta",#REF!="Menor"),CONCATENATE("R9C",#REF!),"")</f>
        <v>#REF!</v>
      </c>
      <c r="Q24" s="58" t="e">
        <f>IF(AND(#REF!="Alta",#REF!="Menor"),CONCATENATE("R9C",#REF!),"")</f>
        <v>#REF!</v>
      </c>
      <c r="R24" s="58" t="e">
        <f>IF(AND(#REF!="Alta",#REF!="Menor"),CONCATENATE("R9C",#REF!),"")</f>
        <v>#REF!</v>
      </c>
      <c r="S24" s="58" t="e">
        <f>IF(AND(#REF!="Alta",#REF!="Menor"),CONCATENATE("R9C",#REF!),"")</f>
        <v>#REF!</v>
      </c>
      <c r="T24" s="58" t="e">
        <f>IF(AND(#REF!="Alta",#REF!="Menor"),CONCATENATE("R9C",#REF!),"")</f>
        <v>#REF!</v>
      </c>
      <c r="U24" s="59" t="e">
        <f>IF(AND(#REF!="Alta",#REF!="Menor"),CONCATENATE("R9C",#REF!),"")</f>
        <v>#REF!</v>
      </c>
      <c r="V24" s="42" t="e">
        <f>IF(AND(#REF!="Alta",#REF!="Moderado"),CONCATENATE("R9C",#REF!),"")</f>
        <v>#REF!</v>
      </c>
      <c r="W24" s="43" t="e">
        <f>IF(AND(#REF!="Alta",#REF!="Moderado"),CONCATENATE("R9C",#REF!),"")</f>
        <v>#REF!</v>
      </c>
      <c r="X24" s="43" t="e">
        <f>IF(AND(#REF!="Alta",#REF!="Moderado"),CONCATENATE("R9C",#REF!),"")</f>
        <v>#REF!</v>
      </c>
      <c r="Y24" s="43" t="e">
        <f>IF(AND(#REF!="Alta",#REF!="Moderado"),CONCATENATE("R9C",#REF!),"")</f>
        <v>#REF!</v>
      </c>
      <c r="Z24" s="43" t="e">
        <f>IF(AND(#REF!="Alta",#REF!="Moderado"),CONCATENATE("R9C",#REF!),"")</f>
        <v>#REF!</v>
      </c>
      <c r="AA24" s="44" t="e">
        <f>IF(AND(#REF!="Alta",#REF!="Moderado"),CONCATENATE("R9C",#REF!),"")</f>
        <v>#REF!</v>
      </c>
      <c r="AB24" s="42" t="e">
        <f>IF(AND(#REF!="Alta",#REF!="Mayor"),CONCATENATE("R9C",#REF!),"")</f>
        <v>#REF!</v>
      </c>
      <c r="AC24" s="43" t="e">
        <f>IF(AND(#REF!="Alta",#REF!="Mayor"),CONCATENATE("R9C",#REF!),"")</f>
        <v>#REF!</v>
      </c>
      <c r="AD24" s="43" t="e">
        <f>IF(AND(#REF!="Alta",#REF!="Mayor"),CONCATENATE("R9C",#REF!),"")</f>
        <v>#REF!</v>
      </c>
      <c r="AE24" s="43" t="e">
        <f>IF(AND(#REF!="Alta",#REF!="Mayor"),CONCATENATE("R9C",#REF!),"")</f>
        <v>#REF!</v>
      </c>
      <c r="AF24" s="43" t="e">
        <f>IF(AND(#REF!="Alta",#REF!="Mayor"),CONCATENATE("R9C",#REF!),"")</f>
        <v>#REF!</v>
      </c>
      <c r="AG24" s="44" t="e">
        <f>IF(AND(#REF!="Alta",#REF!="Mayor"),CONCATENATE("R9C",#REF!),"")</f>
        <v>#REF!</v>
      </c>
      <c r="AH24" s="45" t="e">
        <f>IF(AND(#REF!="Alta",#REF!="Catastrófico"),CONCATENATE("R9C",#REF!),"")</f>
        <v>#REF!</v>
      </c>
      <c r="AI24" s="46" t="e">
        <f>IF(AND(#REF!="Alta",#REF!="Catastrófico"),CONCATENATE("R9C",#REF!),"")</f>
        <v>#REF!</v>
      </c>
      <c r="AJ24" s="46" t="e">
        <f>IF(AND(#REF!="Alta",#REF!="Catastrófico"),CONCATENATE("R9C",#REF!),"")</f>
        <v>#REF!</v>
      </c>
      <c r="AK24" s="46" t="e">
        <f>IF(AND(#REF!="Alta",#REF!="Catastrófico"),CONCATENATE("R9C",#REF!),"")</f>
        <v>#REF!</v>
      </c>
      <c r="AL24" s="46" t="e">
        <f>IF(AND(#REF!="Alta",#REF!="Catastrófico"),CONCATENATE("R9C",#REF!),"")</f>
        <v>#REF!</v>
      </c>
      <c r="AM24" s="47" t="e">
        <f>IF(AND(#REF!="Alta",#REF!="Catastrófico"),CONCATENATE("R9C",#REF!),"")</f>
        <v>#REF!</v>
      </c>
      <c r="AN24" s="73"/>
      <c r="AO24" s="760"/>
      <c r="AP24" s="761"/>
      <c r="AQ24" s="761"/>
      <c r="AR24" s="761"/>
      <c r="AS24" s="761"/>
      <c r="AT24" s="762"/>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row>
    <row r="25" spans="1:76" ht="15.75" customHeight="1" thickBot="1" x14ac:dyDescent="0.3">
      <c r="A25" s="73"/>
      <c r="B25" s="709"/>
      <c r="C25" s="709"/>
      <c r="D25" s="710"/>
      <c r="E25" s="753"/>
      <c r="F25" s="754"/>
      <c r="G25" s="754"/>
      <c r="H25" s="754"/>
      <c r="I25" s="754"/>
      <c r="J25" s="60" t="e">
        <f>IF(AND(#REF!="Alta",#REF!="Leve"),CONCATENATE("R10C",#REF!),"")</f>
        <v>#REF!</v>
      </c>
      <c r="K25" s="61" t="e">
        <f>IF(AND(#REF!="Alta",#REF!="Leve"),CONCATENATE("R10C",#REF!),"")</f>
        <v>#REF!</v>
      </c>
      <c r="L25" s="61" t="e">
        <f>IF(AND(#REF!="Alta",#REF!="Leve"),CONCATENATE("R10C",#REF!),"")</f>
        <v>#REF!</v>
      </c>
      <c r="M25" s="61" t="e">
        <f>IF(AND(#REF!="Alta",#REF!="Leve"),CONCATENATE("R10C",#REF!),"")</f>
        <v>#REF!</v>
      </c>
      <c r="N25" s="61" t="e">
        <f>IF(AND(#REF!="Alta",#REF!="Leve"),CONCATENATE("R10C",#REF!),"")</f>
        <v>#REF!</v>
      </c>
      <c r="O25" s="62" t="e">
        <f>IF(AND(#REF!="Alta",#REF!="Leve"),CONCATENATE("R10C",#REF!),"")</f>
        <v>#REF!</v>
      </c>
      <c r="P25" s="60" t="e">
        <f>IF(AND(#REF!="Alta",#REF!="Menor"),CONCATENATE("R10C",#REF!),"")</f>
        <v>#REF!</v>
      </c>
      <c r="Q25" s="61" t="e">
        <f>IF(AND(#REF!="Alta",#REF!="Menor"),CONCATENATE("R10C",#REF!),"")</f>
        <v>#REF!</v>
      </c>
      <c r="R25" s="61" t="e">
        <f>IF(AND(#REF!="Alta",#REF!="Menor"),CONCATENATE("R10C",#REF!),"")</f>
        <v>#REF!</v>
      </c>
      <c r="S25" s="61" t="e">
        <f>IF(AND(#REF!="Alta",#REF!="Menor"),CONCATENATE("R10C",#REF!),"")</f>
        <v>#REF!</v>
      </c>
      <c r="T25" s="61" t="e">
        <f>IF(AND(#REF!="Alta",#REF!="Menor"),CONCATENATE("R10C",#REF!),"")</f>
        <v>#REF!</v>
      </c>
      <c r="U25" s="62" t="e">
        <f>IF(AND(#REF!="Alta",#REF!="Menor"),CONCATENATE("R10C",#REF!),"")</f>
        <v>#REF!</v>
      </c>
      <c r="V25" s="48" t="e">
        <f>IF(AND(#REF!="Alta",#REF!="Moderado"),CONCATENATE("R10C",#REF!),"")</f>
        <v>#REF!</v>
      </c>
      <c r="W25" s="49" t="e">
        <f>IF(AND(#REF!="Alta",#REF!="Moderado"),CONCATENATE("R10C",#REF!),"")</f>
        <v>#REF!</v>
      </c>
      <c r="X25" s="49" t="e">
        <f>IF(AND(#REF!="Alta",#REF!="Moderado"),CONCATENATE("R10C",#REF!),"")</f>
        <v>#REF!</v>
      </c>
      <c r="Y25" s="49" t="e">
        <f>IF(AND(#REF!="Alta",#REF!="Moderado"),CONCATENATE("R10C",#REF!),"")</f>
        <v>#REF!</v>
      </c>
      <c r="Z25" s="49" t="e">
        <f>IF(AND(#REF!="Alta",#REF!="Moderado"),CONCATENATE("R10C",#REF!),"")</f>
        <v>#REF!</v>
      </c>
      <c r="AA25" s="50" t="e">
        <f>IF(AND(#REF!="Alta",#REF!="Moderado"),CONCATENATE("R10C",#REF!),"")</f>
        <v>#REF!</v>
      </c>
      <c r="AB25" s="48" t="e">
        <f>IF(AND(#REF!="Alta",#REF!="Mayor"),CONCATENATE("R10C",#REF!),"")</f>
        <v>#REF!</v>
      </c>
      <c r="AC25" s="49" t="e">
        <f>IF(AND(#REF!="Alta",#REF!="Mayor"),CONCATENATE("R10C",#REF!),"")</f>
        <v>#REF!</v>
      </c>
      <c r="AD25" s="49" t="e">
        <f>IF(AND(#REF!="Alta",#REF!="Mayor"),CONCATENATE("R10C",#REF!),"")</f>
        <v>#REF!</v>
      </c>
      <c r="AE25" s="49" t="e">
        <f>IF(AND(#REF!="Alta",#REF!="Mayor"),CONCATENATE("R10C",#REF!),"")</f>
        <v>#REF!</v>
      </c>
      <c r="AF25" s="49" t="e">
        <f>IF(AND(#REF!="Alta",#REF!="Mayor"),CONCATENATE("R10C",#REF!),"")</f>
        <v>#REF!</v>
      </c>
      <c r="AG25" s="50" t="e">
        <f>IF(AND(#REF!="Alta",#REF!="Mayor"),CONCATENATE("R10C",#REF!),"")</f>
        <v>#REF!</v>
      </c>
      <c r="AH25" s="51" t="e">
        <f>IF(AND(#REF!="Alta",#REF!="Catastrófico"),CONCATENATE("R10C",#REF!),"")</f>
        <v>#REF!</v>
      </c>
      <c r="AI25" s="52" t="e">
        <f>IF(AND(#REF!="Alta",#REF!="Catastrófico"),CONCATENATE("R10C",#REF!),"")</f>
        <v>#REF!</v>
      </c>
      <c r="AJ25" s="52" t="e">
        <f>IF(AND(#REF!="Alta",#REF!="Catastrófico"),CONCATENATE("R10C",#REF!),"")</f>
        <v>#REF!</v>
      </c>
      <c r="AK25" s="52" t="e">
        <f>IF(AND(#REF!="Alta",#REF!="Catastrófico"),CONCATENATE("R10C",#REF!),"")</f>
        <v>#REF!</v>
      </c>
      <c r="AL25" s="52" t="e">
        <f>IF(AND(#REF!="Alta",#REF!="Catastrófico"),CONCATENATE("R10C",#REF!),"")</f>
        <v>#REF!</v>
      </c>
      <c r="AM25" s="53" t="e">
        <f>IF(AND(#REF!="Alta",#REF!="Catastrófico"),CONCATENATE("R10C",#REF!),"")</f>
        <v>#REF!</v>
      </c>
      <c r="AN25" s="73"/>
      <c r="AO25" s="763"/>
      <c r="AP25" s="764"/>
      <c r="AQ25" s="764"/>
      <c r="AR25" s="764"/>
      <c r="AS25" s="764"/>
      <c r="AT25" s="765"/>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row>
    <row r="26" spans="1:76" ht="15" customHeight="1" x14ac:dyDescent="0.25">
      <c r="A26" s="73"/>
      <c r="B26" s="709"/>
      <c r="C26" s="709"/>
      <c r="D26" s="710"/>
      <c r="E26" s="747" t="s">
        <v>386</v>
      </c>
      <c r="F26" s="748"/>
      <c r="G26" s="748"/>
      <c r="H26" s="748"/>
      <c r="I26" s="749"/>
      <c r="J26" s="54" t="e">
        <f>IF(AND(#REF!="Media",#REF!="Leve"),CONCATENATE("R1C",#REF!),"")</f>
        <v>#REF!</v>
      </c>
      <c r="K26" s="55" t="e">
        <f>IF(AND(#REF!="Media",#REF!="Leve"),CONCATENATE("R1C",#REF!),"")</f>
        <v>#REF!</v>
      </c>
      <c r="L26" s="55" t="e">
        <f>IF(AND(#REF!="Media",#REF!="Leve"),CONCATENATE("R1C",#REF!),"")</f>
        <v>#REF!</v>
      </c>
      <c r="M26" s="55" t="e">
        <f>IF(AND(#REF!="Media",#REF!="Leve"),CONCATENATE("R1C",#REF!),"")</f>
        <v>#REF!</v>
      </c>
      <c r="N26" s="55" t="e">
        <f>IF(AND(#REF!="Media",#REF!="Leve"),CONCATENATE("R1C",#REF!),"")</f>
        <v>#REF!</v>
      </c>
      <c r="O26" s="56" t="e">
        <f>IF(AND(#REF!="Media",#REF!="Leve"),CONCATENATE("R1C",#REF!),"")</f>
        <v>#REF!</v>
      </c>
      <c r="P26" s="54" t="e">
        <f>IF(AND(#REF!="Media",#REF!="Menor"),CONCATENATE("R1C",#REF!),"")</f>
        <v>#REF!</v>
      </c>
      <c r="Q26" s="55" t="e">
        <f>IF(AND(#REF!="Media",#REF!="Menor"),CONCATENATE("R1C",#REF!),"")</f>
        <v>#REF!</v>
      </c>
      <c r="R26" s="55" t="e">
        <f>IF(AND(#REF!="Media",#REF!="Menor"),CONCATENATE("R1C",#REF!),"")</f>
        <v>#REF!</v>
      </c>
      <c r="S26" s="55" t="e">
        <f>IF(AND(#REF!="Media",#REF!="Menor"),CONCATENATE("R1C",#REF!),"")</f>
        <v>#REF!</v>
      </c>
      <c r="T26" s="55" t="e">
        <f>IF(AND(#REF!="Media",#REF!="Menor"),CONCATENATE("R1C",#REF!),"")</f>
        <v>#REF!</v>
      </c>
      <c r="U26" s="56" t="e">
        <f>IF(AND(#REF!="Media",#REF!="Menor"),CONCATENATE("R1C",#REF!),"")</f>
        <v>#REF!</v>
      </c>
      <c r="V26" s="54" t="e">
        <f>IF(AND(#REF!="Media",#REF!="Moderado"),CONCATENATE("R1C",#REF!),"")</f>
        <v>#REF!</v>
      </c>
      <c r="W26" s="55" t="e">
        <f>IF(AND(#REF!="Media",#REF!="Moderado"),CONCATENATE("R1C",#REF!),"")</f>
        <v>#REF!</v>
      </c>
      <c r="X26" s="55" t="e">
        <f>IF(AND(#REF!="Media",#REF!="Moderado"),CONCATENATE("R1C",#REF!),"")</f>
        <v>#REF!</v>
      </c>
      <c r="Y26" s="55" t="e">
        <f>IF(AND(#REF!="Media",#REF!="Moderado"),CONCATENATE("R1C",#REF!),"")</f>
        <v>#REF!</v>
      </c>
      <c r="Z26" s="55" t="e">
        <f>IF(AND(#REF!="Media",#REF!="Moderado"),CONCATENATE("R1C",#REF!),"")</f>
        <v>#REF!</v>
      </c>
      <c r="AA26" s="56" t="e">
        <f>IF(AND(#REF!="Media",#REF!="Moderado"),CONCATENATE("R1C",#REF!),"")</f>
        <v>#REF!</v>
      </c>
      <c r="AB26" s="36" t="e">
        <f>IF(AND(#REF!="Media",#REF!="Mayor"),CONCATENATE("R1C",#REF!),"")</f>
        <v>#REF!</v>
      </c>
      <c r="AC26" s="37" t="e">
        <f>IF(AND(#REF!="Media",#REF!="Mayor"),CONCATENATE("R1C",#REF!),"")</f>
        <v>#REF!</v>
      </c>
      <c r="AD26" s="37" t="e">
        <f>IF(AND(#REF!="Media",#REF!="Mayor"),CONCATENATE("R1C",#REF!),"")</f>
        <v>#REF!</v>
      </c>
      <c r="AE26" s="37" t="e">
        <f>IF(AND(#REF!="Media",#REF!="Mayor"),CONCATENATE("R1C",#REF!),"")</f>
        <v>#REF!</v>
      </c>
      <c r="AF26" s="37" t="e">
        <f>IF(AND(#REF!="Media",#REF!="Mayor"),CONCATENATE("R1C",#REF!),"")</f>
        <v>#REF!</v>
      </c>
      <c r="AG26" s="38" t="e">
        <f>IF(AND(#REF!="Media",#REF!="Mayor"),CONCATENATE("R1C",#REF!),"")</f>
        <v>#REF!</v>
      </c>
      <c r="AH26" s="39" t="e">
        <f>IF(AND(#REF!="Media",#REF!="Catastrófico"),CONCATENATE("R1C",#REF!),"")</f>
        <v>#REF!</v>
      </c>
      <c r="AI26" s="40" t="e">
        <f>IF(AND(#REF!="Media",#REF!="Catastrófico"),CONCATENATE("R1C",#REF!),"")</f>
        <v>#REF!</v>
      </c>
      <c r="AJ26" s="40" t="e">
        <f>IF(AND(#REF!="Media",#REF!="Catastrófico"),CONCATENATE("R1C",#REF!),"")</f>
        <v>#REF!</v>
      </c>
      <c r="AK26" s="40" t="e">
        <f>IF(AND(#REF!="Media",#REF!="Catastrófico"),CONCATENATE("R1C",#REF!),"")</f>
        <v>#REF!</v>
      </c>
      <c r="AL26" s="40" t="e">
        <f>IF(AND(#REF!="Media",#REF!="Catastrófico"),CONCATENATE("R1C",#REF!),"")</f>
        <v>#REF!</v>
      </c>
      <c r="AM26" s="41" t="e">
        <f>IF(AND(#REF!="Media",#REF!="Catastrófico"),CONCATENATE("R1C",#REF!),"")</f>
        <v>#REF!</v>
      </c>
      <c r="AN26" s="73"/>
      <c r="AO26" s="787" t="s">
        <v>26</v>
      </c>
      <c r="AP26" s="788"/>
      <c r="AQ26" s="788"/>
      <c r="AR26" s="788"/>
      <c r="AS26" s="788"/>
      <c r="AT26" s="789"/>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row>
    <row r="27" spans="1:76" ht="15" customHeight="1" x14ac:dyDescent="0.25">
      <c r="A27" s="73"/>
      <c r="B27" s="709"/>
      <c r="C27" s="709"/>
      <c r="D27" s="710"/>
      <c r="E27" s="766"/>
      <c r="F27" s="751"/>
      <c r="G27" s="751"/>
      <c r="H27" s="751"/>
      <c r="I27" s="752"/>
      <c r="J27" s="57" t="e">
        <f>IF(AND(#REF!="Media",#REF!="Leve"),CONCATENATE("R2C",#REF!),"")</f>
        <v>#REF!</v>
      </c>
      <c r="K27" s="58" t="e">
        <f>IF(AND(#REF!="Media",#REF!="Leve"),CONCATENATE("R2C",#REF!),"")</f>
        <v>#REF!</v>
      </c>
      <c r="L27" s="58" t="e">
        <f>IF(AND(#REF!="Media",#REF!="Leve"),CONCATENATE("R2C",#REF!),"")</f>
        <v>#REF!</v>
      </c>
      <c r="M27" s="58" t="e">
        <f>IF(AND(#REF!="Media",#REF!="Leve"),CONCATENATE("R2C",#REF!),"")</f>
        <v>#REF!</v>
      </c>
      <c r="N27" s="58" t="e">
        <f>IF(AND(#REF!="Media",#REF!="Leve"),CONCATENATE("R2C",#REF!),"")</f>
        <v>#REF!</v>
      </c>
      <c r="O27" s="59" t="e">
        <f>IF(AND(#REF!="Media",#REF!="Leve"),CONCATENATE("R2C",#REF!),"")</f>
        <v>#REF!</v>
      </c>
      <c r="P27" s="57" t="e">
        <f>IF(AND(#REF!="Media",#REF!="Menor"),CONCATENATE("R2C",#REF!),"")</f>
        <v>#REF!</v>
      </c>
      <c r="Q27" s="58" t="e">
        <f>IF(AND(#REF!="Media",#REF!="Menor"),CONCATENATE("R2C",#REF!),"")</f>
        <v>#REF!</v>
      </c>
      <c r="R27" s="58" t="e">
        <f>IF(AND(#REF!="Media",#REF!="Menor"),CONCATENATE("R2C",#REF!),"")</f>
        <v>#REF!</v>
      </c>
      <c r="S27" s="58" t="e">
        <f>IF(AND(#REF!="Media",#REF!="Menor"),CONCATENATE("R2C",#REF!),"")</f>
        <v>#REF!</v>
      </c>
      <c r="T27" s="58" t="e">
        <f>IF(AND(#REF!="Media",#REF!="Menor"),CONCATENATE("R2C",#REF!),"")</f>
        <v>#REF!</v>
      </c>
      <c r="U27" s="59" t="e">
        <f>IF(AND(#REF!="Media",#REF!="Menor"),CONCATENATE("R2C",#REF!),"")</f>
        <v>#REF!</v>
      </c>
      <c r="V27" s="57" t="e">
        <f>IF(AND(#REF!="Media",#REF!="Moderado"),CONCATENATE("R2C",#REF!),"")</f>
        <v>#REF!</v>
      </c>
      <c r="W27" s="58" t="e">
        <f>IF(AND(#REF!="Media",#REF!="Moderado"),CONCATENATE("R2C",#REF!),"")</f>
        <v>#REF!</v>
      </c>
      <c r="X27" s="58" t="e">
        <f>IF(AND(#REF!="Media",#REF!="Moderado"),CONCATENATE("R2C",#REF!),"")</f>
        <v>#REF!</v>
      </c>
      <c r="Y27" s="58" t="e">
        <f>IF(AND(#REF!="Media",#REF!="Moderado"),CONCATENATE("R2C",#REF!),"")</f>
        <v>#REF!</v>
      </c>
      <c r="Z27" s="58" t="e">
        <f>IF(AND(#REF!="Media",#REF!="Moderado"),CONCATENATE("R2C",#REF!),"")</f>
        <v>#REF!</v>
      </c>
      <c r="AA27" s="59" t="e">
        <f>IF(AND(#REF!="Media",#REF!="Moderado"),CONCATENATE("R2C",#REF!),"")</f>
        <v>#REF!</v>
      </c>
      <c r="AB27" s="42" t="e">
        <f>IF(AND(#REF!="Media",#REF!="Mayor"),CONCATENATE("R2C",#REF!),"")</f>
        <v>#REF!</v>
      </c>
      <c r="AC27" s="43" t="e">
        <f>IF(AND(#REF!="Media",#REF!="Mayor"),CONCATENATE("R2C",#REF!),"")</f>
        <v>#REF!</v>
      </c>
      <c r="AD27" s="43" t="e">
        <f>IF(AND(#REF!="Media",#REF!="Mayor"),CONCATENATE("R2C",#REF!),"")</f>
        <v>#REF!</v>
      </c>
      <c r="AE27" s="43" t="e">
        <f>IF(AND(#REF!="Media",#REF!="Mayor"),CONCATENATE("R2C",#REF!),"")</f>
        <v>#REF!</v>
      </c>
      <c r="AF27" s="43" t="e">
        <f>IF(AND(#REF!="Media",#REF!="Mayor"),CONCATENATE("R2C",#REF!),"")</f>
        <v>#REF!</v>
      </c>
      <c r="AG27" s="44" t="e">
        <f>IF(AND(#REF!="Media",#REF!="Mayor"),CONCATENATE("R2C",#REF!),"")</f>
        <v>#REF!</v>
      </c>
      <c r="AH27" s="45" t="e">
        <f>IF(AND(#REF!="Media",#REF!="Catastrófico"),CONCATENATE("R2C",#REF!),"")</f>
        <v>#REF!</v>
      </c>
      <c r="AI27" s="46" t="e">
        <f>IF(AND(#REF!="Media",#REF!="Catastrófico"),CONCATENATE("R2C",#REF!),"")</f>
        <v>#REF!</v>
      </c>
      <c r="AJ27" s="46" t="e">
        <f>IF(AND(#REF!="Media",#REF!="Catastrófico"),CONCATENATE("R2C",#REF!),"")</f>
        <v>#REF!</v>
      </c>
      <c r="AK27" s="46" t="e">
        <f>IF(AND(#REF!="Media",#REF!="Catastrófico"),CONCATENATE("R2C",#REF!),"")</f>
        <v>#REF!</v>
      </c>
      <c r="AL27" s="46" t="e">
        <f>IF(AND(#REF!="Media",#REF!="Catastrófico"),CONCATENATE("R2C",#REF!),"")</f>
        <v>#REF!</v>
      </c>
      <c r="AM27" s="47" t="e">
        <f>IF(AND(#REF!="Media",#REF!="Catastrófico"),CONCATENATE("R2C",#REF!),"")</f>
        <v>#REF!</v>
      </c>
      <c r="AN27" s="73"/>
      <c r="AO27" s="790"/>
      <c r="AP27" s="791"/>
      <c r="AQ27" s="791"/>
      <c r="AR27" s="791"/>
      <c r="AS27" s="791"/>
      <c r="AT27" s="792"/>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row>
    <row r="28" spans="1:76" ht="15" customHeight="1" x14ac:dyDescent="0.25">
      <c r="A28" s="73"/>
      <c r="B28" s="709"/>
      <c r="C28" s="709"/>
      <c r="D28" s="710"/>
      <c r="E28" s="750"/>
      <c r="F28" s="751"/>
      <c r="G28" s="751"/>
      <c r="H28" s="751"/>
      <c r="I28" s="752"/>
      <c r="J28" s="57" t="e">
        <f>IF(AND(#REF!="Media",#REF!="Leve"),CONCATENATE("R3C",#REF!),"")</f>
        <v>#REF!</v>
      </c>
      <c r="K28" s="58" t="e">
        <f>IF(AND(#REF!="Media",#REF!="Leve"),CONCATENATE("R3C",#REF!),"")</f>
        <v>#REF!</v>
      </c>
      <c r="L28" s="58" t="e">
        <f>IF(AND(#REF!="Media",#REF!="Leve"),CONCATENATE("R3C",#REF!),"")</f>
        <v>#REF!</v>
      </c>
      <c r="M28" s="58" t="e">
        <f>IF(AND(#REF!="Media",#REF!="Leve"),CONCATENATE("R3C",#REF!),"")</f>
        <v>#REF!</v>
      </c>
      <c r="N28" s="58" t="e">
        <f>IF(AND(#REF!="Media",#REF!="Leve"),CONCATENATE("R3C",#REF!),"")</f>
        <v>#REF!</v>
      </c>
      <c r="O28" s="59" t="e">
        <f>IF(AND(#REF!="Media",#REF!="Leve"),CONCATENATE("R3C",#REF!),"")</f>
        <v>#REF!</v>
      </c>
      <c r="P28" s="57" t="e">
        <f>IF(AND(#REF!="Media",#REF!="Menor"),CONCATENATE("R3C",#REF!),"")</f>
        <v>#REF!</v>
      </c>
      <c r="Q28" s="58" t="e">
        <f>IF(AND(#REF!="Media",#REF!="Menor"),CONCATENATE("R3C",#REF!),"")</f>
        <v>#REF!</v>
      </c>
      <c r="R28" s="58" t="e">
        <f>IF(AND(#REF!="Media",#REF!="Menor"),CONCATENATE("R3C",#REF!),"")</f>
        <v>#REF!</v>
      </c>
      <c r="S28" s="58" t="e">
        <f>IF(AND(#REF!="Media",#REF!="Menor"),CONCATENATE("R3C",#REF!),"")</f>
        <v>#REF!</v>
      </c>
      <c r="T28" s="58" t="e">
        <f>IF(AND(#REF!="Media",#REF!="Menor"),CONCATENATE("R3C",#REF!),"")</f>
        <v>#REF!</v>
      </c>
      <c r="U28" s="59" t="e">
        <f>IF(AND(#REF!="Media",#REF!="Menor"),CONCATENATE("R3C",#REF!),"")</f>
        <v>#REF!</v>
      </c>
      <c r="V28" s="57" t="e">
        <f>IF(AND(#REF!="Media",#REF!="Moderado"),CONCATENATE("R3C",#REF!),"")</f>
        <v>#REF!</v>
      </c>
      <c r="W28" s="58" t="e">
        <f>IF(AND(#REF!="Media",#REF!="Moderado"),CONCATENATE("R3C",#REF!),"")</f>
        <v>#REF!</v>
      </c>
      <c r="X28" s="58" t="e">
        <f>IF(AND(#REF!="Media",#REF!="Moderado"),CONCATENATE("R3C",#REF!),"")</f>
        <v>#REF!</v>
      </c>
      <c r="Y28" s="58" t="e">
        <f>IF(AND(#REF!="Media",#REF!="Moderado"),CONCATENATE("R3C",#REF!),"")</f>
        <v>#REF!</v>
      </c>
      <c r="Z28" s="58" t="e">
        <f>IF(AND(#REF!="Media",#REF!="Moderado"),CONCATENATE("R3C",#REF!),"")</f>
        <v>#REF!</v>
      </c>
      <c r="AA28" s="59" t="e">
        <f>IF(AND(#REF!="Media",#REF!="Moderado"),CONCATENATE("R3C",#REF!),"")</f>
        <v>#REF!</v>
      </c>
      <c r="AB28" s="42" t="e">
        <f>IF(AND(#REF!="Media",#REF!="Mayor"),CONCATENATE("R3C",#REF!),"")</f>
        <v>#REF!</v>
      </c>
      <c r="AC28" s="43" t="e">
        <f>IF(AND(#REF!="Media",#REF!="Mayor"),CONCATENATE("R3C",#REF!),"")</f>
        <v>#REF!</v>
      </c>
      <c r="AD28" s="43" t="e">
        <f>IF(AND(#REF!="Media",#REF!="Mayor"),CONCATENATE("R3C",#REF!),"")</f>
        <v>#REF!</v>
      </c>
      <c r="AE28" s="43" t="e">
        <f>IF(AND(#REF!="Media",#REF!="Mayor"),CONCATENATE("R3C",#REF!),"")</f>
        <v>#REF!</v>
      </c>
      <c r="AF28" s="43" t="e">
        <f>IF(AND(#REF!="Media",#REF!="Mayor"),CONCATENATE("R3C",#REF!),"")</f>
        <v>#REF!</v>
      </c>
      <c r="AG28" s="44" t="e">
        <f>IF(AND(#REF!="Media",#REF!="Mayor"),CONCATENATE("R3C",#REF!),"")</f>
        <v>#REF!</v>
      </c>
      <c r="AH28" s="45" t="e">
        <f>IF(AND(#REF!="Media",#REF!="Catastrófico"),CONCATENATE("R3C",#REF!),"")</f>
        <v>#REF!</v>
      </c>
      <c r="AI28" s="46" t="e">
        <f>IF(AND(#REF!="Media",#REF!="Catastrófico"),CONCATENATE("R3C",#REF!),"")</f>
        <v>#REF!</v>
      </c>
      <c r="AJ28" s="46" t="e">
        <f>IF(AND(#REF!="Media",#REF!="Catastrófico"),CONCATENATE("R3C",#REF!),"")</f>
        <v>#REF!</v>
      </c>
      <c r="AK28" s="46" t="e">
        <f>IF(AND(#REF!="Media",#REF!="Catastrófico"),CONCATENATE("R3C",#REF!),"")</f>
        <v>#REF!</v>
      </c>
      <c r="AL28" s="46" t="e">
        <f>IF(AND(#REF!="Media",#REF!="Catastrófico"),CONCATENATE("R3C",#REF!),"")</f>
        <v>#REF!</v>
      </c>
      <c r="AM28" s="47" t="e">
        <f>IF(AND(#REF!="Media",#REF!="Catastrófico"),CONCATENATE("R3C",#REF!),"")</f>
        <v>#REF!</v>
      </c>
      <c r="AN28" s="73"/>
      <c r="AO28" s="790"/>
      <c r="AP28" s="791"/>
      <c r="AQ28" s="791"/>
      <c r="AR28" s="791"/>
      <c r="AS28" s="791"/>
      <c r="AT28" s="792"/>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row>
    <row r="29" spans="1:76" ht="15" customHeight="1" x14ac:dyDescent="0.25">
      <c r="A29" s="73"/>
      <c r="B29" s="709"/>
      <c r="C29" s="709"/>
      <c r="D29" s="710"/>
      <c r="E29" s="750"/>
      <c r="F29" s="751"/>
      <c r="G29" s="751"/>
      <c r="H29" s="751"/>
      <c r="I29" s="752"/>
      <c r="J29" s="57" t="e">
        <f>IF(AND(#REF!="Media",#REF!="Leve"),CONCATENATE("R4C",#REF!),"")</f>
        <v>#REF!</v>
      </c>
      <c r="K29" s="58" t="e">
        <f>IF(AND(#REF!="Media",#REF!="Leve"),CONCATENATE("R4C",#REF!),"")</f>
        <v>#REF!</v>
      </c>
      <c r="L29" s="58" t="e">
        <f>IF(AND(#REF!="Media",#REF!="Leve"),CONCATENATE("R4C",#REF!),"")</f>
        <v>#REF!</v>
      </c>
      <c r="M29" s="58" t="e">
        <f>IF(AND(#REF!="Media",#REF!="Leve"),CONCATENATE("R4C",#REF!),"")</f>
        <v>#REF!</v>
      </c>
      <c r="N29" s="58" t="e">
        <f>IF(AND(#REF!="Media",#REF!="Leve"),CONCATENATE("R4C",#REF!),"")</f>
        <v>#REF!</v>
      </c>
      <c r="O29" s="59" t="e">
        <f>IF(AND(#REF!="Media",#REF!="Leve"),CONCATENATE("R4C",#REF!),"")</f>
        <v>#REF!</v>
      </c>
      <c r="P29" s="57" t="e">
        <f>IF(AND(#REF!="Media",#REF!="Menor"),CONCATENATE("R4C",#REF!),"")</f>
        <v>#REF!</v>
      </c>
      <c r="Q29" s="58" t="e">
        <f>IF(AND(#REF!="Media",#REF!="Menor"),CONCATENATE("R4C",#REF!),"")</f>
        <v>#REF!</v>
      </c>
      <c r="R29" s="58" t="e">
        <f>IF(AND(#REF!="Media",#REF!="Menor"),CONCATENATE("R4C",#REF!),"")</f>
        <v>#REF!</v>
      </c>
      <c r="S29" s="58" t="e">
        <f>IF(AND(#REF!="Media",#REF!="Menor"),CONCATENATE("R4C",#REF!),"")</f>
        <v>#REF!</v>
      </c>
      <c r="T29" s="58" t="e">
        <f>IF(AND(#REF!="Media",#REF!="Menor"),CONCATENATE("R4C",#REF!),"")</f>
        <v>#REF!</v>
      </c>
      <c r="U29" s="59" t="e">
        <f>IF(AND(#REF!="Media",#REF!="Menor"),CONCATENATE("R4C",#REF!),"")</f>
        <v>#REF!</v>
      </c>
      <c r="V29" s="57" t="e">
        <f>IF(AND(#REF!="Media",#REF!="Moderado"),CONCATENATE("R4C",#REF!),"")</f>
        <v>#REF!</v>
      </c>
      <c r="W29" s="58" t="e">
        <f>IF(AND(#REF!="Media",#REF!="Moderado"),CONCATENATE("R4C",#REF!),"")</f>
        <v>#REF!</v>
      </c>
      <c r="X29" s="58" t="e">
        <f>IF(AND(#REF!="Media",#REF!="Moderado"),CONCATENATE("R4C",#REF!),"")</f>
        <v>#REF!</v>
      </c>
      <c r="Y29" s="58" t="e">
        <f>IF(AND(#REF!="Media",#REF!="Moderado"),CONCATENATE("R4C",#REF!),"")</f>
        <v>#REF!</v>
      </c>
      <c r="Z29" s="58" t="e">
        <f>IF(AND(#REF!="Media",#REF!="Moderado"),CONCATENATE("R4C",#REF!),"")</f>
        <v>#REF!</v>
      </c>
      <c r="AA29" s="59" t="e">
        <f>IF(AND(#REF!="Media",#REF!="Moderado"),CONCATENATE("R4C",#REF!),"")</f>
        <v>#REF!</v>
      </c>
      <c r="AB29" s="42" t="e">
        <f>IF(AND(#REF!="Media",#REF!="Mayor"),CONCATENATE("R4C",#REF!),"")</f>
        <v>#REF!</v>
      </c>
      <c r="AC29" s="43" t="e">
        <f>IF(AND(#REF!="Media",#REF!="Mayor"),CONCATENATE("R4C",#REF!),"")</f>
        <v>#REF!</v>
      </c>
      <c r="AD29" s="43" t="e">
        <f>IF(AND(#REF!="Media",#REF!="Mayor"),CONCATENATE("R4C",#REF!),"")</f>
        <v>#REF!</v>
      </c>
      <c r="AE29" s="43" t="e">
        <f>IF(AND(#REF!="Media",#REF!="Mayor"),CONCATENATE("R4C",#REF!),"")</f>
        <v>#REF!</v>
      </c>
      <c r="AF29" s="43" t="e">
        <f>IF(AND(#REF!="Media",#REF!="Mayor"),CONCATENATE("R4C",#REF!),"")</f>
        <v>#REF!</v>
      </c>
      <c r="AG29" s="44" t="e">
        <f>IF(AND(#REF!="Media",#REF!="Mayor"),CONCATENATE("R4C",#REF!),"")</f>
        <v>#REF!</v>
      </c>
      <c r="AH29" s="45" t="e">
        <f>IF(AND(#REF!="Media",#REF!="Catastrófico"),CONCATENATE("R4C",#REF!),"")</f>
        <v>#REF!</v>
      </c>
      <c r="AI29" s="46" t="e">
        <f>IF(AND(#REF!="Media",#REF!="Catastrófico"),CONCATENATE("R4C",#REF!),"")</f>
        <v>#REF!</v>
      </c>
      <c r="AJ29" s="46" t="e">
        <f>IF(AND(#REF!="Media",#REF!="Catastrófico"),CONCATENATE("R4C",#REF!),"")</f>
        <v>#REF!</v>
      </c>
      <c r="AK29" s="46" t="e">
        <f>IF(AND(#REF!="Media",#REF!="Catastrófico"),CONCATENATE("R4C",#REF!),"")</f>
        <v>#REF!</v>
      </c>
      <c r="AL29" s="46" t="e">
        <f>IF(AND(#REF!="Media",#REF!="Catastrófico"),CONCATENATE("R4C",#REF!),"")</f>
        <v>#REF!</v>
      </c>
      <c r="AM29" s="47" t="e">
        <f>IF(AND(#REF!="Media",#REF!="Catastrófico"),CONCATENATE("R4C",#REF!),"")</f>
        <v>#REF!</v>
      </c>
      <c r="AN29" s="73"/>
      <c r="AO29" s="790"/>
      <c r="AP29" s="791"/>
      <c r="AQ29" s="791"/>
      <c r="AR29" s="791"/>
      <c r="AS29" s="791"/>
      <c r="AT29" s="792"/>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row>
    <row r="30" spans="1:76" ht="15" customHeight="1" x14ac:dyDescent="0.25">
      <c r="A30" s="73"/>
      <c r="B30" s="709"/>
      <c r="C30" s="709"/>
      <c r="D30" s="710"/>
      <c r="E30" s="750"/>
      <c r="F30" s="751"/>
      <c r="G30" s="751"/>
      <c r="H30" s="751"/>
      <c r="I30" s="752"/>
      <c r="J30" s="57" t="e">
        <f>IF(AND(#REF!="Media",#REF!="Leve"),CONCATENATE("R5C",#REF!),"")</f>
        <v>#REF!</v>
      </c>
      <c r="K30" s="58" t="e">
        <f>IF(AND(#REF!="Media",#REF!="Leve"),CONCATENATE("R5C",#REF!),"")</f>
        <v>#REF!</v>
      </c>
      <c r="L30" s="58" t="e">
        <f>IF(AND(#REF!="Media",#REF!="Leve"),CONCATENATE("R5C",#REF!),"")</f>
        <v>#REF!</v>
      </c>
      <c r="M30" s="58" t="e">
        <f>IF(AND(#REF!="Media",#REF!="Leve"),CONCATENATE("R5C",#REF!),"")</f>
        <v>#REF!</v>
      </c>
      <c r="N30" s="58" t="e">
        <f>IF(AND(#REF!="Media",#REF!="Leve"),CONCATENATE("R5C",#REF!),"")</f>
        <v>#REF!</v>
      </c>
      <c r="O30" s="59" t="e">
        <f>IF(AND(#REF!="Media",#REF!="Leve"),CONCATENATE("R5C",#REF!),"")</f>
        <v>#REF!</v>
      </c>
      <c r="P30" s="57" t="e">
        <f>IF(AND(#REF!="Media",#REF!="Menor"),CONCATENATE("R5C",#REF!),"")</f>
        <v>#REF!</v>
      </c>
      <c r="Q30" s="58" t="e">
        <f>IF(AND(#REF!="Media",#REF!="Menor"),CONCATENATE("R5C",#REF!),"")</f>
        <v>#REF!</v>
      </c>
      <c r="R30" s="58" t="e">
        <f>IF(AND(#REF!="Media",#REF!="Menor"),CONCATENATE("R5C",#REF!),"")</f>
        <v>#REF!</v>
      </c>
      <c r="S30" s="58" t="e">
        <f>IF(AND(#REF!="Media",#REF!="Menor"),CONCATENATE("R5C",#REF!),"")</f>
        <v>#REF!</v>
      </c>
      <c r="T30" s="58" t="e">
        <f>IF(AND(#REF!="Media",#REF!="Menor"),CONCATENATE("R5C",#REF!),"")</f>
        <v>#REF!</v>
      </c>
      <c r="U30" s="59" t="e">
        <f>IF(AND(#REF!="Media",#REF!="Menor"),CONCATENATE("R5C",#REF!),"")</f>
        <v>#REF!</v>
      </c>
      <c r="V30" s="57" t="e">
        <f>IF(AND(#REF!="Media",#REF!="Moderado"),CONCATENATE("R5C",#REF!),"")</f>
        <v>#REF!</v>
      </c>
      <c r="W30" s="58" t="e">
        <f>IF(AND(#REF!="Media",#REF!="Moderado"),CONCATENATE("R5C",#REF!),"")</f>
        <v>#REF!</v>
      </c>
      <c r="X30" s="58" t="e">
        <f>IF(AND(#REF!="Media",#REF!="Moderado"),CONCATENATE("R5C",#REF!),"")</f>
        <v>#REF!</v>
      </c>
      <c r="Y30" s="58" t="e">
        <f>IF(AND(#REF!="Media",#REF!="Moderado"),CONCATENATE("R5C",#REF!),"")</f>
        <v>#REF!</v>
      </c>
      <c r="Z30" s="58" t="e">
        <f>IF(AND(#REF!="Media",#REF!="Moderado"),CONCATENATE("R5C",#REF!),"")</f>
        <v>#REF!</v>
      </c>
      <c r="AA30" s="59" t="e">
        <f>IF(AND(#REF!="Media",#REF!="Moderado"),CONCATENATE("R5C",#REF!),"")</f>
        <v>#REF!</v>
      </c>
      <c r="AB30" s="42" t="e">
        <f>IF(AND(#REF!="Media",#REF!="Mayor"),CONCATENATE("R5C",#REF!),"")</f>
        <v>#REF!</v>
      </c>
      <c r="AC30" s="43" t="e">
        <f>IF(AND(#REF!="Media",#REF!="Mayor"),CONCATENATE("R5C",#REF!),"")</f>
        <v>#REF!</v>
      </c>
      <c r="AD30" s="43" t="e">
        <f>IF(AND(#REF!="Media",#REF!="Mayor"),CONCATENATE("R5C",#REF!),"")</f>
        <v>#REF!</v>
      </c>
      <c r="AE30" s="43" t="e">
        <f>IF(AND(#REF!="Media",#REF!="Mayor"),CONCATENATE("R5C",#REF!),"")</f>
        <v>#REF!</v>
      </c>
      <c r="AF30" s="43" t="e">
        <f>IF(AND(#REF!="Media",#REF!="Mayor"),CONCATENATE("R5C",#REF!),"")</f>
        <v>#REF!</v>
      </c>
      <c r="AG30" s="44" t="e">
        <f>IF(AND(#REF!="Media",#REF!="Mayor"),CONCATENATE("R5C",#REF!),"")</f>
        <v>#REF!</v>
      </c>
      <c r="AH30" s="45" t="e">
        <f>IF(AND(#REF!="Media",#REF!="Catastrófico"),CONCATENATE("R5C",#REF!),"")</f>
        <v>#REF!</v>
      </c>
      <c r="AI30" s="46" t="e">
        <f>IF(AND(#REF!="Media",#REF!="Catastrófico"),CONCATENATE("R5C",#REF!),"")</f>
        <v>#REF!</v>
      </c>
      <c r="AJ30" s="46" t="e">
        <f>IF(AND(#REF!="Media",#REF!="Catastrófico"),CONCATENATE("R5C",#REF!),"")</f>
        <v>#REF!</v>
      </c>
      <c r="AK30" s="46" t="e">
        <f>IF(AND(#REF!="Media",#REF!="Catastrófico"),CONCATENATE("R5C",#REF!),"")</f>
        <v>#REF!</v>
      </c>
      <c r="AL30" s="46" t="e">
        <f>IF(AND(#REF!="Media",#REF!="Catastrófico"),CONCATENATE("R5C",#REF!),"")</f>
        <v>#REF!</v>
      </c>
      <c r="AM30" s="47" t="e">
        <f>IF(AND(#REF!="Media",#REF!="Catastrófico"),CONCATENATE("R5C",#REF!),"")</f>
        <v>#REF!</v>
      </c>
      <c r="AN30" s="73"/>
      <c r="AO30" s="790"/>
      <c r="AP30" s="791"/>
      <c r="AQ30" s="791"/>
      <c r="AR30" s="791"/>
      <c r="AS30" s="791"/>
      <c r="AT30" s="792"/>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row>
    <row r="31" spans="1:76" ht="15" customHeight="1" x14ac:dyDescent="0.25">
      <c r="A31" s="73"/>
      <c r="B31" s="709"/>
      <c r="C31" s="709"/>
      <c r="D31" s="710"/>
      <c r="E31" s="750"/>
      <c r="F31" s="751"/>
      <c r="G31" s="751"/>
      <c r="H31" s="751"/>
      <c r="I31" s="752"/>
      <c r="J31" s="57" t="e">
        <f>IF(AND(#REF!="Media",#REF!="Leve"),CONCATENATE("R6C",#REF!),"")</f>
        <v>#REF!</v>
      </c>
      <c r="K31" s="58" t="e">
        <f>IF(AND(#REF!="Media",#REF!="Leve"),CONCATENATE("R6C",#REF!),"")</f>
        <v>#REF!</v>
      </c>
      <c r="L31" s="58" t="e">
        <f>IF(AND(#REF!="Media",#REF!="Leve"),CONCATENATE("R6C",#REF!),"")</f>
        <v>#REF!</v>
      </c>
      <c r="M31" s="58" t="e">
        <f>IF(AND(#REF!="Media",#REF!="Leve"),CONCATENATE("R6C",#REF!),"")</f>
        <v>#REF!</v>
      </c>
      <c r="N31" s="58" t="e">
        <f>IF(AND(#REF!="Media",#REF!="Leve"),CONCATENATE("R6C",#REF!),"")</f>
        <v>#REF!</v>
      </c>
      <c r="O31" s="59" t="e">
        <f>IF(AND(#REF!="Media",#REF!="Leve"),CONCATENATE("R6C",#REF!),"")</f>
        <v>#REF!</v>
      </c>
      <c r="P31" s="57" t="e">
        <f>IF(AND(#REF!="Media",#REF!="Menor"),CONCATENATE("R6C",#REF!),"")</f>
        <v>#REF!</v>
      </c>
      <c r="Q31" s="58" t="e">
        <f>IF(AND(#REF!="Media",#REF!="Menor"),CONCATENATE("R6C",#REF!),"")</f>
        <v>#REF!</v>
      </c>
      <c r="R31" s="58" t="e">
        <f>IF(AND(#REF!="Media",#REF!="Menor"),CONCATENATE("R6C",#REF!),"")</f>
        <v>#REF!</v>
      </c>
      <c r="S31" s="58" t="e">
        <f>IF(AND(#REF!="Media",#REF!="Menor"),CONCATENATE("R6C",#REF!),"")</f>
        <v>#REF!</v>
      </c>
      <c r="T31" s="58" t="e">
        <f>IF(AND(#REF!="Media",#REF!="Menor"),CONCATENATE("R6C",#REF!),"")</f>
        <v>#REF!</v>
      </c>
      <c r="U31" s="59" t="e">
        <f>IF(AND(#REF!="Media",#REF!="Menor"),CONCATENATE("R6C",#REF!),"")</f>
        <v>#REF!</v>
      </c>
      <c r="V31" s="57" t="e">
        <f>IF(AND(#REF!="Media",#REF!="Moderado"),CONCATENATE("R6C",#REF!),"")</f>
        <v>#REF!</v>
      </c>
      <c r="W31" s="58" t="e">
        <f>IF(AND(#REF!="Media",#REF!="Moderado"),CONCATENATE("R6C",#REF!),"")</f>
        <v>#REF!</v>
      </c>
      <c r="X31" s="58" t="e">
        <f>IF(AND(#REF!="Media",#REF!="Moderado"),CONCATENATE("R6C",#REF!),"")</f>
        <v>#REF!</v>
      </c>
      <c r="Y31" s="58" t="e">
        <f>IF(AND(#REF!="Media",#REF!="Moderado"),CONCATENATE("R6C",#REF!),"")</f>
        <v>#REF!</v>
      </c>
      <c r="Z31" s="58" t="e">
        <f>IF(AND(#REF!="Media",#REF!="Moderado"),CONCATENATE("R6C",#REF!),"")</f>
        <v>#REF!</v>
      </c>
      <c r="AA31" s="59" t="e">
        <f>IF(AND(#REF!="Media",#REF!="Moderado"),CONCATENATE("R6C",#REF!),"")</f>
        <v>#REF!</v>
      </c>
      <c r="AB31" s="42" t="e">
        <f>IF(AND(#REF!="Media",#REF!="Mayor"),CONCATENATE("R6C",#REF!),"")</f>
        <v>#REF!</v>
      </c>
      <c r="AC31" s="43" t="e">
        <f>IF(AND(#REF!="Media",#REF!="Mayor"),CONCATENATE("R6C",#REF!),"")</f>
        <v>#REF!</v>
      </c>
      <c r="AD31" s="43" t="e">
        <f>IF(AND(#REF!="Media",#REF!="Mayor"),CONCATENATE("R6C",#REF!),"")</f>
        <v>#REF!</v>
      </c>
      <c r="AE31" s="43" t="e">
        <f>IF(AND(#REF!="Media",#REF!="Mayor"),CONCATENATE("R6C",#REF!),"")</f>
        <v>#REF!</v>
      </c>
      <c r="AF31" s="43" t="e">
        <f>IF(AND(#REF!="Media",#REF!="Mayor"),CONCATENATE("R6C",#REF!),"")</f>
        <v>#REF!</v>
      </c>
      <c r="AG31" s="44" t="e">
        <f>IF(AND(#REF!="Media",#REF!="Mayor"),CONCATENATE("R6C",#REF!),"")</f>
        <v>#REF!</v>
      </c>
      <c r="AH31" s="45" t="e">
        <f>IF(AND(#REF!="Media",#REF!="Catastrófico"),CONCATENATE("R6C",#REF!),"")</f>
        <v>#REF!</v>
      </c>
      <c r="AI31" s="46" t="e">
        <f>IF(AND(#REF!="Media",#REF!="Catastrófico"),CONCATENATE("R6C",#REF!),"")</f>
        <v>#REF!</v>
      </c>
      <c r="AJ31" s="46" t="e">
        <f>IF(AND(#REF!="Media",#REF!="Catastrófico"),CONCATENATE("R6C",#REF!),"")</f>
        <v>#REF!</v>
      </c>
      <c r="AK31" s="46" t="e">
        <f>IF(AND(#REF!="Media",#REF!="Catastrófico"),CONCATENATE("R6C",#REF!),"")</f>
        <v>#REF!</v>
      </c>
      <c r="AL31" s="46" t="e">
        <f>IF(AND(#REF!="Media",#REF!="Catastrófico"),CONCATENATE("R6C",#REF!),"")</f>
        <v>#REF!</v>
      </c>
      <c r="AM31" s="47" t="e">
        <f>IF(AND(#REF!="Media",#REF!="Catastrófico"),CONCATENATE("R6C",#REF!),"")</f>
        <v>#REF!</v>
      </c>
      <c r="AN31" s="73"/>
      <c r="AO31" s="790"/>
      <c r="AP31" s="791"/>
      <c r="AQ31" s="791"/>
      <c r="AR31" s="791"/>
      <c r="AS31" s="791"/>
      <c r="AT31" s="792"/>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row>
    <row r="32" spans="1:76" ht="15" customHeight="1" x14ac:dyDescent="0.25">
      <c r="A32" s="73"/>
      <c r="B32" s="709"/>
      <c r="C32" s="709"/>
      <c r="D32" s="710"/>
      <c r="E32" s="750"/>
      <c r="F32" s="751"/>
      <c r="G32" s="751"/>
      <c r="H32" s="751"/>
      <c r="I32" s="752"/>
      <c r="J32" s="57" t="e">
        <f>IF(AND(#REF!="Media",#REF!="Leve"),CONCATENATE("R7C",#REF!),"")</f>
        <v>#REF!</v>
      </c>
      <c r="K32" s="58" t="e">
        <f>IF(AND(#REF!="Media",#REF!="Leve"),CONCATENATE("R7C",#REF!),"")</f>
        <v>#REF!</v>
      </c>
      <c r="L32" s="58" t="e">
        <f>IF(AND(#REF!="Media",#REF!="Leve"),CONCATENATE("R7C",#REF!),"")</f>
        <v>#REF!</v>
      </c>
      <c r="M32" s="58" t="e">
        <f>IF(AND(#REF!="Media",#REF!="Leve"),CONCATENATE("R7C",#REF!),"")</f>
        <v>#REF!</v>
      </c>
      <c r="N32" s="58" t="e">
        <f>IF(AND(#REF!="Media",#REF!="Leve"),CONCATENATE("R7C",#REF!),"")</f>
        <v>#REF!</v>
      </c>
      <c r="O32" s="59" t="e">
        <f>IF(AND(#REF!="Media",#REF!="Leve"),CONCATENATE("R7C",#REF!),"")</f>
        <v>#REF!</v>
      </c>
      <c r="P32" s="57" t="e">
        <f>IF(AND(#REF!="Media",#REF!="Menor"),CONCATENATE("R7C",#REF!),"")</f>
        <v>#REF!</v>
      </c>
      <c r="Q32" s="58" t="e">
        <f>IF(AND(#REF!="Media",#REF!="Menor"),CONCATENATE("R7C",#REF!),"")</f>
        <v>#REF!</v>
      </c>
      <c r="R32" s="58" t="e">
        <f>IF(AND(#REF!="Media",#REF!="Menor"),CONCATENATE("R7C",#REF!),"")</f>
        <v>#REF!</v>
      </c>
      <c r="S32" s="58" t="e">
        <f>IF(AND(#REF!="Media",#REF!="Menor"),CONCATENATE("R7C",#REF!),"")</f>
        <v>#REF!</v>
      </c>
      <c r="T32" s="58" t="e">
        <f>IF(AND(#REF!="Media",#REF!="Menor"),CONCATENATE("R7C",#REF!),"")</f>
        <v>#REF!</v>
      </c>
      <c r="U32" s="59" t="e">
        <f>IF(AND(#REF!="Media",#REF!="Menor"),CONCATENATE("R7C",#REF!),"")</f>
        <v>#REF!</v>
      </c>
      <c r="V32" s="57" t="e">
        <f>IF(AND(#REF!="Media",#REF!="Moderado"),CONCATENATE("R7C",#REF!),"")</f>
        <v>#REF!</v>
      </c>
      <c r="W32" s="58" t="e">
        <f>IF(AND(#REF!="Media",#REF!="Moderado"),CONCATENATE("R7C",#REF!),"")</f>
        <v>#REF!</v>
      </c>
      <c r="X32" s="58" t="e">
        <f>IF(AND(#REF!="Media",#REF!="Moderado"),CONCATENATE("R7C",#REF!),"")</f>
        <v>#REF!</v>
      </c>
      <c r="Y32" s="58" t="e">
        <f>IF(AND(#REF!="Media",#REF!="Moderado"),CONCATENATE("R7C",#REF!),"")</f>
        <v>#REF!</v>
      </c>
      <c r="Z32" s="58" t="e">
        <f>IF(AND(#REF!="Media",#REF!="Moderado"),CONCATENATE("R7C",#REF!),"")</f>
        <v>#REF!</v>
      </c>
      <c r="AA32" s="59" t="e">
        <f>IF(AND(#REF!="Media",#REF!="Moderado"),CONCATENATE("R7C",#REF!),"")</f>
        <v>#REF!</v>
      </c>
      <c r="AB32" s="42" t="e">
        <f>IF(AND(#REF!="Media",#REF!="Mayor"),CONCATENATE("R7C",#REF!),"")</f>
        <v>#REF!</v>
      </c>
      <c r="AC32" s="43" t="e">
        <f>IF(AND(#REF!="Media",#REF!="Mayor"),CONCATENATE("R7C",#REF!),"")</f>
        <v>#REF!</v>
      </c>
      <c r="AD32" s="43" t="e">
        <f>IF(AND(#REF!="Media",#REF!="Mayor"),CONCATENATE("R7C",#REF!),"")</f>
        <v>#REF!</v>
      </c>
      <c r="AE32" s="43" t="e">
        <f>IF(AND(#REF!="Media",#REF!="Mayor"),CONCATENATE("R7C",#REF!),"")</f>
        <v>#REF!</v>
      </c>
      <c r="AF32" s="43" t="e">
        <f>IF(AND(#REF!="Media",#REF!="Mayor"),CONCATENATE("R7C",#REF!),"")</f>
        <v>#REF!</v>
      </c>
      <c r="AG32" s="44" t="e">
        <f>IF(AND(#REF!="Media",#REF!="Mayor"),CONCATENATE("R7C",#REF!),"")</f>
        <v>#REF!</v>
      </c>
      <c r="AH32" s="45" t="e">
        <f>IF(AND(#REF!="Media",#REF!="Catastrófico"),CONCATENATE("R7C",#REF!),"")</f>
        <v>#REF!</v>
      </c>
      <c r="AI32" s="46" t="e">
        <f>IF(AND(#REF!="Media",#REF!="Catastrófico"),CONCATENATE("R7C",#REF!),"")</f>
        <v>#REF!</v>
      </c>
      <c r="AJ32" s="46" t="e">
        <f>IF(AND(#REF!="Media",#REF!="Catastrófico"),CONCATENATE("R7C",#REF!),"")</f>
        <v>#REF!</v>
      </c>
      <c r="AK32" s="46" t="e">
        <f>IF(AND(#REF!="Media",#REF!="Catastrófico"),CONCATENATE("R7C",#REF!),"")</f>
        <v>#REF!</v>
      </c>
      <c r="AL32" s="46" t="e">
        <f>IF(AND(#REF!="Media",#REF!="Catastrófico"),CONCATENATE("R7C",#REF!),"")</f>
        <v>#REF!</v>
      </c>
      <c r="AM32" s="47" t="e">
        <f>IF(AND(#REF!="Media",#REF!="Catastrófico"),CONCATENATE("R7C",#REF!),"")</f>
        <v>#REF!</v>
      </c>
      <c r="AN32" s="73"/>
      <c r="AO32" s="790"/>
      <c r="AP32" s="791"/>
      <c r="AQ32" s="791"/>
      <c r="AR32" s="791"/>
      <c r="AS32" s="791"/>
      <c r="AT32" s="792"/>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row>
    <row r="33" spans="1:80" ht="15" customHeight="1" x14ac:dyDescent="0.25">
      <c r="A33" s="73"/>
      <c r="B33" s="709"/>
      <c r="C33" s="709"/>
      <c r="D33" s="710"/>
      <c r="E33" s="750"/>
      <c r="F33" s="751"/>
      <c r="G33" s="751"/>
      <c r="H33" s="751"/>
      <c r="I33" s="752"/>
      <c r="J33" s="57" t="e">
        <f>IF(AND(#REF!="Media",#REF!="Leve"),CONCATENATE("R8C",#REF!),"")</f>
        <v>#REF!</v>
      </c>
      <c r="K33" s="58" t="e">
        <f>IF(AND(#REF!="Media",#REF!="Leve"),CONCATENATE("R8C",#REF!),"")</f>
        <v>#REF!</v>
      </c>
      <c r="L33" s="58" t="e">
        <f>IF(AND(#REF!="Media",#REF!="Leve"),CONCATENATE("R8C",#REF!),"")</f>
        <v>#REF!</v>
      </c>
      <c r="M33" s="58" t="e">
        <f>IF(AND(#REF!="Media",#REF!="Leve"),CONCATENATE("R8C",#REF!),"")</f>
        <v>#REF!</v>
      </c>
      <c r="N33" s="58" t="e">
        <f>IF(AND(#REF!="Media",#REF!="Leve"),CONCATENATE("R8C",#REF!),"")</f>
        <v>#REF!</v>
      </c>
      <c r="O33" s="59" t="e">
        <f>IF(AND(#REF!="Media",#REF!="Leve"),CONCATENATE("R8C",#REF!),"")</f>
        <v>#REF!</v>
      </c>
      <c r="P33" s="57" t="e">
        <f>IF(AND(#REF!="Media",#REF!="Menor"),CONCATENATE("R8C",#REF!),"")</f>
        <v>#REF!</v>
      </c>
      <c r="Q33" s="58" t="e">
        <f>IF(AND(#REF!="Media",#REF!="Menor"),CONCATENATE("R8C",#REF!),"")</f>
        <v>#REF!</v>
      </c>
      <c r="R33" s="58" t="e">
        <f>IF(AND(#REF!="Media",#REF!="Menor"),CONCATENATE("R8C",#REF!),"")</f>
        <v>#REF!</v>
      </c>
      <c r="S33" s="58" t="e">
        <f>IF(AND(#REF!="Media",#REF!="Menor"),CONCATENATE("R8C",#REF!),"")</f>
        <v>#REF!</v>
      </c>
      <c r="T33" s="58" t="e">
        <f>IF(AND(#REF!="Media",#REF!="Menor"),CONCATENATE("R8C",#REF!),"")</f>
        <v>#REF!</v>
      </c>
      <c r="U33" s="59" t="e">
        <f>IF(AND(#REF!="Media",#REF!="Menor"),CONCATENATE("R8C",#REF!),"")</f>
        <v>#REF!</v>
      </c>
      <c r="V33" s="57" t="e">
        <f>IF(AND(#REF!="Media",#REF!="Moderado"),CONCATENATE("R8C",#REF!),"")</f>
        <v>#REF!</v>
      </c>
      <c r="W33" s="58" t="e">
        <f>IF(AND(#REF!="Media",#REF!="Moderado"),CONCATENATE("R8C",#REF!),"")</f>
        <v>#REF!</v>
      </c>
      <c r="X33" s="58" t="e">
        <f>IF(AND(#REF!="Media",#REF!="Moderado"),CONCATENATE("R8C",#REF!),"")</f>
        <v>#REF!</v>
      </c>
      <c r="Y33" s="58" t="e">
        <f>IF(AND(#REF!="Media",#REF!="Moderado"),CONCATENATE("R8C",#REF!),"")</f>
        <v>#REF!</v>
      </c>
      <c r="Z33" s="58" t="e">
        <f>IF(AND(#REF!="Media",#REF!="Moderado"),CONCATENATE("R8C",#REF!),"")</f>
        <v>#REF!</v>
      </c>
      <c r="AA33" s="59" t="e">
        <f>IF(AND(#REF!="Media",#REF!="Moderado"),CONCATENATE("R8C",#REF!),"")</f>
        <v>#REF!</v>
      </c>
      <c r="AB33" s="42" t="e">
        <f>IF(AND(#REF!="Media",#REF!="Mayor"),CONCATENATE("R8C",#REF!),"")</f>
        <v>#REF!</v>
      </c>
      <c r="AC33" s="43" t="e">
        <f>IF(AND(#REF!="Media",#REF!="Mayor"),CONCATENATE("R8C",#REF!),"")</f>
        <v>#REF!</v>
      </c>
      <c r="AD33" s="43" t="e">
        <f>IF(AND(#REF!="Media",#REF!="Mayor"),CONCATENATE("R8C",#REF!),"")</f>
        <v>#REF!</v>
      </c>
      <c r="AE33" s="43" t="e">
        <f>IF(AND(#REF!="Media",#REF!="Mayor"),CONCATENATE("R8C",#REF!),"")</f>
        <v>#REF!</v>
      </c>
      <c r="AF33" s="43" t="e">
        <f>IF(AND(#REF!="Media",#REF!="Mayor"),CONCATENATE("R8C",#REF!),"")</f>
        <v>#REF!</v>
      </c>
      <c r="AG33" s="44" t="e">
        <f>IF(AND(#REF!="Media",#REF!="Mayor"),CONCATENATE("R8C",#REF!),"")</f>
        <v>#REF!</v>
      </c>
      <c r="AH33" s="45" t="e">
        <f>IF(AND(#REF!="Media",#REF!="Catastrófico"),CONCATENATE("R8C",#REF!),"")</f>
        <v>#REF!</v>
      </c>
      <c r="AI33" s="46" t="e">
        <f>IF(AND(#REF!="Media",#REF!="Catastrófico"),CONCATENATE("R8C",#REF!),"")</f>
        <v>#REF!</v>
      </c>
      <c r="AJ33" s="46" t="e">
        <f>IF(AND(#REF!="Media",#REF!="Catastrófico"),CONCATENATE("R8C",#REF!),"")</f>
        <v>#REF!</v>
      </c>
      <c r="AK33" s="46" t="e">
        <f>IF(AND(#REF!="Media",#REF!="Catastrófico"),CONCATENATE("R8C",#REF!),"")</f>
        <v>#REF!</v>
      </c>
      <c r="AL33" s="46" t="e">
        <f>IF(AND(#REF!="Media",#REF!="Catastrófico"),CONCATENATE("R8C",#REF!),"")</f>
        <v>#REF!</v>
      </c>
      <c r="AM33" s="47" t="e">
        <f>IF(AND(#REF!="Media",#REF!="Catastrófico"),CONCATENATE("R8C",#REF!),"")</f>
        <v>#REF!</v>
      </c>
      <c r="AN33" s="73"/>
      <c r="AO33" s="790"/>
      <c r="AP33" s="791"/>
      <c r="AQ33" s="791"/>
      <c r="AR33" s="791"/>
      <c r="AS33" s="791"/>
      <c r="AT33" s="792"/>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row>
    <row r="34" spans="1:80" ht="15" customHeight="1" x14ac:dyDescent="0.25">
      <c r="A34" s="73"/>
      <c r="B34" s="709"/>
      <c r="C34" s="709"/>
      <c r="D34" s="710"/>
      <c r="E34" s="750"/>
      <c r="F34" s="751"/>
      <c r="G34" s="751"/>
      <c r="H34" s="751"/>
      <c r="I34" s="752"/>
      <c r="J34" s="57" t="e">
        <f>IF(AND(#REF!="Media",#REF!="Leve"),CONCATENATE("R9C",#REF!),"")</f>
        <v>#REF!</v>
      </c>
      <c r="K34" s="58" t="e">
        <f>IF(AND(#REF!="Media",#REF!="Leve"),CONCATENATE("R9C",#REF!),"")</f>
        <v>#REF!</v>
      </c>
      <c r="L34" s="58" t="e">
        <f>IF(AND(#REF!="Media",#REF!="Leve"),CONCATENATE("R9C",#REF!),"")</f>
        <v>#REF!</v>
      </c>
      <c r="M34" s="58" t="e">
        <f>IF(AND(#REF!="Media",#REF!="Leve"),CONCATENATE("R9C",#REF!),"")</f>
        <v>#REF!</v>
      </c>
      <c r="N34" s="58" t="e">
        <f>IF(AND(#REF!="Media",#REF!="Leve"),CONCATENATE("R9C",#REF!),"")</f>
        <v>#REF!</v>
      </c>
      <c r="O34" s="59" t="e">
        <f>IF(AND(#REF!="Media",#REF!="Leve"),CONCATENATE("R9C",#REF!),"")</f>
        <v>#REF!</v>
      </c>
      <c r="P34" s="57" t="e">
        <f>IF(AND(#REF!="Media",#REF!="Menor"),CONCATENATE("R9C",#REF!),"")</f>
        <v>#REF!</v>
      </c>
      <c r="Q34" s="58" t="e">
        <f>IF(AND(#REF!="Media",#REF!="Menor"),CONCATENATE("R9C",#REF!),"")</f>
        <v>#REF!</v>
      </c>
      <c r="R34" s="58" t="e">
        <f>IF(AND(#REF!="Media",#REF!="Menor"),CONCATENATE("R9C",#REF!),"")</f>
        <v>#REF!</v>
      </c>
      <c r="S34" s="58" t="e">
        <f>IF(AND(#REF!="Media",#REF!="Menor"),CONCATENATE("R9C",#REF!),"")</f>
        <v>#REF!</v>
      </c>
      <c r="T34" s="58" t="e">
        <f>IF(AND(#REF!="Media",#REF!="Menor"),CONCATENATE("R9C",#REF!),"")</f>
        <v>#REF!</v>
      </c>
      <c r="U34" s="59" t="e">
        <f>IF(AND(#REF!="Media",#REF!="Menor"),CONCATENATE("R9C",#REF!),"")</f>
        <v>#REF!</v>
      </c>
      <c r="V34" s="57" t="e">
        <f>IF(AND(#REF!="Media",#REF!="Moderado"),CONCATENATE("R9C",#REF!),"")</f>
        <v>#REF!</v>
      </c>
      <c r="W34" s="58" t="e">
        <f>IF(AND(#REF!="Media",#REF!="Moderado"),CONCATENATE("R9C",#REF!),"")</f>
        <v>#REF!</v>
      </c>
      <c r="X34" s="58" t="e">
        <f>IF(AND(#REF!="Media",#REF!="Moderado"),CONCATENATE("R9C",#REF!),"")</f>
        <v>#REF!</v>
      </c>
      <c r="Y34" s="58" t="e">
        <f>IF(AND(#REF!="Media",#REF!="Moderado"),CONCATENATE("R9C",#REF!),"")</f>
        <v>#REF!</v>
      </c>
      <c r="Z34" s="58" t="e">
        <f>IF(AND(#REF!="Media",#REF!="Moderado"),CONCATENATE("R9C",#REF!),"")</f>
        <v>#REF!</v>
      </c>
      <c r="AA34" s="59" t="e">
        <f>IF(AND(#REF!="Media",#REF!="Moderado"),CONCATENATE("R9C",#REF!),"")</f>
        <v>#REF!</v>
      </c>
      <c r="AB34" s="42" t="e">
        <f>IF(AND(#REF!="Media",#REF!="Mayor"),CONCATENATE("R9C",#REF!),"")</f>
        <v>#REF!</v>
      </c>
      <c r="AC34" s="43" t="e">
        <f>IF(AND(#REF!="Media",#REF!="Mayor"),CONCATENATE("R9C",#REF!),"")</f>
        <v>#REF!</v>
      </c>
      <c r="AD34" s="43" t="e">
        <f>IF(AND(#REF!="Media",#REF!="Mayor"),CONCATENATE("R9C",#REF!),"")</f>
        <v>#REF!</v>
      </c>
      <c r="AE34" s="43" t="e">
        <f>IF(AND(#REF!="Media",#REF!="Mayor"),CONCATENATE("R9C",#REF!),"")</f>
        <v>#REF!</v>
      </c>
      <c r="AF34" s="43" t="e">
        <f>IF(AND(#REF!="Media",#REF!="Mayor"),CONCATENATE("R9C",#REF!),"")</f>
        <v>#REF!</v>
      </c>
      <c r="AG34" s="44" t="e">
        <f>IF(AND(#REF!="Media",#REF!="Mayor"),CONCATENATE("R9C",#REF!),"")</f>
        <v>#REF!</v>
      </c>
      <c r="AH34" s="45" t="e">
        <f>IF(AND(#REF!="Media",#REF!="Catastrófico"),CONCATENATE("R9C",#REF!),"")</f>
        <v>#REF!</v>
      </c>
      <c r="AI34" s="46" t="e">
        <f>IF(AND(#REF!="Media",#REF!="Catastrófico"),CONCATENATE("R9C",#REF!),"")</f>
        <v>#REF!</v>
      </c>
      <c r="AJ34" s="46" t="e">
        <f>IF(AND(#REF!="Media",#REF!="Catastrófico"),CONCATENATE("R9C",#REF!),"")</f>
        <v>#REF!</v>
      </c>
      <c r="AK34" s="46" t="e">
        <f>IF(AND(#REF!="Media",#REF!="Catastrófico"),CONCATENATE("R9C",#REF!),"")</f>
        <v>#REF!</v>
      </c>
      <c r="AL34" s="46" t="e">
        <f>IF(AND(#REF!="Media",#REF!="Catastrófico"),CONCATENATE("R9C",#REF!),"")</f>
        <v>#REF!</v>
      </c>
      <c r="AM34" s="47" t="e">
        <f>IF(AND(#REF!="Media",#REF!="Catastrófico"),CONCATENATE("R9C",#REF!),"")</f>
        <v>#REF!</v>
      </c>
      <c r="AN34" s="73"/>
      <c r="AO34" s="790"/>
      <c r="AP34" s="791"/>
      <c r="AQ34" s="791"/>
      <c r="AR34" s="791"/>
      <c r="AS34" s="791"/>
      <c r="AT34" s="792"/>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row>
    <row r="35" spans="1:80" ht="15.75" customHeight="1" thickBot="1" x14ac:dyDescent="0.3">
      <c r="A35" s="73"/>
      <c r="B35" s="709"/>
      <c r="C35" s="709"/>
      <c r="D35" s="710"/>
      <c r="E35" s="753"/>
      <c r="F35" s="754"/>
      <c r="G35" s="754"/>
      <c r="H35" s="754"/>
      <c r="I35" s="755"/>
      <c r="J35" s="57" t="e">
        <f>IF(AND(#REF!="Media",#REF!="Leve"),CONCATENATE("R10C",#REF!),"")</f>
        <v>#REF!</v>
      </c>
      <c r="K35" s="58" t="e">
        <f>IF(AND(#REF!="Media",#REF!="Leve"),CONCATENATE("R10C",#REF!),"")</f>
        <v>#REF!</v>
      </c>
      <c r="L35" s="58" t="e">
        <f>IF(AND(#REF!="Media",#REF!="Leve"),CONCATENATE("R10C",#REF!),"")</f>
        <v>#REF!</v>
      </c>
      <c r="M35" s="58" t="e">
        <f>IF(AND(#REF!="Media",#REF!="Leve"),CONCATENATE("R10C",#REF!),"")</f>
        <v>#REF!</v>
      </c>
      <c r="N35" s="58" t="e">
        <f>IF(AND(#REF!="Media",#REF!="Leve"),CONCATENATE("R10C",#REF!),"")</f>
        <v>#REF!</v>
      </c>
      <c r="O35" s="59" t="e">
        <f>IF(AND(#REF!="Media",#REF!="Leve"),CONCATENATE("R10C",#REF!),"")</f>
        <v>#REF!</v>
      </c>
      <c r="P35" s="57" t="e">
        <f>IF(AND(#REF!="Media",#REF!="Menor"),CONCATENATE("R10C",#REF!),"")</f>
        <v>#REF!</v>
      </c>
      <c r="Q35" s="58" t="e">
        <f>IF(AND(#REF!="Media",#REF!="Menor"),CONCATENATE("R10C",#REF!),"")</f>
        <v>#REF!</v>
      </c>
      <c r="R35" s="58" t="e">
        <f>IF(AND(#REF!="Media",#REF!="Menor"),CONCATENATE("R10C",#REF!),"")</f>
        <v>#REF!</v>
      </c>
      <c r="S35" s="58" t="e">
        <f>IF(AND(#REF!="Media",#REF!="Menor"),CONCATENATE("R10C",#REF!),"")</f>
        <v>#REF!</v>
      </c>
      <c r="T35" s="58" t="e">
        <f>IF(AND(#REF!="Media",#REF!="Menor"),CONCATENATE("R10C",#REF!),"")</f>
        <v>#REF!</v>
      </c>
      <c r="U35" s="59" t="e">
        <f>IF(AND(#REF!="Media",#REF!="Menor"),CONCATENATE("R10C",#REF!),"")</f>
        <v>#REF!</v>
      </c>
      <c r="V35" s="57" t="e">
        <f>IF(AND(#REF!="Media",#REF!="Moderado"),CONCATENATE("R10C",#REF!),"")</f>
        <v>#REF!</v>
      </c>
      <c r="W35" s="58" t="e">
        <f>IF(AND(#REF!="Media",#REF!="Moderado"),CONCATENATE("R10C",#REF!),"")</f>
        <v>#REF!</v>
      </c>
      <c r="X35" s="58" t="e">
        <f>IF(AND(#REF!="Media",#REF!="Moderado"),CONCATENATE("R10C",#REF!),"")</f>
        <v>#REF!</v>
      </c>
      <c r="Y35" s="58" t="e">
        <f>IF(AND(#REF!="Media",#REF!="Moderado"),CONCATENATE("R10C",#REF!),"")</f>
        <v>#REF!</v>
      </c>
      <c r="Z35" s="58" t="e">
        <f>IF(AND(#REF!="Media",#REF!="Moderado"),CONCATENATE("R10C",#REF!),"")</f>
        <v>#REF!</v>
      </c>
      <c r="AA35" s="59" t="e">
        <f>IF(AND(#REF!="Media",#REF!="Moderado"),CONCATENATE("R10C",#REF!),"")</f>
        <v>#REF!</v>
      </c>
      <c r="AB35" s="48" t="e">
        <f>IF(AND(#REF!="Media",#REF!="Mayor"),CONCATENATE("R10C",#REF!),"")</f>
        <v>#REF!</v>
      </c>
      <c r="AC35" s="49" t="e">
        <f>IF(AND(#REF!="Media",#REF!="Mayor"),CONCATENATE("R10C",#REF!),"")</f>
        <v>#REF!</v>
      </c>
      <c r="AD35" s="49" t="e">
        <f>IF(AND(#REF!="Media",#REF!="Mayor"),CONCATENATE("R10C",#REF!),"")</f>
        <v>#REF!</v>
      </c>
      <c r="AE35" s="49" t="e">
        <f>IF(AND(#REF!="Media",#REF!="Mayor"),CONCATENATE("R10C",#REF!),"")</f>
        <v>#REF!</v>
      </c>
      <c r="AF35" s="49" t="e">
        <f>IF(AND(#REF!="Media",#REF!="Mayor"),CONCATENATE("R10C",#REF!),"")</f>
        <v>#REF!</v>
      </c>
      <c r="AG35" s="50" t="e">
        <f>IF(AND(#REF!="Media",#REF!="Mayor"),CONCATENATE("R10C",#REF!),"")</f>
        <v>#REF!</v>
      </c>
      <c r="AH35" s="51" t="e">
        <f>IF(AND(#REF!="Media",#REF!="Catastrófico"),CONCATENATE("R10C",#REF!),"")</f>
        <v>#REF!</v>
      </c>
      <c r="AI35" s="52" t="e">
        <f>IF(AND(#REF!="Media",#REF!="Catastrófico"),CONCATENATE("R10C",#REF!),"")</f>
        <v>#REF!</v>
      </c>
      <c r="AJ35" s="52" t="e">
        <f>IF(AND(#REF!="Media",#REF!="Catastrófico"),CONCATENATE("R10C",#REF!),"")</f>
        <v>#REF!</v>
      </c>
      <c r="AK35" s="52" t="e">
        <f>IF(AND(#REF!="Media",#REF!="Catastrófico"),CONCATENATE("R10C",#REF!),"")</f>
        <v>#REF!</v>
      </c>
      <c r="AL35" s="52" t="e">
        <f>IF(AND(#REF!="Media",#REF!="Catastrófico"),CONCATENATE("R10C",#REF!),"")</f>
        <v>#REF!</v>
      </c>
      <c r="AM35" s="53" t="e">
        <f>IF(AND(#REF!="Media",#REF!="Catastrófico"),CONCATENATE("R10C",#REF!),"")</f>
        <v>#REF!</v>
      </c>
      <c r="AN35" s="73"/>
      <c r="AO35" s="793"/>
      <c r="AP35" s="794"/>
      <c r="AQ35" s="794"/>
      <c r="AR35" s="794"/>
      <c r="AS35" s="794"/>
      <c r="AT35" s="795"/>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row>
    <row r="36" spans="1:80" ht="15" customHeight="1" x14ac:dyDescent="0.25">
      <c r="A36" s="73"/>
      <c r="B36" s="709"/>
      <c r="C36" s="709"/>
      <c r="D36" s="710"/>
      <c r="E36" s="747" t="s">
        <v>387</v>
      </c>
      <c r="F36" s="748"/>
      <c r="G36" s="748"/>
      <c r="H36" s="748"/>
      <c r="I36" s="748"/>
      <c r="J36" s="63" t="e">
        <f>IF(AND(#REF!="Baja",#REF!="Leve"),CONCATENATE("R1C",#REF!),"")</f>
        <v>#REF!</v>
      </c>
      <c r="K36" s="64" t="e">
        <f>IF(AND(#REF!="Baja",#REF!="Leve"),CONCATENATE("R1C",#REF!),"")</f>
        <v>#REF!</v>
      </c>
      <c r="L36" s="64" t="e">
        <f>IF(AND(#REF!="Baja",#REF!="Leve"),CONCATENATE("R1C",#REF!),"")</f>
        <v>#REF!</v>
      </c>
      <c r="M36" s="64" t="e">
        <f>IF(AND(#REF!="Baja",#REF!="Leve"),CONCATENATE("R1C",#REF!),"")</f>
        <v>#REF!</v>
      </c>
      <c r="N36" s="64" t="e">
        <f>IF(AND(#REF!="Baja",#REF!="Leve"),CONCATENATE("R1C",#REF!),"")</f>
        <v>#REF!</v>
      </c>
      <c r="O36" s="65" t="e">
        <f>IF(AND(#REF!="Baja",#REF!="Leve"),CONCATENATE("R1C",#REF!),"")</f>
        <v>#REF!</v>
      </c>
      <c r="P36" s="54" t="e">
        <f>IF(AND(#REF!="Baja",#REF!="Menor"),CONCATENATE("R1C",#REF!),"")</f>
        <v>#REF!</v>
      </c>
      <c r="Q36" s="55" t="e">
        <f>IF(AND(#REF!="Baja",#REF!="Menor"),CONCATENATE("R1C",#REF!),"")</f>
        <v>#REF!</v>
      </c>
      <c r="R36" s="55" t="e">
        <f>IF(AND(#REF!="Baja",#REF!="Menor"),CONCATENATE("R1C",#REF!),"")</f>
        <v>#REF!</v>
      </c>
      <c r="S36" s="55" t="e">
        <f>IF(AND(#REF!="Baja",#REF!="Menor"),CONCATENATE("R1C",#REF!),"")</f>
        <v>#REF!</v>
      </c>
      <c r="T36" s="55" t="e">
        <f>IF(AND(#REF!="Baja",#REF!="Menor"),CONCATENATE("R1C",#REF!),"")</f>
        <v>#REF!</v>
      </c>
      <c r="U36" s="56" t="e">
        <f>IF(AND(#REF!="Baja",#REF!="Menor"),CONCATENATE("R1C",#REF!),"")</f>
        <v>#REF!</v>
      </c>
      <c r="V36" s="54" t="e">
        <f>IF(AND(#REF!="Baja",#REF!="Moderado"),CONCATENATE("R1C",#REF!),"")</f>
        <v>#REF!</v>
      </c>
      <c r="W36" s="55" t="e">
        <f>IF(AND(#REF!="Baja",#REF!="Moderado"),CONCATENATE("R1C",#REF!),"")</f>
        <v>#REF!</v>
      </c>
      <c r="X36" s="55" t="e">
        <f>IF(AND(#REF!="Baja",#REF!="Moderado"),CONCATENATE("R1C",#REF!),"")</f>
        <v>#REF!</v>
      </c>
      <c r="Y36" s="55" t="e">
        <f>IF(AND(#REF!="Baja",#REF!="Moderado"),CONCATENATE("R1C",#REF!),"")</f>
        <v>#REF!</v>
      </c>
      <c r="Z36" s="55" t="e">
        <f>IF(AND(#REF!="Baja",#REF!="Moderado"),CONCATENATE("R1C",#REF!),"")</f>
        <v>#REF!</v>
      </c>
      <c r="AA36" s="56" t="e">
        <f>IF(AND(#REF!="Baja",#REF!="Moderado"),CONCATENATE("R1C",#REF!),"")</f>
        <v>#REF!</v>
      </c>
      <c r="AB36" s="36" t="e">
        <f>IF(AND(#REF!="Baja",#REF!="Mayor"),CONCATENATE("R1C",#REF!),"")</f>
        <v>#REF!</v>
      </c>
      <c r="AC36" s="37" t="e">
        <f>IF(AND(#REF!="Baja",#REF!="Mayor"),CONCATENATE("R1C",#REF!),"")</f>
        <v>#REF!</v>
      </c>
      <c r="AD36" s="37" t="e">
        <f>IF(AND(#REF!="Baja",#REF!="Mayor"),CONCATENATE("R1C",#REF!),"")</f>
        <v>#REF!</v>
      </c>
      <c r="AE36" s="37" t="e">
        <f>IF(AND(#REF!="Baja",#REF!="Mayor"),CONCATENATE("R1C",#REF!),"")</f>
        <v>#REF!</v>
      </c>
      <c r="AF36" s="37" t="e">
        <f>IF(AND(#REF!="Baja",#REF!="Mayor"),CONCATENATE("R1C",#REF!),"")</f>
        <v>#REF!</v>
      </c>
      <c r="AG36" s="38" t="e">
        <f>IF(AND(#REF!="Baja",#REF!="Mayor"),CONCATENATE("R1C",#REF!),"")</f>
        <v>#REF!</v>
      </c>
      <c r="AH36" s="39" t="e">
        <f>IF(AND(#REF!="Baja",#REF!="Catastrófico"),CONCATENATE("R1C",#REF!),"")</f>
        <v>#REF!</v>
      </c>
      <c r="AI36" s="40" t="e">
        <f>IF(AND(#REF!="Baja",#REF!="Catastrófico"),CONCATENATE("R1C",#REF!),"")</f>
        <v>#REF!</v>
      </c>
      <c r="AJ36" s="40" t="e">
        <f>IF(AND(#REF!="Baja",#REF!="Catastrófico"),CONCATENATE("R1C",#REF!),"")</f>
        <v>#REF!</v>
      </c>
      <c r="AK36" s="40" t="e">
        <f>IF(AND(#REF!="Baja",#REF!="Catastrófico"),CONCATENATE("R1C",#REF!),"")</f>
        <v>#REF!</v>
      </c>
      <c r="AL36" s="40" t="e">
        <f>IF(AND(#REF!="Baja",#REF!="Catastrófico"),CONCATENATE("R1C",#REF!),"")</f>
        <v>#REF!</v>
      </c>
      <c r="AM36" s="41" t="e">
        <f>IF(AND(#REF!="Baja",#REF!="Catastrófico"),CONCATENATE("R1C",#REF!),"")</f>
        <v>#REF!</v>
      </c>
      <c r="AN36" s="73"/>
      <c r="AO36" s="778" t="s">
        <v>388</v>
      </c>
      <c r="AP36" s="779"/>
      <c r="AQ36" s="779"/>
      <c r="AR36" s="779"/>
      <c r="AS36" s="779"/>
      <c r="AT36" s="780"/>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row>
    <row r="37" spans="1:80" ht="15" customHeight="1" x14ac:dyDescent="0.25">
      <c r="A37" s="73"/>
      <c r="B37" s="709"/>
      <c r="C37" s="709"/>
      <c r="D37" s="710"/>
      <c r="E37" s="766"/>
      <c r="F37" s="751"/>
      <c r="G37" s="751"/>
      <c r="H37" s="751"/>
      <c r="I37" s="751"/>
      <c r="J37" s="66" t="e">
        <f>IF(AND(#REF!="Baja",#REF!="Leve"),CONCATENATE("R2C",#REF!),"")</f>
        <v>#REF!</v>
      </c>
      <c r="K37" s="67" t="e">
        <f>IF(AND(#REF!="Baja",#REF!="Leve"),CONCATENATE("R2C",#REF!),"")</f>
        <v>#REF!</v>
      </c>
      <c r="L37" s="67" t="e">
        <f>IF(AND(#REF!="Baja",#REF!="Leve"),CONCATENATE("R2C",#REF!),"")</f>
        <v>#REF!</v>
      </c>
      <c r="M37" s="67" t="e">
        <f>IF(AND(#REF!="Baja",#REF!="Leve"),CONCATENATE("R2C",#REF!),"")</f>
        <v>#REF!</v>
      </c>
      <c r="N37" s="67" t="e">
        <f>IF(AND(#REF!="Baja",#REF!="Leve"),CONCATENATE("R2C",#REF!),"")</f>
        <v>#REF!</v>
      </c>
      <c r="O37" s="68" t="e">
        <f>IF(AND(#REF!="Baja",#REF!="Leve"),CONCATENATE("R2C",#REF!),"")</f>
        <v>#REF!</v>
      </c>
      <c r="P37" s="57" t="e">
        <f>IF(AND(#REF!="Baja",#REF!="Menor"),CONCATENATE("R2C",#REF!),"")</f>
        <v>#REF!</v>
      </c>
      <c r="Q37" s="58" t="e">
        <f>IF(AND(#REF!="Baja",#REF!="Menor"),CONCATENATE("R2C",#REF!),"")</f>
        <v>#REF!</v>
      </c>
      <c r="R37" s="58" t="e">
        <f>IF(AND(#REF!="Baja",#REF!="Menor"),CONCATENATE("R2C",#REF!),"")</f>
        <v>#REF!</v>
      </c>
      <c r="S37" s="58" t="e">
        <f>IF(AND(#REF!="Baja",#REF!="Menor"),CONCATENATE("R2C",#REF!),"")</f>
        <v>#REF!</v>
      </c>
      <c r="T37" s="58" t="e">
        <f>IF(AND(#REF!="Baja",#REF!="Menor"),CONCATENATE("R2C",#REF!),"")</f>
        <v>#REF!</v>
      </c>
      <c r="U37" s="59" t="e">
        <f>IF(AND(#REF!="Baja",#REF!="Menor"),CONCATENATE("R2C",#REF!),"")</f>
        <v>#REF!</v>
      </c>
      <c r="V37" s="57" t="e">
        <f>IF(AND(#REF!="Baja",#REF!="Moderado"),CONCATENATE("R2C",#REF!),"")</f>
        <v>#REF!</v>
      </c>
      <c r="W37" s="58" t="e">
        <f>IF(AND(#REF!="Baja",#REF!="Moderado"),CONCATENATE("R2C",#REF!),"")</f>
        <v>#REF!</v>
      </c>
      <c r="X37" s="58" t="e">
        <f>IF(AND(#REF!="Baja",#REF!="Moderado"),CONCATENATE("R2C",#REF!),"")</f>
        <v>#REF!</v>
      </c>
      <c r="Y37" s="58" t="e">
        <f>IF(AND(#REF!="Baja",#REF!="Moderado"),CONCATENATE("R2C",#REF!),"")</f>
        <v>#REF!</v>
      </c>
      <c r="Z37" s="58" t="e">
        <f>IF(AND(#REF!="Baja",#REF!="Moderado"),CONCATENATE("R2C",#REF!),"")</f>
        <v>#REF!</v>
      </c>
      <c r="AA37" s="59" t="e">
        <f>IF(AND(#REF!="Baja",#REF!="Moderado"),CONCATENATE("R2C",#REF!),"")</f>
        <v>#REF!</v>
      </c>
      <c r="AB37" s="42" t="e">
        <f>IF(AND(#REF!="Baja",#REF!="Mayor"),CONCATENATE("R2C",#REF!),"")</f>
        <v>#REF!</v>
      </c>
      <c r="AC37" s="43" t="e">
        <f>IF(AND(#REF!="Baja",#REF!="Mayor"),CONCATENATE("R2C",#REF!),"")</f>
        <v>#REF!</v>
      </c>
      <c r="AD37" s="43" t="e">
        <f>IF(AND(#REF!="Baja",#REF!="Mayor"),CONCATENATE("R2C",#REF!),"")</f>
        <v>#REF!</v>
      </c>
      <c r="AE37" s="43" t="e">
        <f>IF(AND(#REF!="Baja",#REF!="Mayor"),CONCATENATE("R2C",#REF!),"")</f>
        <v>#REF!</v>
      </c>
      <c r="AF37" s="43" t="e">
        <f>IF(AND(#REF!="Baja",#REF!="Mayor"),CONCATENATE("R2C",#REF!),"")</f>
        <v>#REF!</v>
      </c>
      <c r="AG37" s="44" t="e">
        <f>IF(AND(#REF!="Baja",#REF!="Mayor"),CONCATENATE("R2C",#REF!),"")</f>
        <v>#REF!</v>
      </c>
      <c r="AH37" s="45" t="e">
        <f>IF(AND(#REF!="Baja",#REF!="Catastrófico"),CONCATENATE("R2C",#REF!),"")</f>
        <v>#REF!</v>
      </c>
      <c r="AI37" s="46" t="e">
        <f>IF(AND(#REF!="Baja",#REF!="Catastrófico"),CONCATENATE("R2C",#REF!),"")</f>
        <v>#REF!</v>
      </c>
      <c r="AJ37" s="46" t="e">
        <f>IF(AND(#REF!="Baja",#REF!="Catastrófico"),CONCATENATE("R2C",#REF!),"")</f>
        <v>#REF!</v>
      </c>
      <c r="AK37" s="46" t="e">
        <f>IF(AND(#REF!="Baja",#REF!="Catastrófico"),CONCATENATE("R2C",#REF!),"")</f>
        <v>#REF!</v>
      </c>
      <c r="AL37" s="46" t="e">
        <f>IF(AND(#REF!="Baja",#REF!="Catastrófico"),CONCATENATE("R2C",#REF!),"")</f>
        <v>#REF!</v>
      </c>
      <c r="AM37" s="47" t="e">
        <f>IF(AND(#REF!="Baja",#REF!="Catastrófico"),CONCATENATE("R2C",#REF!),"")</f>
        <v>#REF!</v>
      </c>
      <c r="AN37" s="73"/>
      <c r="AO37" s="781"/>
      <c r="AP37" s="782"/>
      <c r="AQ37" s="782"/>
      <c r="AR37" s="782"/>
      <c r="AS37" s="782"/>
      <c r="AT37" s="783"/>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row>
    <row r="38" spans="1:80" ht="15" customHeight="1" x14ac:dyDescent="0.25">
      <c r="A38" s="73"/>
      <c r="B38" s="709"/>
      <c r="C38" s="709"/>
      <c r="D38" s="710"/>
      <c r="E38" s="750"/>
      <c r="F38" s="751"/>
      <c r="G38" s="751"/>
      <c r="H38" s="751"/>
      <c r="I38" s="751"/>
      <c r="J38" s="66" t="e">
        <f>IF(AND(#REF!="Baja",#REF!="Leve"),CONCATENATE("R3C",#REF!),"")</f>
        <v>#REF!</v>
      </c>
      <c r="K38" s="67" t="e">
        <f>IF(AND(#REF!="Baja",#REF!="Leve"),CONCATENATE("R3C",#REF!),"")</f>
        <v>#REF!</v>
      </c>
      <c r="L38" s="67" t="e">
        <f>IF(AND(#REF!="Baja",#REF!="Leve"),CONCATENATE("R3C",#REF!),"")</f>
        <v>#REF!</v>
      </c>
      <c r="M38" s="67" t="e">
        <f>IF(AND(#REF!="Baja",#REF!="Leve"),CONCATENATE("R3C",#REF!),"")</f>
        <v>#REF!</v>
      </c>
      <c r="N38" s="67" t="e">
        <f>IF(AND(#REF!="Baja",#REF!="Leve"),CONCATENATE("R3C",#REF!),"")</f>
        <v>#REF!</v>
      </c>
      <c r="O38" s="68" t="e">
        <f>IF(AND(#REF!="Baja",#REF!="Leve"),CONCATENATE("R3C",#REF!),"")</f>
        <v>#REF!</v>
      </c>
      <c r="P38" s="57" t="e">
        <f>IF(AND(#REF!="Baja",#REF!="Menor"),CONCATENATE("R3C",#REF!),"")</f>
        <v>#REF!</v>
      </c>
      <c r="Q38" s="58" t="e">
        <f>IF(AND(#REF!="Baja",#REF!="Menor"),CONCATENATE("R3C",#REF!),"")</f>
        <v>#REF!</v>
      </c>
      <c r="R38" s="58" t="e">
        <f>IF(AND(#REF!="Baja",#REF!="Menor"),CONCATENATE("R3C",#REF!),"")</f>
        <v>#REF!</v>
      </c>
      <c r="S38" s="58" t="e">
        <f>IF(AND(#REF!="Baja",#REF!="Menor"),CONCATENATE("R3C",#REF!),"")</f>
        <v>#REF!</v>
      </c>
      <c r="T38" s="58" t="e">
        <f>IF(AND(#REF!="Baja",#REF!="Menor"),CONCATENATE("R3C",#REF!),"")</f>
        <v>#REF!</v>
      </c>
      <c r="U38" s="59" t="e">
        <f>IF(AND(#REF!="Baja",#REF!="Menor"),CONCATENATE("R3C",#REF!),"")</f>
        <v>#REF!</v>
      </c>
      <c r="V38" s="57" t="e">
        <f>IF(AND(#REF!="Baja",#REF!="Moderado"),CONCATENATE("R3C",#REF!),"")</f>
        <v>#REF!</v>
      </c>
      <c r="W38" s="58" t="e">
        <f>IF(AND(#REF!="Baja",#REF!="Moderado"),CONCATENATE("R3C",#REF!),"")</f>
        <v>#REF!</v>
      </c>
      <c r="X38" s="58" t="e">
        <f>IF(AND(#REF!="Baja",#REF!="Moderado"),CONCATENATE("R3C",#REF!),"")</f>
        <v>#REF!</v>
      </c>
      <c r="Y38" s="58" t="e">
        <f>IF(AND(#REF!="Baja",#REF!="Moderado"),CONCATENATE("R3C",#REF!),"")</f>
        <v>#REF!</v>
      </c>
      <c r="Z38" s="58" t="e">
        <f>IF(AND(#REF!="Baja",#REF!="Moderado"),CONCATENATE("R3C",#REF!),"")</f>
        <v>#REF!</v>
      </c>
      <c r="AA38" s="59" t="e">
        <f>IF(AND(#REF!="Baja",#REF!="Moderado"),CONCATENATE("R3C",#REF!),"")</f>
        <v>#REF!</v>
      </c>
      <c r="AB38" s="42" t="e">
        <f>IF(AND(#REF!="Baja",#REF!="Mayor"),CONCATENATE("R3C",#REF!),"")</f>
        <v>#REF!</v>
      </c>
      <c r="AC38" s="43" t="e">
        <f>IF(AND(#REF!="Baja",#REF!="Mayor"),CONCATENATE("R3C",#REF!),"")</f>
        <v>#REF!</v>
      </c>
      <c r="AD38" s="43" t="e">
        <f>IF(AND(#REF!="Baja",#REF!="Mayor"),CONCATENATE("R3C",#REF!),"")</f>
        <v>#REF!</v>
      </c>
      <c r="AE38" s="43" t="e">
        <f>IF(AND(#REF!="Baja",#REF!="Mayor"),CONCATENATE("R3C",#REF!),"")</f>
        <v>#REF!</v>
      </c>
      <c r="AF38" s="43" t="e">
        <f>IF(AND(#REF!="Baja",#REF!="Mayor"),CONCATENATE("R3C",#REF!),"")</f>
        <v>#REF!</v>
      </c>
      <c r="AG38" s="44" t="e">
        <f>IF(AND(#REF!="Baja",#REF!="Mayor"),CONCATENATE("R3C",#REF!),"")</f>
        <v>#REF!</v>
      </c>
      <c r="AH38" s="45" t="e">
        <f>IF(AND(#REF!="Baja",#REF!="Catastrófico"),CONCATENATE("R3C",#REF!),"")</f>
        <v>#REF!</v>
      </c>
      <c r="AI38" s="46" t="e">
        <f>IF(AND(#REF!="Baja",#REF!="Catastrófico"),CONCATENATE("R3C",#REF!),"")</f>
        <v>#REF!</v>
      </c>
      <c r="AJ38" s="46" t="e">
        <f>IF(AND(#REF!="Baja",#REF!="Catastrófico"),CONCATENATE("R3C",#REF!),"")</f>
        <v>#REF!</v>
      </c>
      <c r="AK38" s="46" t="e">
        <f>IF(AND(#REF!="Baja",#REF!="Catastrófico"),CONCATENATE("R3C",#REF!),"")</f>
        <v>#REF!</v>
      </c>
      <c r="AL38" s="46" t="e">
        <f>IF(AND(#REF!="Baja",#REF!="Catastrófico"),CONCATENATE("R3C",#REF!),"")</f>
        <v>#REF!</v>
      </c>
      <c r="AM38" s="47" t="e">
        <f>IF(AND(#REF!="Baja",#REF!="Catastrófico"),CONCATENATE("R3C",#REF!),"")</f>
        <v>#REF!</v>
      </c>
      <c r="AN38" s="73"/>
      <c r="AO38" s="781"/>
      <c r="AP38" s="782"/>
      <c r="AQ38" s="782"/>
      <c r="AR38" s="782"/>
      <c r="AS38" s="782"/>
      <c r="AT38" s="78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row>
    <row r="39" spans="1:80" ht="15" customHeight="1" x14ac:dyDescent="0.25">
      <c r="A39" s="73"/>
      <c r="B39" s="709"/>
      <c r="C39" s="709"/>
      <c r="D39" s="710"/>
      <c r="E39" s="750"/>
      <c r="F39" s="751"/>
      <c r="G39" s="751"/>
      <c r="H39" s="751"/>
      <c r="I39" s="751"/>
      <c r="J39" s="66" t="e">
        <f>IF(AND(#REF!="Baja",#REF!="Leve"),CONCATENATE("R4C",#REF!),"")</f>
        <v>#REF!</v>
      </c>
      <c r="K39" s="67" t="e">
        <f>IF(AND(#REF!="Baja",#REF!="Leve"),CONCATENATE("R4C",#REF!),"")</f>
        <v>#REF!</v>
      </c>
      <c r="L39" s="67" t="e">
        <f>IF(AND(#REF!="Baja",#REF!="Leve"),CONCATENATE("R4C",#REF!),"")</f>
        <v>#REF!</v>
      </c>
      <c r="M39" s="67" t="e">
        <f>IF(AND(#REF!="Baja",#REF!="Leve"),CONCATENATE("R4C",#REF!),"")</f>
        <v>#REF!</v>
      </c>
      <c r="N39" s="67" t="e">
        <f>IF(AND(#REF!="Baja",#REF!="Leve"),CONCATENATE("R4C",#REF!),"")</f>
        <v>#REF!</v>
      </c>
      <c r="O39" s="68" t="e">
        <f>IF(AND(#REF!="Baja",#REF!="Leve"),CONCATENATE("R4C",#REF!),"")</f>
        <v>#REF!</v>
      </c>
      <c r="P39" s="57" t="e">
        <f>IF(AND(#REF!="Baja",#REF!="Menor"),CONCATENATE("R4C",#REF!),"")</f>
        <v>#REF!</v>
      </c>
      <c r="Q39" s="58" t="e">
        <f>IF(AND(#REF!="Baja",#REF!="Menor"),CONCATENATE("R4C",#REF!),"")</f>
        <v>#REF!</v>
      </c>
      <c r="R39" s="58" t="e">
        <f>IF(AND(#REF!="Baja",#REF!="Menor"),CONCATENATE("R4C",#REF!),"")</f>
        <v>#REF!</v>
      </c>
      <c r="S39" s="58" t="e">
        <f>IF(AND(#REF!="Baja",#REF!="Menor"),CONCATENATE("R4C",#REF!),"")</f>
        <v>#REF!</v>
      </c>
      <c r="T39" s="58" t="e">
        <f>IF(AND(#REF!="Baja",#REF!="Menor"),CONCATENATE("R4C",#REF!),"")</f>
        <v>#REF!</v>
      </c>
      <c r="U39" s="59" t="e">
        <f>IF(AND(#REF!="Baja",#REF!="Menor"),CONCATENATE("R4C",#REF!),"")</f>
        <v>#REF!</v>
      </c>
      <c r="V39" s="57" t="e">
        <f>IF(AND(#REF!="Baja",#REF!="Moderado"),CONCATENATE("R4C",#REF!),"")</f>
        <v>#REF!</v>
      </c>
      <c r="W39" s="58" t="e">
        <f>IF(AND(#REF!="Baja",#REF!="Moderado"),CONCATENATE("R4C",#REF!),"")</f>
        <v>#REF!</v>
      </c>
      <c r="X39" s="58" t="e">
        <f>IF(AND(#REF!="Baja",#REF!="Moderado"),CONCATENATE("R4C",#REF!),"")</f>
        <v>#REF!</v>
      </c>
      <c r="Y39" s="58" t="e">
        <f>IF(AND(#REF!="Baja",#REF!="Moderado"),CONCATENATE("R4C",#REF!),"")</f>
        <v>#REF!</v>
      </c>
      <c r="Z39" s="58" t="e">
        <f>IF(AND(#REF!="Baja",#REF!="Moderado"),CONCATENATE("R4C",#REF!),"")</f>
        <v>#REF!</v>
      </c>
      <c r="AA39" s="59" t="e">
        <f>IF(AND(#REF!="Baja",#REF!="Moderado"),CONCATENATE("R4C",#REF!),"")</f>
        <v>#REF!</v>
      </c>
      <c r="AB39" s="42" t="e">
        <f>IF(AND(#REF!="Baja",#REF!="Mayor"),CONCATENATE("R4C",#REF!),"")</f>
        <v>#REF!</v>
      </c>
      <c r="AC39" s="43" t="e">
        <f>IF(AND(#REF!="Baja",#REF!="Mayor"),CONCATENATE("R4C",#REF!),"")</f>
        <v>#REF!</v>
      </c>
      <c r="AD39" s="43" t="e">
        <f>IF(AND(#REF!="Baja",#REF!="Mayor"),CONCATENATE("R4C",#REF!),"")</f>
        <v>#REF!</v>
      </c>
      <c r="AE39" s="43" t="e">
        <f>IF(AND(#REF!="Baja",#REF!="Mayor"),CONCATENATE("R4C",#REF!),"")</f>
        <v>#REF!</v>
      </c>
      <c r="AF39" s="43" t="e">
        <f>IF(AND(#REF!="Baja",#REF!="Mayor"),CONCATENATE("R4C",#REF!),"")</f>
        <v>#REF!</v>
      </c>
      <c r="AG39" s="44" t="e">
        <f>IF(AND(#REF!="Baja",#REF!="Mayor"),CONCATENATE("R4C",#REF!),"")</f>
        <v>#REF!</v>
      </c>
      <c r="AH39" s="45" t="e">
        <f>IF(AND(#REF!="Baja",#REF!="Catastrófico"),CONCATENATE("R4C",#REF!),"")</f>
        <v>#REF!</v>
      </c>
      <c r="AI39" s="46" t="e">
        <f>IF(AND(#REF!="Baja",#REF!="Catastrófico"),CONCATENATE("R4C",#REF!),"")</f>
        <v>#REF!</v>
      </c>
      <c r="AJ39" s="46" t="e">
        <f>IF(AND(#REF!="Baja",#REF!="Catastrófico"),CONCATENATE("R4C",#REF!),"")</f>
        <v>#REF!</v>
      </c>
      <c r="AK39" s="46" t="e">
        <f>IF(AND(#REF!="Baja",#REF!="Catastrófico"),CONCATENATE("R4C",#REF!),"")</f>
        <v>#REF!</v>
      </c>
      <c r="AL39" s="46" t="e">
        <f>IF(AND(#REF!="Baja",#REF!="Catastrófico"),CONCATENATE("R4C",#REF!),"")</f>
        <v>#REF!</v>
      </c>
      <c r="AM39" s="47" t="e">
        <f>IF(AND(#REF!="Baja",#REF!="Catastrófico"),CONCATENATE("R4C",#REF!),"")</f>
        <v>#REF!</v>
      </c>
      <c r="AN39" s="73"/>
      <c r="AO39" s="781"/>
      <c r="AP39" s="782"/>
      <c r="AQ39" s="782"/>
      <c r="AR39" s="782"/>
      <c r="AS39" s="782"/>
      <c r="AT39" s="78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row>
    <row r="40" spans="1:80" ht="15" customHeight="1" x14ac:dyDescent="0.25">
      <c r="A40" s="73"/>
      <c r="B40" s="709"/>
      <c r="C40" s="709"/>
      <c r="D40" s="710"/>
      <c r="E40" s="750"/>
      <c r="F40" s="751"/>
      <c r="G40" s="751"/>
      <c r="H40" s="751"/>
      <c r="I40" s="751"/>
      <c r="J40" s="66" t="e">
        <f>IF(AND(#REF!="Baja",#REF!="Leve"),CONCATENATE("R5C",#REF!),"")</f>
        <v>#REF!</v>
      </c>
      <c r="K40" s="67" t="e">
        <f>IF(AND(#REF!="Baja",#REF!="Leve"),CONCATENATE("R5C",#REF!),"")</f>
        <v>#REF!</v>
      </c>
      <c r="L40" s="67" t="e">
        <f>IF(AND(#REF!="Baja",#REF!="Leve"),CONCATENATE("R5C",#REF!),"")</f>
        <v>#REF!</v>
      </c>
      <c r="M40" s="67" t="e">
        <f>IF(AND(#REF!="Baja",#REF!="Leve"),CONCATENATE("R5C",#REF!),"")</f>
        <v>#REF!</v>
      </c>
      <c r="N40" s="67" t="e">
        <f>IF(AND(#REF!="Baja",#REF!="Leve"),CONCATENATE("R5C",#REF!),"")</f>
        <v>#REF!</v>
      </c>
      <c r="O40" s="68" t="e">
        <f>IF(AND(#REF!="Baja",#REF!="Leve"),CONCATENATE("R5C",#REF!),"")</f>
        <v>#REF!</v>
      </c>
      <c r="P40" s="57" t="e">
        <f>IF(AND(#REF!="Baja",#REF!="Menor"),CONCATENATE("R5C",#REF!),"")</f>
        <v>#REF!</v>
      </c>
      <c r="Q40" s="58" t="e">
        <f>IF(AND(#REF!="Baja",#REF!="Menor"),CONCATENATE("R5C",#REF!),"")</f>
        <v>#REF!</v>
      </c>
      <c r="R40" s="58" t="e">
        <f>IF(AND(#REF!="Baja",#REF!="Menor"),CONCATENATE("R5C",#REF!),"")</f>
        <v>#REF!</v>
      </c>
      <c r="S40" s="58" t="e">
        <f>IF(AND(#REF!="Baja",#REF!="Menor"),CONCATENATE("R5C",#REF!),"")</f>
        <v>#REF!</v>
      </c>
      <c r="T40" s="58" t="e">
        <f>IF(AND(#REF!="Baja",#REF!="Menor"),CONCATENATE("R5C",#REF!),"")</f>
        <v>#REF!</v>
      </c>
      <c r="U40" s="59" t="e">
        <f>IF(AND(#REF!="Baja",#REF!="Menor"),CONCATENATE("R5C",#REF!),"")</f>
        <v>#REF!</v>
      </c>
      <c r="V40" s="57" t="e">
        <f>IF(AND(#REF!="Baja",#REF!="Moderado"),CONCATENATE("R5C",#REF!),"")</f>
        <v>#REF!</v>
      </c>
      <c r="W40" s="58" t="e">
        <f>IF(AND(#REF!="Baja",#REF!="Moderado"),CONCATENATE("R5C",#REF!),"")</f>
        <v>#REF!</v>
      </c>
      <c r="X40" s="58" t="e">
        <f>IF(AND(#REF!="Baja",#REF!="Moderado"),CONCATENATE("R5C",#REF!),"")</f>
        <v>#REF!</v>
      </c>
      <c r="Y40" s="58" t="e">
        <f>IF(AND(#REF!="Baja",#REF!="Moderado"),CONCATENATE("R5C",#REF!),"")</f>
        <v>#REF!</v>
      </c>
      <c r="Z40" s="58" t="e">
        <f>IF(AND(#REF!="Baja",#REF!="Moderado"),CONCATENATE("R5C",#REF!),"")</f>
        <v>#REF!</v>
      </c>
      <c r="AA40" s="59" t="e">
        <f>IF(AND(#REF!="Baja",#REF!="Moderado"),CONCATENATE("R5C",#REF!),"")</f>
        <v>#REF!</v>
      </c>
      <c r="AB40" s="42" t="e">
        <f>IF(AND(#REF!="Baja",#REF!="Mayor"),CONCATENATE("R5C",#REF!),"")</f>
        <v>#REF!</v>
      </c>
      <c r="AC40" s="43" t="e">
        <f>IF(AND(#REF!="Baja",#REF!="Mayor"),CONCATENATE("R5C",#REF!),"")</f>
        <v>#REF!</v>
      </c>
      <c r="AD40" s="43" t="e">
        <f>IF(AND(#REF!="Baja",#REF!="Mayor"),CONCATENATE("R5C",#REF!),"")</f>
        <v>#REF!</v>
      </c>
      <c r="AE40" s="43" t="e">
        <f>IF(AND(#REF!="Baja",#REF!="Mayor"),CONCATENATE("R5C",#REF!),"")</f>
        <v>#REF!</v>
      </c>
      <c r="AF40" s="43" t="e">
        <f>IF(AND(#REF!="Baja",#REF!="Mayor"),CONCATENATE("R5C",#REF!),"")</f>
        <v>#REF!</v>
      </c>
      <c r="AG40" s="44" t="e">
        <f>IF(AND(#REF!="Baja",#REF!="Mayor"),CONCATENATE("R5C",#REF!),"")</f>
        <v>#REF!</v>
      </c>
      <c r="AH40" s="45" t="e">
        <f>IF(AND(#REF!="Baja",#REF!="Catastrófico"),CONCATENATE("R5C",#REF!),"")</f>
        <v>#REF!</v>
      </c>
      <c r="AI40" s="46" t="e">
        <f>IF(AND(#REF!="Baja",#REF!="Catastrófico"),CONCATENATE("R5C",#REF!),"")</f>
        <v>#REF!</v>
      </c>
      <c r="AJ40" s="46" t="e">
        <f>IF(AND(#REF!="Baja",#REF!="Catastrófico"),CONCATENATE("R5C",#REF!),"")</f>
        <v>#REF!</v>
      </c>
      <c r="AK40" s="46" t="e">
        <f>IF(AND(#REF!="Baja",#REF!="Catastrófico"),CONCATENATE("R5C",#REF!),"")</f>
        <v>#REF!</v>
      </c>
      <c r="AL40" s="46" t="e">
        <f>IF(AND(#REF!="Baja",#REF!="Catastrófico"),CONCATENATE("R5C",#REF!),"")</f>
        <v>#REF!</v>
      </c>
      <c r="AM40" s="47" t="e">
        <f>IF(AND(#REF!="Baja",#REF!="Catastrófico"),CONCATENATE("R5C",#REF!),"")</f>
        <v>#REF!</v>
      </c>
      <c r="AN40" s="73"/>
      <c r="AO40" s="781"/>
      <c r="AP40" s="782"/>
      <c r="AQ40" s="782"/>
      <c r="AR40" s="782"/>
      <c r="AS40" s="782"/>
      <c r="AT40" s="78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row>
    <row r="41" spans="1:80" ht="15" customHeight="1" x14ac:dyDescent="0.25">
      <c r="A41" s="73"/>
      <c r="B41" s="709"/>
      <c r="C41" s="709"/>
      <c r="D41" s="710"/>
      <c r="E41" s="750"/>
      <c r="F41" s="751"/>
      <c r="G41" s="751"/>
      <c r="H41" s="751"/>
      <c r="I41" s="751"/>
      <c r="J41" s="66" t="e">
        <f>IF(AND(#REF!="Baja",#REF!="Leve"),CONCATENATE("R6C",#REF!),"")</f>
        <v>#REF!</v>
      </c>
      <c r="K41" s="67" t="e">
        <f>IF(AND(#REF!="Baja",#REF!="Leve"),CONCATENATE("R6C",#REF!),"")</f>
        <v>#REF!</v>
      </c>
      <c r="L41" s="67" t="e">
        <f>IF(AND(#REF!="Baja",#REF!="Leve"),CONCATENATE("R6C",#REF!),"")</f>
        <v>#REF!</v>
      </c>
      <c r="M41" s="67" t="e">
        <f>IF(AND(#REF!="Baja",#REF!="Leve"),CONCATENATE("R6C",#REF!),"")</f>
        <v>#REF!</v>
      </c>
      <c r="N41" s="67" t="e">
        <f>IF(AND(#REF!="Baja",#REF!="Leve"),CONCATENATE("R6C",#REF!),"")</f>
        <v>#REF!</v>
      </c>
      <c r="O41" s="68" t="e">
        <f>IF(AND(#REF!="Baja",#REF!="Leve"),CONCATENATE("R6C",#REF!),"")</f>
        <v>#REF!</v>
      </c>
      <c r="P41" s="57" t="e">
        <f>IF(AND(#REF!="Baja",#REF!="Menor"),CONCATENATE("R6C",#REF!),"")</f>
        <v>#REF!</v>
      </c>
      <c r="Q41" s="58" t="e">
        <f>IF(AND(#REF!="Baja",#REF!="Menor"),CONCATENATE("R6C",#REF!),"")</f>
        <v>#REF!</v>
      </c>
      <c r="R41" s="58" t="e">
        <f>IF(AND(#REF!="Baja",#REF!="Menor"),CONCATENATE("R6C",#REF!),"")</f>
        <v>#REF!</v>
      </c>
      <c r="S41" s="58" t="e">
        <f>IF(AND(#REF!="Baja",#REF!="Menor"),CONCATENATE("R6C",#REF!),"")</f>
        <v>#REF!</v>
      </c>
      <c r="T41" s="58" t="e">
        <f>IF(AND(#REF!="Baja",#REF!="Menor"),CONCATENATE("R6C",#REF!),"")</f>
        <v>#REF!</v>
      </c>
      <c r="U41" s="59" t="e">
        <f>IF(AND(#REF!="Baja",#REF!="Menor"),CONCATENATE("R6C",#REF!),"")</f>
        <v>#REF!</v>
      </c>
      <c r="V41" s="57" t="e">
        <f>IF(AND(#REF!="Baja",#REF!="Moderado"),CONCATENATE("R6C",#REF!),"")</f>
        <v>#REF!</v>
      </c>
      <c r="W41" s="58" t="e">
        <f>IF(AND(#REF!="Baja",#REF!="Moderado"),CONCATENATE("R6C",#REF!),"")</f>
        <v>#REF!</v>
      </c>
      <c r="X41" s="58" t="e">
        <f>IF(AND(#REF!="Baja",#REF!="Moderado"),CONCATENATE("R6C",#REF!),"")</f>
        <v>#REF!</v>
      </c>
      <c r="Y41" s="58" t="e">
        <f>IF(AND(#REF!="Baja",#REF!="Moderado"),CONCATENATE("R6C",#REF!),"")</f>
        <v>#REF!</v>
      </c>
      <c r="Z41" s="58" t="e">
        <f>IF(AND(#REF!="Baja",#REF!="Moderado"),CONCATENATE("R6C",#REF!),"")</f>
        <v>#REF!</v>
      </c>
      <c r="AA41" s="59" t="e">
        <f>IF(AND(#REF!="Baja",#REF!="Moderado"),CONCATENATE("R6C",#REF!),"")</f>
        <v>#REF!</v>
      </c>
      <c r="AB41" s="42" t="e">
        <f>IF(AND(#REF!="Baja",#REF!="Mayor"),CONCATENATE("R6C",#REF!),"")</f>
        <v>#REF!</v>
      </c>
      <c r="AC41" s="43" t="e">
        <f>IF(AND(#REF!="Baja",#REF!="Mayor"),CONCATENATE("R6C",#REF!),"")</f>
        <v>#REF!</v>
      </c>
      <c r="AD41" s="43" t="e">
        <f>IF(AND(#REF!="Baja",#REF!="Mayor"),CONCATENATE("R6C",#REF!),"")</f>
        <v>#REF!</v>
      </c>
      <c r="AE41" s="43" t="e">
        <f>IF(AND(#REF!="Baja",#REF!="Mayor"),CONCATENATE("R6C",#REF!),"")</f>
        <v>#REF!</v>
      </c>
      <c r="AF41" s="43" t="e">
        <f>IF(AND(#REF!="Baja",#REF!="Mayor"),CONCATENATE("R6C",#REF!),"")</f>
        <v>#REF!</v>
      </c>
      <c r="AG41" s="44" t="e">
        <f>IF(AND(#REF!="Baja",#REF!="Mayor"),CONCATENATE("R6C",#REF!),"")</f>
        <v>#REF!</v>
      </c>
      <c r="AH41" s="45" t="e">
        <f>IF(AND(#REF!="Baja",#REF!="Catastrófico"),CONCATENATE("R6C",#REF!),"")</f>
        <v>#REF!</v>
      </c>
      <c r="AI41" s="46" t="e">
        <f>IF(AND(#REF!="Baja",#REF!="Catastrófico"),CONCATENATE("R6C",#REF!),"")</f>
        <v>#REF!</v>
      </c>
      <c r="AJ41" s="46" t="e">
        <f>IF(AND(#REF!="Baja",#REF!="Catastrófico"),CONCATENATE("R6C",#REF!),"")</f>
        <v>#REF!</v>
      </c>
      <c r="AK41" s="46" t="e">
        <f>IF(AND(#REF!="Baja",#REF!="Catastrófico"),CONCATENATE("R6C",#REF!),"")</f>
        <v>#REF!</v>
      </c>
      <c r="AL41" s="46" t="e">
        <f>IF(AND(#REF!="Baja",#REF!="Catastrófico"),CONCATENATE("R6C",#REF!),"")</f>
        <v>#REF!</v>
      </c>
      <c r="AM41" s="47" t="e">
        <f>IF(AND(#REF!="Baja",#REF!="Catastrófico"),CONCATENATE("R6C",#REF!),"")</f>
        <v>#REF!</v>
      </c>
      <c r="AN41" s="73"/>
      <c r="AO41" s="781"/>
      <c r="AP41" s="782"/>
      <c r="AQ41" s="782"/>
      <c r="AR41" s="782"/>
      <c r="AS41" s="782"/>
      <c r="AT41" s="78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row>
    <row r="42" spans="1:80" ht="15" customHeight="1" x14ac:dyDescent="0.25">
      <c r="A42" s="73"/>
      <c r="B42" s="709"/>
      <c r="C42" s="709"/>
      <c r="D42" s="710"/>
      <c r="E42" s="750"/>
      <c r="F42" s="751"/>
      <c r="G42" s="751"/>
      <c r="H42" s="751"/>
      <c r="I42" s="751"/>
      <c r="J42" s="66" t="e">
        <f>IF(AND(#REF!="Baja",#REF!="Leve"),CONCATENATE("R7C",#REF!),"")</f>
        <v>#REF!</v>
      </c>
      <c r="K42" s="67" t="e">
        <f>IF(AND(#REF!="Baja",#REF!="Leve"),CONCATENATE("R7C",#REF!),"")</f>
        <v>#REF!</v>
      </c>
      <c r="L42" s="67" t="e">
        <f>IF(AND(#REF!="Baja",#REF!="Leve"),CONCATENATE("R7C",#REF!),"")</f>
        <v>#REF!</v>
      </c>
      <c r="M42" s="67" t="e">
        <f>IF(AND(#REF!="Baja",#REF!="Leve"),CONCATENATE("R7C",#REF!),"")</f>
        <v>#REF!</v>
      </c>
      <c r="N42" s="67" t="e">
        <f>IF(AND(#REF!="Baja",#REF!="Leve"),CONCATENATE("R7C",#REF!),"")</f>
        <v>#REF!</v>
      </c>
      <c r="O42" s="68" t="e">
        <f>IF(AND(#REF!="Baja",#REF!="Leve"),CONCATENATE("R7C",#REF!),"")</f>
        <v>#REF!</v>
      </c>
      <c r="P42" s="57" t="e">
        <f>IF(AND(#REF!="Baja",#REF!="Menor"),CONCATENATE("R7C",#REF!),"")</f>
        <v>#REF!</v>
      </c>
      <c r="Q42" s="58" t="e">
        <f>IF(AND(#REF!="Baja",#REF!="Menor"),CONCATENATE("R7C",#REF!),"")</f>
        <v>#REF!</v>
      </c>
      <c r="R42" s="58" t="e">
        <f>IF(AND(#REF!="Baja",#REF!="Menor"),CONCATENATE("R7C",#REF!),"")</f>
        <v>#REF!</v>
      </c>
      <c r="S42" s="58" t="e">
        <f>IF(AND(#REF!="Baja",#REF!="Menor"),CONCATENATE("R7C",#REF!),"")</f>
        <v>#REF!</v>
      </c>
      <c r="T42" s="58" t="e">
        <f>IF(AND(#REF!="Baja",#REF!="Menor"),CONCATENATE("R7C",#REF!),"")</f>
        <v>#REF!</v>
      </c>
      <c r="U42" s="59" t="e">
        <f>IF(AND(#REF!="Baja",#REF!="Menor"),CONCATENATE("R7C",#REF!),"")</f>
        <v>#REF!</v>
      </c>
      <c r="V42" s="57" t="e">
        <f>IF(AND(#REF!="Baja",#REF!="Moderado"),CONCATENATE("R7C",#REF!),"")</f>
        <v>#REF!</v>
      </c>
      <c r="W42" s="58" t="e">
        <f>IF(AND(#REF!="Baja",#REF!="Moderado"),CONCATENATE("R7C",#REF!),"")</f>
        <v>#REF!</v>
      </c>
      <c r="X42" s="58" t="e">
        <f>IF(AND(#REF!="Baja",#REF!="Moderado"),CONCATENATE("R7C",#REF!),"")</f>
        <v>#REF!</v>
      </c>
      <c r="Y42" s="58" t="e">
        <f>IF(AND(#REF!="Baja",#REF!="Moderado"),CONCATENATE("R7C",#REF!),"")</f>
        <v>#REF!</v>
      </c>
      <c r="Z42" s="58" t="e">
        <f>IF(AND(#REF!="Baja",#REF!="Moderado"),CONCATENATE("R7C",#REF!),"")</f>
        <v>#REF!</v>
      </c>
      <c r="AA42" s="59" t="e">
        <f>IF(AND(#REF!="Baja",#REF!="Moderado"),CONCATENATE("R7C",#REF!),"")</f>
        <v>#REF!</v>
      </c>
      <c r="AB42" s="42" t="e">
        <f>IF(AND(#REF!="Baja",#REF!="Mayor"),CONCATENATE("R7C",#REF!),"")</f>
        <v>#REF!</v>
      </c>
      <c r="AC42" s="43" t="e">
        <f>IF(AND(#REF!="Baja",#REF!="Mayor"),CONCATENATE("R7C",#REF!),"")</f>
        <v>#REF!</v>
      </c>
      <c r="AD42" s="43" t="e">
        <f>IF(AND(#REF!="Baja",#REF!="Mayor"),CONCATENATE("R7C",#REF!),"")</f>
        <v>#REF!</v>
      </c>
      <c r="AE42" s="43" t="e">
        <f>IF(AND(#REF!="Baja",#REF!="Mayor"),CONCATENATE("R7C",#REF!),"")</f>
        <v>#REF!</v>
      </c>
      <c r="AF42" s="43" t="e">
        <f>IF(AND(#REF!="Baja",#REF!="Mayor"),CONCATENATE("R7C",#REF!),"")</f>
        <v>#REF!</v>
      </c>
      <c r="AG42" s="44" t="e">
        <f>IF(AND(#REF!="Baja",#REF!="Mayor"),CONCATENATE("R7C",#REF!),"")</f>
        <v>#REF!</v>
      </c>
      <c r="AH42" s="45" t="e">
        <f>IF(AND(#REF!="Baja",#REF!="Catastrófico"),CONCATENATE("R7C",#REF!),"")</f>
        <v>#REF!</v>
      </c>
      <c r="AI42" s="46" t="e">
        <f>IF(AND(#REF!="Baja",#REF!="Catastrófico"),CONCATENATE("R7C",#REF!),"")</f>
        <v>#REF!</v>
      </c>
      <c r="AJ42" s="46" t="e">
        <f>IF(AND(#REF!="Baja",#REF!="Catastrófico"),CONCATENATE("R7C",#REF!),"")</f>
        <v>#REF!</v>
      </c>
      <c r="AK42" s="46" t="e">
        <f>IF(AND(#REF!="Baja",#REF!="Catastrófico"),CONCATENATE("R7C",#REF!),"")</f>
        <v>#REF!</v>
      </c>
      <c r="AL42" s="46" t="e">
        <f>IF(AND(#REF!="Baja",#REF!="Catastrófico"),CONCATENATE("R7C",#REF!),"")</f>
        <v>#REF!</v>
      </c>
      <c r="AM42" s="47" t="e">
        <f>IF(AND(#REF!="Baja",#REF!="Catastrófico"),CONCATENATE("R7C",#REF!),"")</f>
        <v>#REF!</v>
      </c>
      <c r="AN42" s="73"/>
      <c r="AO42" s="781"/>
      <c r="AP42" s="782"/>
      <c r="AQ42" s="782"/>
      <c r="AR42" s="782"/>
      <c r="AS42" s="782"/>
      <c r="AT42" s="78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row>
    <row r="43" spans="1:80" ht="15" customHeight="1" x14ac:dyDescent="0.25">
      <c r="A43" s="73"/>
      <c r="B43" s="709"/>
      <c r="C43" s="709"/>
      <c r="D43" s="710"/>
      <c r="E43" s="750"/>
      <c r="F43" s="751"/>
      <c r="G43" s="751"/>
      <c r="H43" s="751"/>
      <c r="I43" s="751"/>
      <c r="J43" s="66" t="e">
        <f>IF(AND(#REF!="Baja",#REF!="Leve"),CONCATENATE("R8C",#REF!),"")</f>
        <v>#REF!</v>
      </c>
      <c r="K43" s="67" t="e">
        <f>IF(AND(#REF!="Baja",#REF!="Leve"),CONCATENATE("R8C",#REF!),"")</f>
        <v>#REF!</v>
      </c>
      <c r="L43" s="67" t="e">
        <f>IF(AND(#REF!="Baja",#REF!="Leve"),CONCATENATE("R8C",#REF!),"")</f>
        <v>#REF!</v>
      </c>
      <c r="M43" s="67" t="e">
        <f>IF(AND(#REF!="Baja",#REF!="Leve"),CONCATENATE("R8C",#REF!),"")</f>
        <v>#REF!</v>
      </c>
      <c r="N43" s="67" t="e">
        <f>IF(AND(#REF!="Baja",#REF!="Leve"),CONCATENATE("R8C",#REF!),"")</f>
        <v>#REF!</v>
      </c>
      <c r="O43" s="68" t="e">
        <f>IF(AND(#REF!="Baja",#REF!="Leve"),CONCATENATE("R8C",#REF!),"")</f>
        <v>#REF!</v>
      </c>
      <c r="P43" s="57" t="e">
        <f>IF(AND(#REF!="Baja",#REF!="Menor"),CONCATENATE("R8C",#REF!),"")</f>
        <v>#REF!</v>
      </c>
      <c r="Q43" s="58" t="e">
        <f>IF(AND(#REF!="Baja",#REF!="Menor"),CONCATENATE("R8C",#REF!),"")</f>
        <v>#REF!</v>
      </c>
      <c r="R43" s="58" t="e">
        <f>IF(AND(#REF!="Baja",#REF!="Menor"),CONCATENATE("R8C",#REF!),"")</f>
        <v>#REF!</v>
      </c>
      <c r="S43" s="58" t="e">
        <f>IF(AND(#REF!="Baja",#REF!="Menor"),CONCATENATE("R8C",#REF!),"")</f>
        <v>#REF!</v>
      </c>
      <c r="T43" s="58" t="e">
        <f>IF(AND(#REF!="Baja",#REF!="Menor"),CONCATENATE("R8C",#REF!),"")</f>
        <v>#REF!</v>
      </c>
      <c r="U43" s="59" t="e">
        <f>IF(AND(#REF!="Baja",#REF!="Menor"),CONCATENATE("R8C",#REF!),"")</f>
        <v>#REF!</v>
      </c>
      <c r="V43" s="57" t="e">
        <f>IF(AND(#REF!="Baja",#REF!="Moderado"),CONCATENATE("R8C",#REF!),"")</f>
        <v>#REF!</v>
      </c>
      <c r="W43" s="58" t="e">
        <f>IF(AND(#REF!="Baja",#REF!="Moderado"),CONCATENATE("R8C",#REF!),"")</f>
        <v>#REF!</v>
      </c>
      <c r="X43" s="58" t="e">
        <f>IF(AND(#REF!="Baja",#REF!="Moderado"),CONCATENATE("R8C",#REF!),"")</f>
        <v>#REF!</v>
      </c>
      <c r="Y43" s="58" t="e">
        <f>IF(AND(#REF!="Baja",#REF!="Moderado"),CONCATENATE("R8C",#REF!),"")</f>
        <v>#REF!</v>
      </c>
      <c r="Z43" s="58" t="e">
        <f>IF(AND(#REF!="Baja",#REF!="Moderado"),CONCATENATE("R8C",#REF!),"")</f>
        <v>#REF!</v>
      </c>
      <c r="AA43" s="59" t="e">
        <f>IF(AND(#REF!="Baja",#REF!="Moderado"),CONCATENATE("R8C",#REF!),"")</f>
        <v>#REF!</v>
      </c>
      <c r="AB43" s="42" t="e">
        <f>IF(AND(#REF!="Baja",#REF!="Mayor"),CONCATENATE("R8C",#REF!),"")</f>
        <v>#REF!</v>
      </c>
      <c r="AC43" s="43" t="e">
        <f>IF(AND(#REF!="Baja",#REF!="Mayor"),CONCATENATE("R8C",#REF!),"")</f>
        <v>#REF!</v>
      </c>
      <c r="AD43" s="43" t="e">
        <f>IF(AND(#REF!="Baja",#REF!="Mayor"),CONCATENATE("R8C",#REF!),"")</f>
        <v>#REF!</v>
      </c>
      <c r="AE43" s="43" t="e">
        <f>IF(AND(#REF!="Baja",#REF!="Mayor"),CONCATENATE("R8C",#REF!),"")</f>
        <v>#REF!</v>
      </c>
      <c r="AF43" s="43" t="e">
        <f>IF(AND(#REF!="Baja",#REF!="Mayor"),CONCATENATE("R8C",#REF!),"")</f>
        <v>#REF!</v>
      </c>
      <c r="AG43" s="44" t="e">
        <f>IF(AND(#REF!="Baja",#REF!="Mayor"),CONCATENATE("R8C",#REF!),"")</f>
        <v>#REF!</v>
      </c>
      <c r="AH43" s="45" t="e">
        <f>IF(AND(#REF!="Baja",#REF!="Catastrófico"),CONCATENATE("R8C",#REF!),"")</f>
        <v>#REF!</v>
      </c>
      <c r="AI43" s="46" t="e">
        <f>IF(AND(#REF!="Baja",#REF!="Catastrófico"),CONCATENATE("R8C",#REF!),"")</f>
        <v>#REF!</v>
      </c>
      <c r="AJ43" s="46" t="e">
        <f>IF(AND(#REF!="Baja",#REF!="Catastrófico"),CONCATENATE("R8C",#REF!),"")</f>
        <v>#REF!</v>
      </c>
      <c r="AK43" s="46" t="e">
        <f>IF(AND(#REF!="Baja",#REF!="Catastrófico"),CONCATENATE("R8C",#REF!),"")</f>
        <v>#REF!</v>
      </c>
      <c r="AL43" s="46" t="e">
        <f>IF(AND(#REF!="Baja",#REF!="Catastrófico"),CONCATENATE("R8C",#REF!),"")</f>
        <v>#REF!</v>
      </c>
      <c r="AM43" s="47" t="e">
        <f>IF(AND(#REF!="Baja",#REF!="Catastrófico"),CONCATENATE("R8C",#REF!),"")</f>
        <v>#REF!</v>
      </c>
      <c r="AN43" s="73"/>
      <c r="AO43" s="781"/>
      <c r="AP43" s="782"/>
      <c r="AQ43" s="782"/>
      <c r="AR43" s="782"/>
      <c r="AS43" s="782"/>
      <c r="AT43" s="78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row>
    <row r="44" spans="1:80" ht="15" customHeight="1" x14ac:dyDescent="0.25">
      <c r="A44" s="73"/>
      <c r="B44" s="709"/>
      <c r="C44" s="709"/>
      <c r="D44" s="710"/>
      <c r="E44" s="750"/>
      <c r="F44" s="751"/>
      <c r="G44" s="751"/>
      <c r="H44" s="751"/>
      <c r="I44" s="751"/>
      <c r="J44" s="66" t="e">
        <f>IF(AND(#REF!="Baja",#REF!="Leve"),CONCATENATE("R9C",#REF!),"")</f>
        <v>#REF!</v>
      </c>
      <c r="K44" s="67" t="e">
        <f>IF(AND(#REF!="Baja",#REF!="Leve"),CONCATENATE("R9C",#REF!),"")</f>
        <v>#REF!</v>
      </c>
      <c r="L44" s="67" t="e">
        <f>IF(AND(#REF!="Baja",#REF!="Leve"),CONCATENATE("R9C",#REF!),"")</f>
        <v>#REF!</v>
      </c>
      <c r="M44" s="67" t="e">
        <f>IF(AND(#REF!="Baja",#REF!="Leve"),CONCATENATE("R9C",#REF!),"")</f>
        <v>#REF!</v>
      </c>
      <c r="N44" s="67" t="e">
        <f>IF(AND(#REF!="Baja",#REF!="Leve"),CONCATENATE("R9C",#REF!),"")</f>
        <v>#REF!</v>
      </c>
      <c r="O44" s="68" t="e">
        <f>IF(AND(#REF!="Baja",#REF!="Leve"),CONCATENATE("R9C",#REF!),"")</f>
        <v>#REF!</v>
      </c>
      <c r="P44" s="57" t="e">
        <f>IF(AND(#REF!="Baja",#REF!="Menor"),CONCATENATE("R9C",#REF!),"")</f>
        <v>#REF!</v>
      </c>
      <c r="Q44" s="58" t="e">
        <f>IF(AND(#REF!="Baja",#REF!="Menor"),CONCATENATE("R9C",#REF!),"")</f>
        <v>#REF!</v>
      </c>
      <c r="R44" s="58" t="e">
        <f>IF(AND(#REF!="Baja",#REF!="Menor"),CONCATENATE("R9C",#REF!),"")</f>
        <v>#REF!</v>
      </c>
      <c r="S44" s="58" t="e">
        <f>IF(AND(#REF!="Baja",#REF!="Menor"),CONCATENATE("R9C",#REF!),"")</f>
        <v>#REF!</v>
      </c>
      <c r="T44" s="58" t="e">
        <f>IF(AND(#REF!="Baja",#REF!="Menor"),CONCATENATE("R9C",#REF!),"")</f>
        <v>#REF!</v>
      </c>
      <c r="U44" s="59" t="e">
        <f>IF(AND(#REF!="Baja",#REF!="Menor"),CONCATENATE("R9C",#REF!),"")</f>
        <v>#REF!</v>
      </c>
      <c r="V44" s="57" t="e">
        <f>IF(AND(#REF!="Baja",#REF!="Moderado"),CONCATENATE("R9C",#REF!),"")</f>
        <v>#REF!</v>
      </c>
      <c r="W44" s="58" t="e">
        <f>IF(AND(#REF!="Baja",#REF!="Moderado"),CONCATENATE("R9C",#REF!),"")</f>
        <v>#REF!</v>
      </c>
      <c r="X44" s="58" t="e">
        <f>IF(AND(#REF!="Baja",#REF!="Moderado"),CONCATENATE("R9C",#REF!),"")</f>
        <v>#REF!</v>
      </c>
      <c r="Y44" s="58" t="e">
        <f>IF(AND(#REF!="Baja",#REF!="Moderado"),CONCATENATE("R9C",#REF!),"")</f>
        <v>#REF!</v>
      </c>
      <c r="Z44" s="58" t="e">
        <f>IF(AND(#REF!="Baja",#REF!="Moderado"),CONCATENATE("R9C",#REF!),"")</f>
        <v>#REF!</v>
      </c>
      <c r="AA44" s="59" t="e">
        <f>IF(AND(#REF!="Baja",#REF!="Moderado"),CONCATENATE("R9C",#REF!),"")</f>
        <v>#REF!</v>
      </c>
      <c r="AB44" s="42" t="e">
        <f>IF(AND(#REF!="Baja",#REF!="Mayor"),CONCATENATE("R9C",#REF!),"")</f>
        <v>#REF!</v>
      </c>
      <c r="AC44" s="43" t="e">
        <f>IF(AND(#REF!="Baja",#REF!="Mayor"),CONCATENATE("R9C",#REF!),"")</f>
        <v>#REF!</v>
      </c>
      <c r="AD44" s="43" t="e">
        <f>IF(AND(#REF!="Baja",#REF!="Mayor"),CONCATENATE("R9C",#REF!),"")</f>
        <v>#REF!</v>
      </c>
      <c r="AE44" s="43" t="e">
        <f>IF(AND(#REF!="Baja",#REF!="Mayor"),CONCATENATE("R9C",#REF!),"")</f>
        <v>#REF!</v>
      </c>
      <c r="AF44" s="43" t="e">
        <f>IF(AND(#REF!="Baja",#REF!="Mayor"),CONCATENATE("R9C",#REF!),"")</f>
        <v>#REF!</v>
      </c>
      <c r="AG44" s="44" t="e">
        <f>IF(AND(#REF!="Baja",#REF!="Mayor"),CONCATENATE("R9C",#REF!),"")</f>
        <v>#REF!</v>
      </c>
      <c r="AH44" s="45" t="e">
        <f>IF(AND(#REF!="Baja",#REF!="Catastrófico"),CONCATENATE("R9C",#REF!),"")</f>
        <v>#REF!</v>
      </c>
      <c r="AI44" s="46" t="e">
        <f>IF(AND(#REF!="Baja",#REF!="Catastrófico"),CONCATENATE("R9C",#REF!),"")</f>
        <v>#REF!</v>
      </c>
      <c r="AJ44" s="46" t="e">
        <f>IF(AND(#REF!="Baja",#REF!="Catastrófico"),CONCATENATE("R9C",#REF!),"")</f>
        <v>#REF!</v>
      </c>
      <c r="AK44" s="46" t="e">
        <f>IF(AND(#REF!="Baja",#REF!="Catastrófico"),CONCATENATE("R9C",#REF!),"")</f>
        <v>#REF!</v>
      </c>
      <c r="AL44" s="46" t="e">
        <f>IF(AND(#REF!="Baja",#REF!="Catastrófico"),CONCATENATE("R9C",#REF!),"")</f>
        <v>#REF!</v>
      </c>
      <c r="AM44" s="47" t="e">
        <f>IF(AND(#REF!="Baja",#REF!="Catastrófico"),CONCATENATE("R9C",#REF!),"")</f>
        <v>#REF!</v>
      </c>
      <c r="AN44" s="73"/>
      <c r="AO44" s="781"/>
      <c r="AP44" s="782"/>
      <c r="AQ44" s="782"/>
      <c r="AR44" s="782"/>
      <c r="AS44" s="782"/>
      <c r="AT44" s="78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row>
    <row r="45" spans="1:80" ht="15.75" customHeight="1" thickBot="1" x14ac:dyDescent="0.3">
      <c r="A45" s="73"/>
      <c r="B45" s="709"/>
      <c r="C45" s="709"/>
      <c r="D45" s="710"/>
      <c r="E45" s="753"/>
      <c r="F45" s="754"/>
      <c r="G45" s="754"/>
      <c r="H45" s="754"/>
      <c r="I45" s="754"/>
      <c r="J45" s="69" t="e">
        <f>IF(AND(#REF!="Baja",#REF!="Leve"),CONCATENATE("R10C",#REF!),"")</f>
        <v>#REF!</v>
      </c>
      <c r="K45" s="70" t="e">
        <f>IF(AND(#REF!="Baja",#REF!="Leve"),CONCATENATE("R10C",#REF!),"")</f>
        <v>#REF!</v>
      </c>
      <c r="L45" s="70" t="e">
        <f>IF(AND(#REF!="Baja",#REF!="Leve"),CONCATENATE("R10C",#REF!),"")</f>
        <v>#REF!</v>
      </c>
      <c r="M45" s="70" t="e">
        <f>IF(AND(#REF!="Baja",#REF!="Leve"),CONCATENATE("R10C",#REF!),"")</f>
        <v>#REF!</v>
      </c>
      <c r="N45" s="70" t="e">
        <f>IF(AND(#REF!="Baja",#REF!="Leve"),CONCATENATE("R10C",#REF!),"")</f>
        <v>#REF!</v>
      </c>
      <c r="O45" s="71" t="e">
        <f>IF(AND(#REF!="Baja",#REF!="Leve"),CONCATENATE("R10C",#REF!),"")</f>
        <v>#REF!</v>
      </c>
      <c r="P45" s="57" t="e">
        <f>IF(AND(#REF!="Baja",#REF!="Menor"),CONCATENATE("R10C",#REF!),"")</f>
        <v>#REF!</v>
      </c>
      <c r="Q45" s="58" t="e">
        <f>IF(AND(#REF!="Baja",#REF!="Menor"),CONCATENATE("R10C",#REF!),"")</f>
        <v>#REF!</v>
      </c>
      <c r="R45" s="58" t="e">
        <f>IF(AND(#REF!="Baja",#REF!="Menor"),CONCATENATE("R10C",#REF!),"")</f>
        <v>#REF!</v>
      </c>
      <c r="S45" s="58" t="e">
        <f>IF(AND(#REF!="Baja",#REF!="Menor"),CONCATENATE("R10C",#REF!),"")</f>
        <v>#REF!</v>
      </c>
      <c r="T45" s="58" t="e">
        <f>IF(AND(#REF!="Baja",#REF!="Menor"),CONCATENATE("R10C",#REF!),"")</f>
        <v>#REF!</v>
      </c>
      <c r="U45" s="59" t="e">
        <f>IF(AND(#REF!="Baja",#REF!="Menor"),CONCATENATE("R10C",#REF!),"")</f>
        <v>#REF!</v>
      </c>
      <c r="V45" s="60" t="e">
        <f>IF(AND(#REF!="Baja",#REF!="Moderado"),CONCATENATE("R10C",#REF!),"")</f>
        <v>#REF!</v>
      </c>
      <c r="W45" s="61" t="e">
        <f>IF(AND(#REF!="Baja",#REF!="Moderado"),CONCATENATE("R10C",#REF!),"")</f>
        <v>#REF!</v>
      </c>
      <c r="X45" s="61" t="e">
        <f>IF(AND(#REF!="Baja",#REF!="Moderado"),CONCATENATE("R10C",#REF!),"")</f>
        <v>#REF!</v>
      </c>
      <c r="Y45" s="61" t="e">
        <f>IF(AND(#REF!="Baja",#REF!="Moderado"),CONCATENATE("R10C",#REF!),"")</f>
        <v>#REF!</v>
      </c>
      <c r="Z45" s="61" t="e">
        <f>IF(AND(#REF!="Baja",#REF!="Moderado"),CONCATENATE("R10C",#REF!),"")</f>
        <v>#REF!</v>
      </c>
      <c r="AA45" s="62" t="e">
        <f>IF(AND(#REF!="Baja",#REF!="Moderado"),CONCATENATE("R10C",#REF!),"")</f>
        <v>#REF!</v>
      </c>
      <c r="AB45" s="48" t="e">
        <f>IF(AND(#REF!="Baja",#REF!="Mayor"),CONCATENATE("R10C",#REF!),"")</f>
        <v>#REF!</v>
      </c>
      <c r="AC45" s="49" t="e">
        <f>IF(AND(#REF!="Baja",#REF!="Mayor"),CONCATENATE("R10C",#REF!),"")</f>
        <v>#REF!</v>
      </c>
      <c r="AD45" s="49" t="e">
        <f>IF(AND(#REF!="Baja",#REF!="Mayor"),CONCATENATE("R10C",#REF!),"")</f>
        <v>#REF!</v>
      </c>
      <c r="AE45" s="49" t="e">
        <f>IF(AND(#REF!="Baja",#REF!="Mayor"),CONCATENATE("R10C",#REF!),"")</f>
        <v>#REF!</v>
      </c>
      <c r="AF45" s="49" t="e">
        <f>IF(AND(#REF!="Baja",#REF!="Mayor"),CONCATENATE("R10C",#REF!),"")</f>
        <v>#REF!</v>
      </c>
      <c r="AG45" s="50" t="e">
        <f>IF(AND(#REF!="Baja",#REF!="Mayor"),CONCATENATE("R10C",#REF!),"")</f>
        <v>#REF!</v>
      </c>
      <c r="AH45" s="51" t="e">
        <f>IF(AND(#REF!="Baja",#REF!="Catastrófico"),CONCATENATE("R10C",#REF!),"")</f>
        <v>#REF!</v>
      </c>
      <c r="AI45" s="52" t="e">
        <f>IF(AND(#REF!="Baja",#REF!="Catastrófico"),CONCATENATE("R10C",#REF!),"")</f>
        <v>#REF!</v>
      </c>
      <c r="AJ45" s="52" t="e">
        <f>IF(AND(#REF!="Baja",#REF!="Catastrófico"),CONCATENATE("R10C",#REF!),"")</f>
        <v>#REF!</v>
      </c>
      <c r="AK45" s="52" t="e">
        <f>IF(AND(#REF!="Baja",#REF!="Catastrófico"),CONCATENATE("R10C",#REF!),"")</f>
        <v>#REF!</v>
      </c>
      <c r="AL45" s="52" t="e">
        <f>IF(AND(#REF!="Baja",#REF!="Catastrófico"),CONCATENATE("R10C",#REF!),"")</f>
        <v>#REF!</v>
      </c>
      <c r="AM45" s="53" t="e">
        <f>IF(AND(#REF!="Baja",#REF!="Catastrófico"),CONCATENATE("R10C",#REF!),"")</f>
        <v>#REF!</v>
      </c>
      <c r="AN45" s="73"/>
      <c r="AO45" s="784"/>
      <c r="AP45" s="785"/>
      <c r="AQ45" s="785"/>
      <c r="AR45" s="785"/>
      <c r="AS45" s="785"/>
      <c r="AT45" s="786"/>
    </row>
    <row r="46" spans="1:80" ht="46.5" customHeight="1" x14ac:dyDescent="0.35">
      <c r="A46" s="73"/>
      <c r="B46" s="709"/>
      <c r="C46" s="709"/>
      <c r="D46" s="710"/>
      <c r="E46" s="747" t="s">
        <v>389</v>
      </c>
      <c r="F46" s="748"/>
      <c r="G46" s="748"/>
      <c r="H46" s="748"/>
      <c r="I46" s="749"/>
      <c r="J46" s="63" t="e">
        <f>IF(AND(#REF!="Muy Baja",#REF!="Leve"),CONCATENATE("R1C",#REF!),"")</f>
        <v>#REF!</v>
      </c>
      <c r="K46" s="64" t="e">
        <f>IF(AND(#REF!="Muy Baja",#REF!="Leve"),CONCATENATE("R1C",#REF!),"")</f>
        <v>#REF!</v>
      </c>
      <c r="L46" s="64" t="e">
        <f>IF(AND(#REF!="Muy Baja",#REF!="Leve"),CONCATENATE("R1C",#REF!),"")</f>
        <v>#REF!</v>
      </c>
      <c r="M46" s="64" t="e">
        <f>IF(AND(#REF!="Muy Baja",#REF!="Leve"),CONCATENATE("R1C",#REF!),"")</f>
        <v>#REF!</v>
      </c>
      <c r="N46" s="64" t="e">
        <f>IF(AND(#REF!="Muy Baja",#REF!="Leve"),CONCATENATE("R1C",#REF!),"")</f>
        <v>#REF!</v>
      </c>
      <c r="O46" s="65" t="e">
        <f>IF(AND(#REF!="Muy Baja",#REF!="Leve"),CONCATENATE("R1C",#REF!),"")</f>
        <v>#REF!</v>
      </c>
      <c r="P46" s="63" t="e">
        <f>IF(AND(#REF!="Muy Baja",#REF!="Menor"),CONCATENATE("R1C",#REF!),"")</f>
        <v>#REF!</v>
      </c>
      <c r="Q46" s="64" t="e">
        <f>IF(AND(#REF!="Muy Baja",#REF!="Menor"),CONCATENATE("R1C",#REF!),"")</f>
        <v>#REF!</v>
      </c>
      <c r="R46" s="64" t="e">
        <f>IF(AND(#REF!="Muy Baja",#REF!="Menor"),CONCATENATE("R1C",#REF!),"")</f>
        <v>#REF!</v>
      </c>
      <c r="S46" s="64" t="e">
        <f>IF(AND(#REF!="Muy Baja",#REF!="Menor"),CONCATENATE("R1C",#REF!),"")</f>
        <v>#REF!</v>
      </c>
      <c r="T46" s="64" t="e">
        <f>IF(AND(#REF!="Muy Baja",#REF!="Menor"),CONCATENATE("R1C",#REF!),"")</f>
        <v>#REF!</v>
      </c>
      <c r="U46" s="65" t="e">
        <f>IF(AND(#REF!="Muy Baja",#REF!="Menor"),CONCATENATE("R1C",#REF!),"")</f>
        <v>#REF!</v>
      </c>
      <c r="V46" s="54" t="e">
        <f>IF(AND(#REF!="Muy Baja",#REF!="Moderado"),CONCATENATE("R1C",#REF!),"")</f>
        <v>#REF!</v>
      </c>
      <c r="W46" s="72" t="e">
        <f>IF(AND(#REF!="Muy Baja",#REF!="Moderado"),CONCATENATE("R1C",#REF!),"")</f>
        <v>#REF!</v>
      </c>
      <c r="X46" s="55" t="e">
        <f>IF(AND(#REF!="Muy Baja",#REF!="Moderado"),CONCATENATE("R1C",#REF!),"")</f>
        <v>#REF!</v>
      </c>
      <c r="Y46" s="55" t="e">
        <f>IF(AND(#REF!="Muy Baja",#REF!="Moderado"),CONCATENATE("R1C",#REF!),"")</f>
        <v>#REF!</v>
      </c>
      <c r="Z46" s="55" t="e">
        <f>IF(AND(#REF!="Muy Baja",#REF!="Moderado"),CONCATENATE("R1C",#REF!),"")</f>
        <v>#REF!</v>
      </c>
      <c r="AA46" s="56" t="e">
        <f>IF(AND(#REF!="Muy Baja",#REF!="Moderado"),CONCATENATE("R1C",#REF!),"")</f>
        <v>#REF!</v>
      </c>
      <c r="AB46" s="36" t="e">
        <f>IF(AND(#REF!="Muy Baja",#REF!="Mayor"),CONCATENATE("R1C",#REF!),"")</f>
        <v>#REF!</v>
      </c>
      <c r="AC46" s="37" t="e">
        <f>IF(AND(#REF!="Muy Baja",#REF!="Mayor"),CONCATENATE("R1C",#REF!),"")</f>
        <v>#REF!</v>
      </c>
      <c r="AD46" s="37" t="e">
        <f>IF(AND(#REF!="Muy Baja",#REF!="Mayor"),CONCATENATE("R1C",#REF!),"")</f>
        <v>#REF!</v>
      </c>
      <c r="AE46" s="37" t="e">
        <f>IF(AND(#REF!="Muy Baja",#REF!="Mayor"),CONCATENATE("R1C",#REF!),"")</f>
        <v>#REF!</v>
      </c>
      <c r="AF46" s="37" t="e">
        <f>IF(AND(#REF!="Muy Baja",#REF!="Mayor"),CONCATENATE("R1C",#REF!),"")</f>
        <v>#REF!</v>
      </c>
      <c r="AG46" s="38" t="e">
        <f>IF(AND(#REF!="Muy Baja",#REF!="Mayor"),CONCATENATE("R1C",#REF!),"")</f>
        <v>#REF!</v>
      </c>
      <c r="AH46" s="39" t="e">
        <f>IF(AND(#REF!="Muy Baja",#REF!="Catastrófico"),CONCATENATE("R1C",#REF!),"")</f>
        <v>#REF!</v>
      </c>
      <c r="AI46" s="40" t="e">
        <f>IF(AND(#REF!="Muy Baja",#REF!="Catastrófico"),CONCATENATE("R1C",#REF!),"")</f>
        <v>#REF!</v>
      </c>
      <c r="AJ46" s="40" t="e">
        <f>IF(AND(#REF!="Muy Baja",#REF!="Catastrófico"),CONCATENATE("R1C",#REF!),"")</f>
        <v>#REF!</v>
      </c>
      <c r="AK46" s="40" t="e">
        <f>IF(AND(#REF!="Muy Baja",#REF!="Catastrófico"),CONCATENATE("R1C",#REF!),"")</f>
        <v>#REF!</v>
      </c>
      <c r="AL46" s="40" t="e">
        <f>IF(AND(#REF!="Muy Baja",#REF!="Catastrófico"),CONCATENATE("R1C",#REF!),"")</f>
        <v>#REF!</v>
      </c>
      <c r="AM46" s="41" t="e">
        <f>IF(AND(#REF!="Muy Baja",#REF!="Catastrófico"),CONCATENATE("R1C",#REF!),"")</f>
        <v>#REF!</v>
      </c>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ht="46.5" customHeight="1" x14ac:dyDescent="0.25">
      <c r="A47" s="73"/>
      <c r="B47" s="709"/>
      <c r="C47" s="709"/>
      <c r="D47" s="710"/>
      <c r="E47" s="766"/>
      <c r="F47" s="751"/>
      <c r="G47" s="751"/>
      <c r="H47" s="751"/>
      <c r="I47" s="752"/>
      <c r="J47" s="66" t="e">
        <f>IF(AND(#REF!="Muy Baja",#REF!="Leve"),CONCATENATE("R2C",#REF!),"")</f>
        <v>#REF!</v>
      </c>
      <c r="K47" s="67" t="e">
        <f>IF(AND(#REF!="Muy Baja",#REF!="Leve"),CONCATENATE("R2C",#REF!),"")</f>
        <v>#REF!</v>
      </c>
      <c r="L47" s="67" t="e">
        <f>IF(AND(#REF!="Muy Baja",#REF!="Leve"),CONCATENATE("R2C",#REF!),"")</f>
        <v>#REF!</v>
      </c>
      <c r="M47" s="67" t="e">
        <f>IF(AND(#REF!="Muy Baja",#REF!="Leve"),CONCATENATE("R2C",#REF!),"")</f>
        <v>#REF!</v>
      </c>
      <c r="N47" s="67" t="e">
        <f>IF(AND(#REF!="Muy Baja",#REF!="Leve"),CONCATENATE("R2C",#REF!),"")</f>
        <v>#REF!</v>
      </c>
      <c r="O47" s="68" t="e">
        <f>IF(AND(#REF!="Muy Baja",#REF!="Leve"),CONCATENATE("R2C",#REF!),"")</f>
        <v>#REF!</v>
      </c>
      <c r="P47" s="66" t="e">
        <f>IF(AND(#REF!="Muy Baja",#REF!="Menor"),CONCATENATE("R2C",#REF!),"")</f>
        <v>#REF!</v>
      </c>
      <c r="Q47" s="67" t="e">
        <f>IF(AND(#REF!="Muy Baja",#REF!="Menor"),CONCATENATE("R2C",#REF!),"")</f>
        <v>#REF!</v>
      </c>
      <c r="R47" s="67" t="e">
        <f>IF(AND(#REF!="Muy Baja",#REF!="Menor"),CONCATENATE("R2C",#REF!),"")</f>
        <v>#REF!</v>
      </c>
      <c r="S47" s="67" t="e">
        <f>IF(AND(#REF!="Muy Baja",#REF!="Menor"),CONCATENATE("R2C",#REF!),"")</f>
        <v>#REF!</v>
      </c>
      <c r="T47" s="67" t="e">
        <f>IF(AND(#REF!="Muy Baja",#REF!="Menor"),CONCATENATE("R2C",#REF!),"")</f>
        <v>#REF!</v>
      </c>
      <c r="U47" s="68" t="e">
        <f>IF(AND(#REF!="Muy Baja",#REF!="Menor"),CONCATENATE("R2C",#REF!),"")</f>
        <v>#REF!</v>
      </c>
      <c r="V47" s="57" t="e">
        <f>IF(AND(#REF!="Muy Baja",#REF!="Moderado"),CONCATENATE("R2C",#REF!),"")</f>
        <v>#REF!</v>
      </c>
      <c r="W47" s="58" t="e">
        <f>IF(AND(#REF!="Muy Baja",#REF!="Moderado"),CONCATENATE("R2C",#REF!),"")</f>
        <v>#REF!</v>
      </c>
      <c r="X47" s="58" t="e">
        <f>IF(AND(#REF!="Muy Baja",#REF!="Moderado"),CONCATENATE("R2C",#REF!),"")</f>
        <v>#REF!</v>
      </c>
      <c r="Y47" s="58" t="e">
        <f>IF(AND(#REF!="Muy Baja",#REF!="Moderado"),CONCATENATE("R2C",#REF!),"")</f>
        <v>#REF!</v>
      </c>
      <c r="Z47" s="58" t="e">
        <f>IF(AND(#REF!="Muy Baja",#REF!="Moderado"),CONCATENATE("R2C",#REF!),"")</f>
        <v>#REF!</v>
      </c>
      <c r="AA47" s="59" t="e">
        <f>IF(AND(#REF!="Muy Baja",#REF!="Moderado"),CONCATENATE("R2C",#REF!),"")</f>
        <v>#REF!</v>
      </c>
      <c r="AB47" s="42" t="e">
        <f>IF(AND(#REF!="Muy Baja",#REF!="Mayor"),CONCATENATE("R2C",#REF!),"")</f>
        <v>#REF!</v>
      </c>
      <c r="AC47" s="43" t="e">
        <f>IF(AND(#REF!="Muy Baja",#REF!="Mayor"),CONCATENATE("R2C",#REF!),"")</f>
        <v>#REF!</v>
      </c>
      <c r="AD47" s="43" t="e">
        <f>IF(AND(#REF!="Muy Baja",#REF!="Mayor"),CONCATENATE("R2C",#REF!),"")</f>
        <v>#REF!</v>
      </c>
      <c r="AE47" s="43" t="e">
        <f>IF(AND(#REF!="Muy Baja",#REF!="Mayor"),CONCATENATE("R2C",#REF!),"")</f>
        <v>#REF!</v>
      </c>
      <c r="AF47" s="43" t="e">
        <f>IF(AND(#REF!="Muy Baja",#REF!="Mayor"),CONCATENATE("R2C",#REF!),"")</f>
        <v>#REF!</v>
      </c>
      <c r="AG47" s="44" t="e">
        <f>IF(AND(#REF!="Muy Baja",#REF!="Mayor"),CONCATENATE("R2C",#REF!),"")</f>
        <v>#REF!</v>
      </c>
      <c r="AH47" s="45" t="e">
        <f>IF(AND(#REF!="Muy Baja",#REF!="Catastrófico"),CONCATENATE("R2C",#REF!),"")</f>
        <v>#REF!</v>
      </c>
      <c r="AI47" s="46" t="e">
        <f>IF(AND(#REF!="Muy Baja",#REF!="Catastrófico"),CONCATENATE("R2C",#REF!),"")</f>
        <v>#REF!</v>
      </c>
      <c r="AJ47" s="46" t="e">
        <f>IF(AND(#REF!="Muy Baja",#REF!="Catastrófico"),CONCATENATE("R2C",#REF!),"")</f>
        <v>#REF!</v>
      </c>
      <c r="AK47" s="46" t="e">
        <f>IF(AND(#REF!="Muy Baja",#REF!="Catastrófico"),CONCATENATE("R2C",#REF!),"")</f>
        <v>#REF!</v>
      </c>
      <c r="AL47" s="46" t="e">
        <f>IF(AND(#REF!="Muy Baja",#REF!="Catastrófico"),CONCATENATE("R2C",#REF!),"")</f>
        <v>#REF!</v>
      </c>
      <c r="AM47" s="47" t="e">
        <f>IF(AND(#REF!="Muy Baja",#REF!="Catastrófico"),CONCATENATE("R2C",#REF!),"")</f>
        <v>#REF!</v>
      </c>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ht="15" customHeight="1" x14ac:dyDescent="0.25">
      <c r="A48" s="73"/>
      <c r="B48" s="709"/>
      <c r="C48" s="709"/>
      <c r="D48" s="710"/>
      <c r="E48" s="766"/>
      <c r="F48" s="751"/>
      <c r="G48" s="751"/>
      <c r="H48" s="751"/>
      <c r="I48" s="752"/>
      <c r="J48" s="66" t="e">
        <f>IF(AND(#REF!="Muy Baja",#REF!="Leve"),CONCATENATE("R3C",#REF!),"")</f>
        <v>#REF!</v>
      </c>
      <c r="K48" s="67" t="e">
        <f>IF(AND(#REF!="Muy Baja",#REF!="Leve"),CONCATENATE("R3C",#REF!),"")</f>
        <v>#REF!</v>
      </c>
      <c r="L48" s="67" t="e">
        <f>IF(AND(#REF!="Muy Baja",#REF!="Leve"),CONCATENATE("R3C",#REF!),"")</f>
        <v>#REF!</v>
      </c>
      <c r="M48" s="67" t="e">
        <f>IF(AND(#REF!="Muy Baja",#REF!="Leve"),CONCATENATE("R3C",#REF!),"")</f>
        <v>#REF!</v>
      </c>
      <c r="N48" s="67" t="e">
        <f>IF(AND(#REF!="Muy Baja",#REF!="Leve"),CONCATENATE("R3C",#REF!),"")</f>
        <v>#REF!</v>
      </c>
      <c r="O48" s="68" t="e">
        <f>IF(AND(#REF!="Muy Baja",#REF!="Leve"),CONCATENATE("R3C",#REF!),"")</f>
        <v>#REF!</v>
      </c>
      <c r="P48" s="66" t="e">
        <f>IF(AND(#REF!="Muy Baja",#REF!="Menor"),CONCATENATE("R3C",#REF!),"")</f>
        <v>#REF!</v>
      </c>
      <c r="Q48" s="67" t="e">
        <f>IF(AND(#REF!="Muy Baja",#REF!="Menor"),CONCATENATE("R3C",#REF!),"")</f>
        <v>#REF!</v>
      </c>
      <c r="R48" s="67" t="e">
        <f>IF(AND(#REF!="Muy Baja",#REF!="Menor"),CONCATENATE("R3C",#REF!),"")</f>
        <v>#REF!</v>
      </c>
      <c r="S48" s="67" t="e">
        <f>IF(AND(#REF!="Muy Baja",#REF!="Menor"),CONCATENATE("R3C",#REF!),"")</f>
        <v>#REF!</v>
      </c>
      <c r="T48" s="67" t="e">
        <f>IF(AND(#REF!="Muy Baja",#REF!="Menor"),CONCATENATE("R3C",#REF!),"")</f>
        <v>#REF!</v>
      </c>
      <c r="U48" s="68" t="e">
        <f>IF(AND(#REF!="Muy Baja",#REF!="Menor"),CONCATENATE("R3C",#REF!),"")</f>
        <v>#REF!</v>
      </c>
      <c r="V48" s="57" t="e">
        <f>IF(AND(#REF!="Muy Baja",#REF!="Moderado"),CONCATENATE("R3C",#REF!),"")</f>
        <v>#REF!</v>
      </c>
      <c r="W48" s="58" t="e">
        <f>IF(AND(#REF!="Muy Baja",#REF!="Moderado"),CONCATENATE("R3C",#REF!),"")</f>
        <v>#REF!</v>
      </c>
      <c r="X48" s="58" t="e">
        <f>IF(AND(#REF!="Muy Baja",#REF!="Moderado"),CONCATENATE("R3C",#REF!),"")</f>
        <v>#REF!</v>
      </c>
      <c r="Y48" s="58" t="e">
        <f>IF(AND(#REF!="Muy Baja",#REF!="Moderado"),CONCATENATE("R3C",#REF!),"")</f>
        <v>#REF!</v>
      </c>
      <c r="Z48" s="58" t="e">
        <f>IF(AND(#REF!="Muy Baja",#REF!="Moderado"),CONCATENATE("R3C",#REF!),"")</f>
        <v>#REF!</v>
      </c>
      <c r="AA48" s="59" t="e">
        <f>IF(AND(#REF!="Muy Baja",#REF!="Moderado"),CONCATENATE("R3C",#REF!),"")</f>
        <v>#REF!</v>
      </c>
      <c r="AB48" s="42" t="e">
        <f>IF(AND(#REF!="Muy Baja",#REF!="Mayor"),CONCATENATE("R3C",#REF!),"")</f>
        <v>#REF!</v>
      </c>
      <c r="AC48" s="43" t="e">
        <f>IF(AND(#REF!="Muy Baja",#REF!="Mayor"),CONCATENATE("R3C",#REF!),"")</f>
        <v>#REF!</v>
      </c>
      <c r="AD48" s="43" t="e">
        <f>IF(AND(#REF!="Muy Baja",#REF!="Mayor"),CONCATENATE("R3C",#REF!),"")</f>
        <v>#REF!</v>
      </c>
      <c r="AE48" s="43" t="e">
        <f>IF(AND(#REF!="Muy Baja",#REF!="Mayor"),CONCATENATE("R3C",#REF!),"")</f>
        <v>#REF!</v>
      </c>
      <c r="AF48" s="43" t="e">
        <f>IF(AND(#REF!="Muy Baja",#REF!="Mayor"),CONCATENATE("R3C",#REF!),"")</f>
        <v>#REF!</v>
      </c>
      <c r="AG48" s="44" t="e">
        <f>IF(AND(#REF!="Muy Baja",#REF!="Mayor"),CONCATENATE("R3C",#REF!),"")</f>
        <v>#REF!</v>
      </c>
      <c r="AH48" s="45" t="e">
        <f>IF(AND(#REF!="Muy Baja",#REF!="Catastrófico"),CONCATENATE("R3C",#REF!),"")</f>
        <v>#REF!</v>
      </c>
      <c r="AI48" s="46" t="e">
        <f>IF(AND(#REF!="Muy Baja",#REF!="Catastrófico"),CONCATENATE("R3C",#REF!),"")</f>
        <v>#REF!</v>
      </c>
      <c r="AJ48" s="46" t="e">
        <f>IF(AND(#REF!="Muy Baja",#REF!="Catastrófico"),CONCATENATE("R3C",#REF!),"")</f>
        <v>#REF!</v>
      </c>
      <c r="AK48" s="46" t="e">
        <f>IF(AND(#REF!="Muy Baja",#REF!="Catastrófico"),CONCATENATE("R3C",#REF!),"")</f>
        <v>#REF!</v>
      </c>
      <c r="AL48" s="46" t="e">
        <f>IF(AND(#REF!="Muy Baja",#REF!="Catastrófico"),CONCATENATE("R3C",#REF!),"")</f>
        <v>#REF!</v>
      </c>
      <c r="AM48" s="47" t="e">
        <f>IF(AND(#REF!="Muy Baja",#REF!="Catastrófico"),CONCATENATE("R3C",#REF!),"")</f>
        <v>#REF!</v>
      </c>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ht="15" customHeight="1" x14ac:dyDescent="0.25">
      <c r="A49" s="73"/>
      <c r="B49" s="709"/>
      <c r="C49" s="709"/>
      <c r="D49" s="710"/>
      <c r="E49" s="750"/>
      <c r="F49" s="751"/>
      <c r="G49" s="751"/>
      <c r="H49" s="751"/>
      <c r="I49" s="752"/>
      <c r="J49" s="66" t="e">
        <f>IF(AND(#REF!="Muy Baja",#REF!="Leve"),CONCATENATE("R4C",#REF!),"")</f>
        <v>#REF!</v>
      </c>
      <c r="K49" s="67" t="e">
        <f>IF(AND(#REF!="Muy Baja",#REF!="Leve"),CONCATENATE("R4C",#REF!),"")</f>
        <v>#REF!</v>
      </c>
      <c r="L49" s="67" t="e">
        <f>IF(AND(#REF!="Muy Baja",#REF!="Leve"),CONCATENATE("R4C",#REF!),"")</f>
        <v>#REF!</v>
      </c>
      <c r="M49" s="67" t="e">
        <f>IF(AND(#REF!="Muy Baja",#REF!="Leve"),CONCATENATE("R4C",#REF!),"")</f>
        <v>#REF!</v>
      </c>
      <c r="N49" s="67" t="e">
        <f>IF(AND(#REF!="Muy Baja",#REF!="Leve"),CONCATENATE("R4C",#REF!),"")</f>
        <v>#REF!</v>
      </c>
      <c r="O49" s="68" t="e">
        <f>IF(AND(#REF!="Muy Baja",#REF!="Leve"),CONCATENATE("R4C",#REF!),"")</f>
        <v>#REF!</v>
      </c>
      <c r="P49" s="66" t="e">
        <f>IF(AND(#REF!="Muy Baja",#REF!="Menor"),CONCATENATE("R4C",#REF!),"")</f>
        <v>#REF!</v>
      </c>
      <c r="Q49" s="67" t="e">
        <f>IF(AND(#REF!="Muy Baja",#REF!="Menor"),CONCATENATE("R4C",#REF!),"")</f>
        <v>#REF!</v>
      </c>
      <c r="R49" s="67" t="e">
        <f>IF(AND(#REF!="Muy Baja",#REF!="Menor"),CONCATENATE("R4C",#REF!),"")</f>
        <v>#REF!</v>
      </c>
      <c r="S49" s="67" t="e">
        <f>IF(AND(#REF!="Muy Baja",#REF!="Menor"),CONCATENATE("R4C",#REF!),"")</f>
        <v>#REF!</v>
      </c>
      <c r="T49" s="67" t="e">
        <f>IF(AND(#REF!="Muy Baja",#REF!="Menor"),CONCATENATE("R4C",#REF!),"")</f>
        <v>#REF!</v>
      </c>
      <c r="U49" s="68" t="e">
        <f>IF(AND(#REF!="Muy Baja",#REF!="Menor"),CONCATENATE("R4C",#REF!),"")</f>
        <v>#REF!</v>
      </c>
      <c r="V49" s="57" t="e">
        <f>IF(AND(#REF!="Muy Baja",#REF!="Moderado"),CONCATENATE("R4C",#REF!),"")</f>
        <v>#REF!</v>
      </c>
      <c r="W49" s="58" t="e">
        <f>IF(AND(#REF!="Muy Baja",#REF!="Moderado"),CONCATENATE("R4C",#REF!),"")</f>
        <v>#REF!</v>
      </c>
      <c r="X49" s="58" t="e">
        <f>IF(AND(#REF!="Muy Baja",#REF!="Moderado"),CONCATENATE("R4C",#REF!),"")</f>
        <v>#REF!</v>
      </c>
      <c r="Y49" s="58" t="e">
        <f>IF(AND(#REF!="Muy Baja",#REF!="Moderado"),CONCATENATE("R4C",#REF!),"")</f>
        <v>#REF!</v>
      </c>
      <c r="Z49" s="58" t="e">
        <f>IF(AND(#REF!="Muy Baja",#REF!="Moderado"),CONCATENATE("R4C",#REF!),"")</f>
        <v>#REF!</v>
      </c>
      <c r="AA49" s="59" t="e">
        <f>IF(AND(#REF!="Muy Baja",#REF!="Moderado"),CONCATENATE("R4C",#REF!),"")</f>
        <v>#REF!</v>
      </c>
      <c r="AB49" s="42" t="e">
        <f>IF(AND(#REF!="Muy Baja",#REF!="Mayor"),CONCATENATE("R4C",#REF!),"")</f>
        <v>#REF!</v>
      </c>
      <c r="AC49" s="43" t="e">
        <f>IF(AND(#REF!="Muy Baja",#REF!="Mayor"),CONCATENATE("R4C",#REF!),"")</f>
        <v>#REF!</v>
      </c>
      <c r="AD49" s="43" t="e">
        <f>IF(AND(#REF!="Muy Baja",#REF!="Mayor"),CONCATENATE("R4C",#REF!),"")</f>
        <v>#REF!</v>
      </c>
      <c r="AE49" s="43" t="e">
        <f>IF(AND(#REF!="Muy Baja",#REF!="Mayor"),CONCATENATE("R4C",#REF!),"")</f>
        <v>#REF!</v>
      </c>
      <c r="AF49" s="43" t="e">
        <f>IF(AND(#REF!="Muy Baja",#REF!="Mayor"),CONCATENATE("R4C",#REF!),"")</f>
        <v>#REF!</v>
      </c>
      <c r="AG49" s="44" t="e">
        <f>IF(AND(#REF!="Muy Baja",#REF!="Mayor"),CONCATENATE("R4C",#REF!),"")</f>
        <v>#REF!</v>
      </c>
      <c r="AH49" s="45" t="e">
        <f>IF(AND(#REF!="Muy Baja",#REF!="Catastrófico"),CONCATENATE("R4C",#REF!),"")</f>
        <v>#REF!</v>
      </c>
      <c r="AI49" s="46" t="e">
        <f>IF(AND(#REF!="Muy Baja",#REF!="Catastrófico"),CONCATENATE("R4C",#REF!),"")</f>
        <v>#REF!</v>
      </c>
      <c r="AJ49" s="46" t="e">
        <f>IF(AND(#REF!="Muy Baja",#REF!="Catastrófico"),CONCATENATE("R4C",#REF!),"")</f>
        <v>#REF!</v>
      </c>
      <c r="AK49" s="46" t="e">
        <f>IF(AND(#REF!="Muy Baja",#REF!="Catastrófico"),CONCATENATE("R4C",#REF!),"")</f>
        <v>#REF!</v>
      </c>
      <c r="AL49" s="46" t="e">
        <f>IF(AND(#REF!="Muy Baja",#REF!="Catastrófico"),CONCATENATE("R4C",#REF!),"")</f>
        <v>#REF!</v>
      </c>
      <c r="AM49" s="47" t="e">
        <f>IF(AND(#REF!="Muy Baja",#REF!="Catastrófico"),CONCATENATE("R4C",#REF!),"")</f>
        <v>#REF!</v>
      </c>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ht="15" customHeight="1" x14ac:dyDescent="0.25">
      <c r="A50" s="73"/>
      <c r="B50" s="709"/>
      <c r="C50" s="709"/>
      <c r="D50" s="710"/>
      <c r="E50" s="750"/>
      <c r="F50" s="751"/>
      <c r="G50" s="751"/>
      <c r="H50" s="751"/>
      <c r="I50" s="752"/>
      <c r="J50" s="66" t="e">
        <f>IF(AND(#REF!="Muy Baja",#REF!="Leve"),CONCATENATE("R5C",#REF!),"")</f>
        <v>#REF!</v>
      </c>
      <c r="K50" s="67" t="e">
        <f>IF(AND(#REF!="Muy Baja",#REF!="Leve"),CONCATENATE("R5C",#REF!),"")</f>
        <v>#REF!</v>
      </c>
      <c r="L50" s="67" t="e">
        <f>IF(AND(#REF!="Muy Baja",#REF!="Leve"),CONCATENATE("R5C",#REF!),"")</f>
        <v>#REF!</v>
      </c>
      <c r="M50" s="67" t="e">
        <f>IF(AND(#REF!="Muy Baja",#REF!="Leve"),CONCATENATE("R5C",#REF!),"")</f>
        <v>#REF!</v>
      </c>
      <c r="N50" s="67" t="e">
        <f>IF(AND(#REF!="Muy Baja",#REF!="Leve"),CONCATENATE("R5C",#REF!),"")</f>
        <v>#REF!</v>
      </c>
      <c r="O50" s="68" t="e">
        <f>IF(AND(#REF!="Muy Baja",#REF!="Leve"),CONCATENATE("R5C",#REF!),"")</f>
        <v>#REF!</v>
      </c>
      <c r="P50" s="66" t="e">
        <f>IF(AND(#REF!="Muy Baja",#REF!="Menor"),CONCATENATE("R5C",#REF!),"")</f>
        <v>#REF!</v>
      </c>
      <c r="Q50" s="67" t="e">
        <f>IF(AND(#REF!="Muy Baja",#REF!="Menor"),CONCATENATE("R5C",#REF!),"")</f>
        <v>#REF!</v>
      </c>
      <c r="R50" s="67" t="e">
        <f>IF(AND(#REF!="Muy Baja",#REF!="Menor"),CONCATENATE("R5C",#REF!),"")</f>
        <v>#REF!</v>
      </c>
      <c r="S50" s="67" t="e">
        <f>IF(AND(#REF!="Muy Baja",#REF!="Menor"),CONCATENATE("R5C",#REF!),"")</f>
        <v>#REF!</v>
      </c>
      <c r="T50" s="67" t="e">
        <f>IF(AND(#REF!="Muy Baja",#REF!="Menor"),CONCATENATE("R5C",#REF!),"")</f>
        <v>#REF!</v>
      </c>
      <c r="U50" s="68" t="e">
        <f>IF(AND(#REF!="Muy Baja",#REF!="Menor"),CONCATENATE("R5C",#REF!),"")</f>
        <v>#REF!</v>
      </c>
      <c r="V50" s="57" t="e">
        <f>IF(AND(#REF!="Muy Baja",#REF!="Moderado"),CONCATENATE("R5C",#REF!),"")</f>
        <v>#REF!</v>
      </c>
      <c r="W50" s="58" t="e">
        <f>IF(AND(#REF!="Muy Baja",#REF!="Moderado"),CONCATENATE("R5C",#REF!),"")</f>
        <v>#REF!</v>
      </c>
      <c r="X50" s="58" t="e">
        <f>IF(AND(#REF!="Muy Baja",#REF!="Moderado"),CONCATENATE("R5C",#REF!),"")</f>
        <v>#REF!</v>
      </c>
      <c r="Y50" s="58" t="e">
        <f>IF(AND(#REF!="Muy Baja",#REF!="Moderado"),CONCATENATE("R5C",#REF!),"")</f>
        <v>#REF!</v>
      </c>
      <c r="Z50" s="58" t="e">
        <f>IF(AND(#REF!="Muy Baja",#REF!="Moderado"),CONCATENATE("R5C",#REF!),"")</f>
        <v>#REF!</v>
      </c>
      <c r="AA50" s="59" t="e">
        <f>IF(AND(#REF!="Muy Baja",#REF!="Moderado"),CONCATENATE("R5C",#REF!),"")</f>
        <v>#REF!</v>
      </c>
      <c r="AB50" s="42" t="e">
        <f>IF(AND(#REF!="Muy Baja",#REF!="Mayor"),CONCATENATE("R5C",#REF!),"")</f>
        <v>#REF!</v>
      </c>
      <c r="AC50" s="43" t="e">
        <f>IF(AND(#REF!="Muy Baja",#REF!="Mayor"),CONCATENATE("R5C",#REF!),"")</f>
        <v>#REF!</v>
      </c>
      <c r="AD50" s="43" t="e">
        <f>IF(AND(#REF!="Muy Baja",#REF!="Mayor"),CONCATENATE("R5C",#REF!),"")</f>
        <v>#REF!</v>
      </c>
      <c r="AE50" s="43" t="e">
        <f>IF(AND(#REF!="Muy Baja",#REF!="Mayor"),CONCATENATE("R5C",#REF!),"")</f>
        <v>#REF!</v>
      </c>
      <c r="AF50" s="43" t="e">
        <f>IF(AND(#REF!="Muy Baja",#REF!="Mayor"),CONCATENATE("R5C",#REF!),"")</f>
        <v>#REF!</v>
      </c>
      <c r="AG50" s="44" t="e">
        <f>IF(AND(#REF!="Muy Baja",#REF!="Mayor"),CONCATENATE("R5C",#REF!),"")</f>
        <v>#REF!</v>
      </c>
      <c r="AH50" s="45" t="e">
        <f>IF(AND(#REF!="Muy Baja",#REF!="Catastrófico"),CONCATENATE("R5C",#REF!),"")</f>
        <v>#REF!</v>
      </c>
      <c r="AI50" s="46" t="e">
        <f>IF(AND(#REF!="Muy Baja",#REF!="Catastrófico"),CONCATENATE("R5C",#REF!),"")</f>
        <v>#REF!</v>
      </c>
      <c r="AJ50" s="46" t="e">
        <f>IF(AND(#REF!="Muy Baja",#REF!="Catastrófico"),CONCATENATE("R5C",#REF!),"")</f>
        <v>#REF!</v>
      </c>
      <c r="AK50" s="46" t="e">
        <f>IF(AND(#REF!="Muy Baja",#REF!="Catastrófico"),CONCATENATE("R5C",#REF!),"")</f>
        <v>#REF!</v>
      </c>
      <c r="AL50" s="46" t="e">
        <f>IF(AND(#REF!="Muy Baja",#REF!="Catastrófico"),CONCATENATE("R5C",#REF!),"")</f>
        <v>#REF!</v>
      </c>
      <c r="AM50" s="47" t="e">
        <f>IF(AND(#REF!="Muy Baja",#REF!="Catastrófico"),CONCATENATE("R5C",#REF!),"")</f>
        <v>#REF!</v>
      </c>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 customHeight="1" x14ac:dyDescent="0.25">
      <c r="A51" s="73"/>
      <c r="B51" s="709"/>
      <c r="C51" s="709"/>
      <c r="D51" s="710"/>
      <c r="E51" s="750"/>
      <c r="F51" s="751"/>
      <c r="G51" s="751"/>
      <c r="H51" s="751"/>
      <c r="I51" s="752"/>
      <c r="J51" s="66" t="e">
        <f>IF(AND(#REF!="Muy Baja",#REF!="Leve"),CONCATENATE("R6C",#REF!),"")</f>
        <v>#REF!</v>
      </c>
      <c r="K51" s="67" t="e">
        <f>IF(AND(#REF!="Muy Baja",#REF!="Leve"),CONCATENATE("R6C",#REF!),"")</f>
        <v>#REF!</v>
      </c>
      <c r="L51" s="67" t="e">
        <f>IF(AND(#REF!="Muy Baja",#REF!="Leve"),CONCATENATE("R6C",#REF!),"")</f>
        <v>#REF!</v>
      </c>
      <c r="M51" s="67" t="e">
        <f>IF(AND(#REF!="Muy Baja",#REF!="Leve"),CONCATENATE("R6C",#REF!),"")</f>
        <v>#REF!</v>
      </c>
      <c r="N51" s="67" t="e">
        <f>IF(AND(#REF!="Muy Baja",#REF!="Leve"),CONCATENATE("R6C",#REF!),"")</f>
        <v>#REF!</v>
      </c>
      <c r="O51" s="68" t="e">
        <f>IF(AND(#REF!="Muy Baja",#REF!="Leve"),CONCATENATE("R6C",#REF!),"")</f>
        <v>#REF!</v>
      </c>
      <c r="P51" s="66" t="e">
        <f>IF(AND(#REF!="Muy Baja",#REF!="Menor"),CONCATENATE("R6C",#REF!),"")</f>
        <v>#REF!</v>
      </c>
      <c r="Q51" s="67" t="e">
        <f>IF(AND(#REF!="Muy Baja",#REF!="Menor"),CONCATENATE("R6C",#REF!),"")</f>
        <v>#REF!</v>
      </c>
      <c r="R51" s="67" t="e">
        <f>IF(AND(#REF!="Muy Baja",#REF!="Menor"),CONCATENATE("R6C",#REF!),"")</f>
        <v>#REF!</v>
      </c>
      <c r="S51" s="67" t="e">
        <f>IF(AND(#REF!="Muy Baja",#REF!="Menor"),CONCATENATE("R6C",#REF!),"")</f>
        <v>#REF!</v>
      </c>
      <c r="T51" s="67" t="e">
        <f>IF(AND(#REF!="Muy Baja",#REF!="Menor"),CONCATENATE("R6C",#REF!),"")</f>
        <v>#REF!</v>
      </c>
      <c r="U51" s="68" t="e">
        <f>IF(AND(#REF!="Muy Baja",#REF!="Menor"),CONCATENATE("R6C",#REF!),"")</f>
        <v>#REF!</v>
      </c>
      <c r="V51" s="57" t="e">
        <f>IF(AND(#REF!="Muy Baja",#REF!="Moderado"),CONCATENATE("R6C",#REF!),"")</f>
        <v>#REF!</v>
      </c>
      <c r="W51" s="58" t="e">
        <f>IF(AND(#REF!="Muy Baja",#REF!="Moderado"),CONCATENATE("R6C",#REF!),"")</f>
        <v>#REF!</v>
      </c>
      <c r="X51" s="58" t="e">
        <f>IF(AND(#REF!="Muy Baja",#REF!="Moderado"),CONCATENATE("R6C",#REF!),"")</f>
        <v>#REF!</v>
      </c>
      <c r="Y51" s="58" t="e">
        <f>IF(AND(#REF!="Muy Baja",#REF!="Moderado"),CONCATENATE("R6C",#REF!),"")</f>
        <v>#REF!</v>
      </c>
      <c r="Z51" s="58" t="e">
        <f>IF(AND(#REF!="Muy Baja",#REF!="Moderado"),CONCATENATE("R6C",#REF!),"")</f>
        <v>#REF!</v>
      </c>
      <c r="AA51" s="59" t="e">
        <f>IF(AND(#REF!="Muy Baja",#REF!="Moderado"),CONCATENATE("R6C",#REF!),"")</f>
        <v>#REF!</v>
      </c>
      <c r="AB51" s="42" t="e">
        <f>IF(AND(#REF!="Muy Baja",#REF!="Mayor"),CONCATENATE("R6C",#REF!),"")</f>
        <v>#REF!</v>
      </c>
      <c r="AC51" s="43" t="e">
        <f>IF(AND(#REF!="Muy Baja",#REF!="Mayor"),CONCATENATE("R6C",#REF!),"")</f>
        <v>#REF!</v>
      </c>
      <c r="AD51" s="43" t="e">
        <f>IF(AND(#REF!="Muy Baja",#REF!="Mayor"),CONCATENATE("R6C",#REF!),"")</f>
        <v>#REF!</v>
      </c>
      <c r="AE51" s="43" t="e">
        <f>IF(AND(#REF!="Muy Baja",#REF!="Mayor"),CONCATENATE("R6C",#REF!),"")</f>
        <v>#REF!</v>
      </c>
      <c r="AF51" s="43" t="e">
        <f>IF(AND(#REF!="Muy Baja",#REF!="Mayor"),CONCATENATE("R6C",#REF!),"")</f>
        <v>#REF!</v>
      </c>
      <c r="AG51" s="44" t="e">
        <f>IF(AND(#REF!="Muy Baja",#REF!="Mayor"),CONCATENATE("R6C",#REF!),"")</f>
        <v>#REF!</v>
      </c>
      <c r="AH51" s="45" t="e">
        <f>IF(AND(#REF!="Muy Baja",#REF!="Catastrófico"),CONCATENATE("R6C",#REF!),"")</f>
        <v>#REF!</v>
      </c>
      <c r="AI51" s="46" t="e">
        <f>IF(AND(#REF!="Muy Baja",#REF!="Catastrófico"),CONCATENATE("R6C",#REF!),"")</f>
        <v>#REF!</v>
      </c>
      <c r="AJ51" s="46" t="e">
        <f>IF(AND(#REF!="Muy Baja",#REF!="Catastrófico"),CONCATENATE("R6C",#REF!),"")</f>
        <v>#REF!</v>
      </c>
      <c r="AK51" s="46" t="e">
        <f>IF(AND(#REF!="Muy Baja",#REF!="Catastrófico"),CONCATENATE("R6C",#REF!),"")</f>
        <v>#REF!</v>
      </c>
      <c r="AL51" s="46" t="e">
        <f>IF(AND(#REF!="Muy Baja",#REF!="Catastrófico"),CONCATENATE("R6C",#REF!),"")</f>
        <v>#REF!</v>
      </c>
      <c r="AM51" s="47" t="e">
        <f>IF(AND(#REF!="Muy Baja",#REF!="Catastrófico"),CONCATENATE("R6C",#REF!),"")</f>
        <v>#REF!</v>
      </c>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ht="15" customHeight="1" x14ac:dyDescent="0.25">
      <c r="A52" s="73"/>
      <c r="B52" s="709"/>
      <c r="C52" s="709"/>
      <c r="D52" s="710"/>
      <c r="E52" s="750"/>
      <c r="F52" s="751"/>
      <c r="G52" s="751"/>
      <c r="H52" s="751"/>
      <c r="I52" s="752"/>
      <c r="J52" s="66" t="e">
        <f>IF(AND(#REF!="Muy Baja",#REF!="Leve"),CONCATENATE("R7C",#REF!),"")</f>
        <v>#REF!</v>
      </c>
      <c r="K52" s="67" t="e">
        <f>IF(AND(#REF!="Muy Baja",#REF!="Leve"),CONCATENATE("R7C",#REF!),"")</f>
        <v>#REF!</v>
      </c>
      <c r="L52" s="67" t="e">
        <f>IF(AND(#REF!="Muy Baja",#REF!="Leve"),CONCATENATE("R7C",#REF!),"")</f>
        <v>#REF!</v>
      </c>
      <c r="M52" s="67" t="e">
        <f>IF(AND(#REF!="Muy Baja",#REF!="Leve"),CONCATENATE("R7C",#REF!),"")</f>
        <v>#REF!</v>
      </c>
      <c r="N52" s="67" t="e">
        <f>IF(AND(#REF!="Muy Baja",#REF!="Leve"),CONCATENATE("R7C",#REF!),"")</f>
        <v>#REF!</v>
      </c>
      <c r="O52" s="68" t="e">
        <f>IF(AND(#REF!="Muy Baja",#REF!="Leve"),CONCATENATE("R7C",#REF!),"")</f>
        <v>#REF!</v>
      </c>
      <c r="P52" s="66" t="e">
        <f>IF(AND(#REF!="Muy Baja",#REF!="Menor"),CONCATENATE("R7C",#REF!),"")</f>
        <v>#REF!</v>
      </c>
      <c r="Q52" s="67" t="e">
        <f>IF(AND(#REF!="Muy Baja",#REF!="Menor"),CONCATENATE("R7C",#REF!),"")</f>
        <v>#REF!</v>
      </c>
      <c r="R52" s="67" t="e">
        <f>IF(AND(#REF!="Muy Baja",#REF!="Menor"),CONCATENATE("R7C",#REF!),"")</f>
        <v>#REF!</v>
      </c>
      <c r="S52" s="67" t="e">
        <f>IF(AND(#REF!="Muy Baja",#REF!="Menor"),CONCATENATE("R7C",#REF!),"")</f>
        <v>#REF!</v>
      </c>
      <c r="T52" s="67" t="e">
        <f>IF(AND(#REF!="Muy Baja",#REF!="Menor"),CONCATENATE("R7C",#REF!),"")</f>
        <v>#REF!</v>
      </c>
      <c r="U52" s="68" t="e">
        <f>IF(AND(#REF!="Muy Baja",#REF!="Menor"),CONCATENATE("R7C",#REF!),"")</f>
        <v>#REF!</v>
      </c>
      <c r="V52" s="57" t="e">
        <f>IF(AND(#REF!="Muy Baja",#REF!="Moderado"),CONCATENATE("R7C",#REF!),"")</f>
        <v>#REF!</v>
      </c>
      <c r="W52" s="58" t="e">
        <f>IF(AND(#REF!="Muy Baja",#REF!="Moderado"),CONCATENATE("R7C",#REF!),"")</f>
        <v>#REF!</v>
      </c>
      <c r="X52" s="58" t="e">
        <f>IF(AND(#REF!="Muy Baja",#REF!="Moderado"),CONCATENATE("R7C",#REF!),"")</f>
        <v>#REF!</v>
      </c>
      <c r="Y52" s="58" t="e">
        <f>IF(AND(#REF!="Muy Baja",#REF!="Moderado"),CONCATENATE("R7C",#REF!),"")</f>
        <v>#REF!</v>
      </c>
      <c r="Z52" s="58" t="e">
        <f>IF(AND(#REF!="Muy Baja",#REF!="Moderado"),CONCATENATE("R7C",#REF!),"")</f>
        <v>#REF!</v>
      </c>
      <c r="AA52" s="59" t="e">
        <f>IF(AND(#REF!="Muy Baja",#REF!="Moderado"),CONCATENATE("R7C",#REF!),"")</f>
        <v>#REF!</v>
      </c>
      <c r="AB52" s="42" t="e">
        <f>IF(AND(#REF!="Muy Baja",#REF!="Mayor"),CONCATENATE("R7C",#REF!),"")</f>
        <v>#REF!</v>
      </c>
      <c r="AC52" s="43" t="e">
        <f>IF(AND(#REF!="Muy Baja",#REF!="Mayor"),CONCATENATE("R7C",#REF!),"")</f>
        <v>#REF!</v>
      </c>
      <c r="AD52" s="43" t="e">
        <f>IF(AND(#REF!="Muy Baja",#REF!="Mayor"),CONCATENATE("R7C",#REF!),"")</f>
        <v>#REF!</v>
      </c>
      <c r="AE52" s="43" t="e">
        <f>IF(AND(#REF!="Muy Baja",#REF!="Mayor"),CONCATENATE("R7C",#REF!),"")</f>
        <v>#REF!</v>
      </c>
      <c r="AF52" s="43" t="e">
        <f>IF(AND(#REF!="Muy Baja",#REF!="Mayor"),CONCATENATE("R7C",#REF!),"")</f>
        <v>#REF!</v>
      </c>
      <c r="AG52" s="44" t="e">
        <f>IF(AND(#REF!="Muy Baja",#REF!="Mayor"),CONCATENATE("R7C",#REF!),"")</f>
        <v>#REF!</v>
      </c>
      <c r="AH52" s="45" t="e">
        <f>IF(AND(#REF!="Muy Baja",#REF!="Catastrófico"),CONCATENATE("R7C",#REF!),"")</f>
        <v>#REF!</v>
      </c>
      <c r="AI52" s="46" t="e">
        <f>IF(AND(#REF!="Muy Baja",#REF!="Catastrófico"),CONCATENATE("R7C",#REF!),"")</f>
        <v>#REF!</v>
      </c>
      <c r="AJ52" s="46" t="e">
        <f>IF(AND(#REF!="Muy Baja",#REF!="Catastrófico"),CONCATENATE("R7C",#REF!),"")</f>
        <v>#REF!</v>
      </c>
      <c r="AK52" s="46" t="e">
        <f>IF(AND(#REF!="Muy Baja",#REF!="Catastrófico"),CONCATENATE("R7C",#REF!),"")</f>
        <v>#REF!</v>
      </c>
      <c r="AL52" s="46" t="e">
        <f>IF(AND(#REF!="Muy Baja",#REF!="Catastrófico"),CONCATENATE("R7C",#REF!),"")</f>
        <v>#REF!</v>
      </c>
      <c r="AM52" s="47" t="e">
        <f>IF(AND(#REF!="Muy Baja",#REF!="Catastrófico"),CONCATENATE("R7C",#REF!),"")</f>
        <v>#REF!</v>
      </c>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709"/>
      <c r="C53" s="709"/>
      <c r="D53" s="710"/>
      <c r="E53" s="750"/>
      <c r="F53" s="751"/>
      <c r="G53" s="751"/>
      <c r="H53" s="751"/>
      <c r="I53" s="752"/>
      <c r="J53" s="66" t="e">
        <f>IF(AND(#REF!="Muy Baja",#REF!="Leve"),CONCATENATE("R8C",#REF!),"")</f>
        <v>#REF!</v>
      </c>
      <c r="K53" s="67" t="e">
        <f>IF(AND(#REF!="Muy Baja",#REF!="Leve"),CONCATENATE("R8C",#REF!),"")</f>
        <v>#REF!</v>
      </c>
      <c r="L53" s="67" t="e">
        <f>IF(AND(#REF!="Muy Baja",#REF!="Leve"),CONCATENATE("R8C",#REF!),"")</f>
        <v>#REF!</v>
      </c>
      <c r="M53" s="67" t="e">
        <f>IF(AND(#REF!="Muy Baja",#REF!="Leve"),CONCATENATE("R8C",#REF!),"")</f>
        <v>#REF!</v>
      </c>
      <c r="N53" s="67" t="e">
        <f>IF(AND(#REF!="Muy Baja",#REF!="Leve"),CONCATENATE("R8C",#REF!),"")</f>
        <v>#REF!</v>
      </c>
      <c r="O53" s="68" t="e">
        <f>IF(AND(#REF!="Muy Baja",#REF!="Leve"),CONCATENATE("R8C",#REF!),"")</f>
        <v>#REF!</v>
      </c>
      <c r="P53" s="66" t="e">
        <f>IF(AND(#REF!="Muy Baja",#REF!="Menor"),CONCATENATE("R8C",#REF!),"")</f>
        <v>#REF!</v>
      </c>
      <c r="Q53" s="67" t="e">
        <f>IF(AND(#REF!="Muy Baja",#REF!="Menor"),CONCATENATE("R8C",#REF!),"")</f>
        <v>#REF!</v>
      </c>
      <c r="R53" s="67" t="e">
        <f>IF(AND(#REF!="Muy Baja",#REF!="Menor"),CONCATENATE("R8C",#REF!),"")</f>
        <v>#REF!</v>
      </c>
      <c r="S53" s="67" t="e">
        <f>IF(AND(#REF!="Muy Baja",#REF!="Menor"),CONCATENATE("R8C",#REF!),"")</f>
        <v>#REF!</v>
      </c>
      <c r="T53" s="67" t="e">
        <f>IF(AND(#REF!="Muy Baja",#REF!="Menor"),CONCATENATE("R8C",#REF!),"")</f>
        <v>#REF!</v>
      </c>
      <c r="U53" s="68" t="e">
        <f>IF(AND(#REF!="Muy Baja",#REF!="Menor"),CONCATENATE("R8C",#REF!),"")</f>
        <v>#REF!</v>
      </c>
      <c r="V53" s="57" t="e">
        <f>IF(AND(#REF!="Muy Baja",#REF!="Moderado"),CONCATENATE("R8C",#REF!),"")</f>
        <v>#REF!</v>
      </c>
      <c r="W53" s="58" t="e">
        <f>IF(AND(#REF!="Muy Baja",#REF!="Moderado"),CONCATENATE("R8C",#REF!),"")</f>
        <v>#REF!</v>
      </c>
      <c r="X53" s="58" t="e">
        <f>IF(AND(#REF!="Muy Baja",#REF!="Moderado"),CONCATENATE("R8C",#REF!),"")</f>
        <v>#REF!</v>
      </c>
      <c r="Y53" s="58" t="e">
        <f>IF(AND(#REF!="Muy Baja",#REF!="Moderado"),CONCATENATE("R8C",#REF!),"")</f>
        <v>#REF!</v>
      </c>
      <c r="Z53" s="58" t="e">
        <f>IF(AND(#REF!="Muy Baja",#REF!="Moderado"),CONCATENATE("R8C",#REF!),"")</f>
        <v>#REF!</v>
      </c>
      <c r="AA53" s="59" t="e">
        <f>IF(AND(#REF!="Muy Baja",#REF!="Moderado"),CONCATENATE("R8C",#REF!),"")</f>
        <v>#REF!</v>
      </c>
      <c r="AB53" s="42" t="e">
        <f>IF(AND(#REF!="Muy Baja",#REF!="Mayor"),CONCATENATE("R8C",#REF!),"")</f>
        <v>#REF!</v>
      </c>
      <c r="AC53" s="43" t="e">
        <f>IF(AND(#REF!="Muy Baja",#REF!="Mayor"),CONCATENATE("R8C",#REF!),"")</f>
        <v>#REF!</v>
      </c>
      <c r="AD53" s="43" t="e">
        <f>IF(AND(#REF!="Muy Baja",#REF!="Mayor"),CONCATENATE("R8C",#REF!),"")</f>
        <v>#REF!</v>
      </c>
      <c r="AE53" s="43" t="e">
        <f>IF(AND(#REF!="Muy Baja",#REF!="Mayor"),CONCATENATE("R8C",#REF!),"")</f>
        <v>#REF!</v>
      </c>
      <c r="AF53" s="43" t="e">
        <f>IF(AND(#REF!="Muy Baja",#REF!="Mayor"),CONCATENATE("R8C",#REF!),"")</f>
        <v>#REF!</v>
      </c>
      <c r="AG53" s="44" t="e">
        <f>IF(AND(#REF!="Muy Baja",#REF!="Mayor"),CONCATENATE("R8C",#REF!),"")</f>
        <v>#REF!</v>
      </c>
      <c r="AH53" s="45" t="e">
        <f>IF(AND(#REF!="Muy Baja",#REF!="Catastrófico"),CONCATENATE("R8C",#REF!),"")</f>
        <v>#REF!</v>
      </c>
      <c r="AI53" s="46" t="e">
        <f>IF(AND(#REF!="Muy Baja",#REF!="Catastrófico"),CONCATENATE("R8C",#REF!),"")</f>
        <v>#REF!</v>
      </c>
      <c r="AJ53" s="46" t="e">
        <f>IF(AND(#REF!="Muy Baja",#REF!="Catastrófico"),CONCATENATE("R8C",#REF!),"")</f>
        <v>#REF!</v>
      </c>
      <c r="AK53" s="46" t="e">
        <f>IF(AND(#REF!="Muy Baja",#REF!="Catastrófico"),CONCATENATE("R8C",#REF!),"")</f>
        <v>#REF!</v>
      </c>
      <c r="AL53" s="46" t="e">
        <f>IF(AND(#REF!="Muy Baja",#REF!="Catastrófico"),CONCATENATE("R8C",#REF!),"")</f>
        <v>#REF!</v>
      </c>
      <c r="AM53" s="47" t="e">
        <f>IF(AND(#REF!="Muy Baja",#REF!="Catastrófico"),CONCATENATE("R8C",#REF!),"")</f>
        <v>#REF!</v>
      </c>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709"/>
      <c r="C54" s="709"/>
      <c r="D54" s="710"/>
      <c r="E54" s="750"/>
      <c r="F54" s="751"/>
      <c r="G54" s="751"/>
      <c r="H54" s="751"/>
      <c r="I54" s="752"/>
      <c r="J54" s="66" t="e">
        <f>IF(AND(#REF!="Muy Baja",#REF!="Leve"),CONCATENATE("R9C",#REF!),"")</f>
        <v>#REF!</v>
      </c>
      <c r="K54" s="67" t="e">
        <f>IF(AND(#REF!="Muy Baja",#REF!="Leve"),CONCATENATE("R9C",#REF!),"")</f>
        <v>#REF!</v>
      </c>
      <c r="L54" s="67" t="e">
        <f>IF(AND(#REF!="Muy Baja",#REF!="Leve"),CONCATENATE("R9C",#REF!),"")</f>
        <v>#REF!</v>
      </c>
      <c r="M54" s="67" t="e">
        <f>IF(AND(#REF!="Muy Baja",#REF!="Leve"),CONCATENATE("R9C",#REF!),"")</f>
        <v>#REF!</v>
      </c>
      <c r="N54" s="67" t="e">
        <f>IF(AND(#REF!="Muy Baja",#REF!="Leve"),CONCATENATE("R9C",#REF!),"")</f>
        <v>#REF!</v>
      </c>
      <c r="O54" s="68" t="e">
        <f>IF(AND(#REF!="Muy Baja",#REF!="Leve"),CONCATENATE("R9C",#REF!),"")</f>
        <v>#REF!</v>
      </c>
      <c r="P54" s="66" t="e">
        <f>IF(AND(#REF!="Muy Baja",#REF!="Menor"),CONCATENATE("R9C",#REF!),"")</f>
        <v>#REF!</v>
      </c>
      <c r="Q54" s="67" t="e">
        <f>IF(AND(#REF!="Muy Baja",#REF!="Menor"),CONCATENATE("R9C",#REF!),"")</f>
        <v>#REF!</v>
      </c>
      <c r="R54" s="67" t="e">
        <f>IF(AND(#REF!="Muy Baja",#REF!="Menor"),CONCATENATE("R9C",#REF!),"")</f>
        <v>#REF!</v>
      </c>
      <c r="S54" s="67" t="e">
        <f>IF(AND(#REF!="Muy Baja",#REF!="Menor"),CONCATENATE("R9C",#REF!),"")</f>
        <v>#REF!</v>
      </c>
      <c r="T54" s="67" t="e">
        <f>IF(AND(#REF!="Muy Baja",#REF!="Menor"),CONCATENATE("R9C",#REF!),"")</f>
        <v>#REF!</v>
      </c>
      <c r="U54" s="68" t="e">
        <f>IF(AND(#REF!="Muy Baja",#REF!="Menor"),CONCATENATE("R9C",#REF!),"")</f>
        <v>#REF!</v>
      </c>
      <c r="V54" s="57" t="e">
        <f>IF(AND(#REF!="Muy Baja",#REF!="Moderado"),CONCATENATE("R9C",#REF!),"")</f>
        <v>#REF!</v>
      </c>
      <c r="W54" s="58" t="e">
        <f>IF(AND(#REF!="Muy Baja",#REF!="Moderado"),CONCATENATE("R9C",#REF!),"")</f>
        <v>#REF!</v>
      </c>
      <c r="X54" s="58" t="e">
        <f>IF(AND(#REF!="Muy Baja",#REF!="Moderado"),CONCATENATE("R9C",#REF!),"")</f>
        <v>#REF!</v>
      </c>
      <c r="Y54" s="58" t="e">
        <f>IF(AND(#REF!="Muy Baja",#REF!="Moderado"),CONCATENATE("R9C",#REF!),"")</f>
        <v>#REF!</v>
      </c>
      <c r="Z54" s="58" t="e">
        <f>IF(AND(#REF!="Muy Baja",#REF!="Moderado"),CONCATENATE("R9C",#REF!),"")</f>
        <v>#REF!</v>
      </c>
      <c r="AA54" s="59" t="e">
        <f>IF(AND(#REF!="Muy Baja",#REF!="Moderado"),CONCATENATE("R9C",#REF!),"")</f>
        <v>#REF!</v>
      </c>
      <c r="AB54" s="42" t="e">
        <f>IF(AND(#REF!="Muy Baja",#REF!="Mayor"),CONCATENATE("R9C",#REF!),"")</f>
        <v>#REF!</v>
      </c>
      <c r="AC54" s="43" t="e">
        <f>IF(AND(#REF!="Muy Baja",#REF!="Mayor"),CONCATENATE("R9C",#REF!),"")</f>
        <v>#REF!</v>
      </c>
      <c r="AD54" s="43" t="e">
        <f>IF(AND(#REF!="Muy Baja",#REF!="Mayor"),CONCATENATE("R9C",#REF!),"")</f>
        <v>#REF!</v>
      </c>
      <c r="AE54" s="43" t="e">
        <f>IF(AND(#REF!="Muy Baja",#REF!="Mayor"),CONCATENATE("R9C",#REF!),"")</f>
        <v>#REF!</v>
      </c>
      <c r="AF54" s="43" t="e">
        <f>IF(AND(#REF!="Muy Baja",#REF!="Mayor"),CONCATENATE("R9C",#REF!),"")</f>
        <v>#REF!</v>
      </c>
      <c r="AG54" s="44" t="e">
        <f>IF(AND(#REF!="Muy Baja",#REF!="Mayor"),CONCATENATE("R9C",#REF!),"")</f>
        <v>#REF!</v>
      </c>
      <c r="AH54" s="45" t="e">
        <f>IF(AND(#REF!="Muy Baja",#REF!="Catastrófico"),CONCATENATE("R9C",#REF!),"")</f>
        <v>#REF!</v>
      </c>
      <c r="AI54" s="46" t="e">
        <f>IF(AND(#REF!="Muy Baja",#REF!="Catastrófico"),CONCATENATE("R9C",#REF!),"")</f>
        <v>#REF!</v>
      </c>
      <c r="AJ54" s="46" t="e">
        <f>IF(AND(#REF!="Muy Baja",#REF!="Catastrófico"),CONCATENATE("R9C",#REF!),"")</f>
        <v>#REF!</v>
      </c>
      <c r="AK54" s="46" t="e">
        <f>IF(AND(#REF!="Muy Baja",#REF!="Catastrófico"),CONCATENATE("R9C",#REF!),"")</f>
        <v>#REF!</v>
      </c>
      <c r="AL54" s="46" t="e">
        <f>IF(AND(#REF!="Muy Baja",#REF!="Catastrófico"),CONCATENATE("R9C",#REF!),"")</f>
        <v>#REF!</v>
      </c>
      <c r="AM54" s="47" t="e">
        <f>IF(AND(#REF!="Muy Baja",#REF!="Catastrófico"),CONCATENATE("R9C",#REF!),"")</f>
        <v>#REF!</v>
      </c>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ht="15.75" customHeight="1" thickBot="1" x14ac:dyDescent="0.3">
      <c r="A55" s="73"/>
      <c r="B55" s="709"/>
      <c r="C55" s="709"/>
      <c r="D55" s="710"/>
      <c r="E55" s="753"/>
      <c r="F55" s="754"/>
      <c r="G55" s="754"/>
      <c r="H55" s="754"/>
      <c r="I55" s="755"/>
      <c r="J55" s="69" t="e">
        <f>IF(AND(#REF!="Muy Baja",#REF!="Leve"),CONCATENATE("R10C",#REF!),"")</f>
        <v>#REF!</v>
      </c>
      <c r="K55" s="70" t="e">
        <f>IF(AND(#REF!="Muy Baja",#REF!="Leve"),CONCATENATE("R10C",#REF!),"")</f>
        <v>#REF!</v>
      </c>
      <c r="L55" s="70" t="e">
        <f>IF(AND(#REF!="Muy Baja",#REF!="Leve"),CONCATENATE("R10C",#REF!),"")</f>
        <v>#REF!</v>
      </c>
      <c r="M55" s="70" t="e">
        <f>IF(AND(#REF!="Muy Baja",#REF!="Leve"),CONCATENATE("R10C",#REF!),"")</f>
        <v>#REF!</v>
      </c>
      <c r="N55" s="70" t="e">
        <f>IF(AND(#REF!="Muy Baja",#REF!="Leve"),CONCATENATE("R10C",#REF!),"")</f>
        <v>#REF!</v>
      </c>
      <c r="O55" s="71" t="e">
        <f>IF(AND(#REF!="Muy Baja",#REF!="Leve"),CONCATENATE("R10C",#REF!),"")</f>
        <v>#REF!</v>
      </c>
      <c r="P55" s="69" t="e">
        <f>IF(AND(#REF!="Muy Baja",#REF!="Menor"),CONCATENATE("R10C",#REF!),"")</f>
        <v>#REF!</v>
      </c>
      <c r="Q55" s="70" t="e">
        <f>IF(AND(#REF!="Muy Baja",#REF!="Menor"),CONCATENATE("R10C",#REF!),"")</f>
        <v>#REF!</v>
      </c>
      <c r="R55" s="70" t="e">
        <f>IF(AND(#REF!="Muy Baja",#REF!="Menor"),CONCATENATE("R10C",#REF!),"")</f>
        <v>#REF!</v>
      </c>
      <c r="S55" s="70" t="e">
        <f>IF(AND(#REF!="Muy Baja",#REF!="Menor"),CONCATENATE("R10C",#REF!),"")</f>
        <v>#REF!</v>
      </c>
      <c r="T55" s="70" t="e">
        <f>IF(AND(#REF!="Muy Baja",#REF!="Menor"),CONCATENATE("R10C",#REF!),"")</f>
        <v>#REF!</v>
      </c>
      <c r="U55" s="71" t="e">
        <f>IF(AND(#REF!="Muy Baja",#REF!="Menor"),CONCATENATE("R10C",#REF!),"")</f>
        <v>#REF!</v>
      </c>
      <c r="V55" s="60" t="e">
        <f>IF(AND(#REF!="Muy Baja",#REF!="Moderado"),CONCATENATE("R10C",#REF!),"")</f>
        <v>#REF!</v>
      </c>
      <c r="W55" s="61" t="e">
        <f>IF(AND(#REF!="Muy Baja",#REF!="Moderado"),CONCATENATE("R10C",#REF!),"")</f>
        <v>#REF!</v>
      </c>
      <c r="X55" s="61" t="e">
        <f>IF(AND(#REF!="Muy Baja",#REF!="Moderado"),CONCATENATE("R10C",#REF!),"")</f>
        <v>#REF!</v>
      </c>
      <c r="Y55" s="61" t="e">
        <f>IF(AND(#REF!="Muy Baja",#REF!="Moderado"),CONCATENATE("R10C",#REF!),"")</f>
        <v>#REF!</v>
      </c>
      <c r="Z55" s="61" t="e">
        <f>IF(AND(#REF!="Muy Baja",#REF!="Moderado"),CONCATENATE("R10C",#REF!),"")</f>
        <v>#REF!</v>
      </c>
      <c r="AA55" s="62" t="e">
        <f>IF(AND(#REF!="Muy Baja",#REF!="Moderado"),CONCATENATE("R10C",#REF!),"")</f>
        <v>#REF!</v>
      </c>
      <c r="AB55" s="48" t="e">
        <f>IF(AND(#REF!="Muy Baja",#REF!="Mayor"),CONCATENATE("R10C",#REF!),"")</f>
        <v>#REF!</v>
      </c>
      <c r="AC55" s="49" t="e">
        <f>IF(AND(#REF!="Muy Baja",#REF!="Mayor"),CONCATENATE("R10C",#REF!),"")</f>
        <v>#REF!</v>
      </c>
      <c r="AD55" s="49" t="e">
        <f>IF(AND(#REF!="Muy Baja",#REF!="Mayor"),CONCATENATE("R10C",#REF!),"")</f>
        <v>#REF!</v>
      </c>
      <c r="AE55" s="49" t="e">
        <f>IF(AND(#REF!="Muy Baja",#REF!="Mayor"),CONCATENATE("R10C",#REF!),"")</f>
        <v>#REF!</v>
      </c>
      <c r="AF55" s="49" t="e">
        <f>IF(AND(#REF!="Muy Baja",#REF!="Mayor"),CONCATENATE("R10C",#REF!),"")</f>
        <v>#REF!</v>
      </c>
      <c r="AG55" s="50" t="e">
        <f>IF(AND(#REF!="Muy Baja",#REF!="Mayor"),CONCATENATE("R10C",#REF!),"")</f>
        <v>#REF!</v>
      </c>
      <c r="AH55" s="51" t="e">
        <f>IF(AND(#REF!="Muy Baja",#REF!="Catastrófico"),CONCATENATE("R10C",#REF!),"")</f>
        <v>#REF!</v>
      </c>
      <c r="AI55" s="52" t="e">
        <f>IF(AND(#REF!="Muy Baja",#REF!="Catastrófico"),CONCATENATE("R10C",#REF!),"")</f>
        <v>#REF!</v>
      </c>
      <c r="AJ55" s="52" t="e">
        <f>IF(AND(#REF!="Muy Baja",#REF!="Catastrófico"),CONCATENATE("R10C",#REF!),"")</f>
        <v>#REF!</v>
      </c>
      <c r="AK55" s="52" t="e">
        <f>IF(AND(#REF!="Muy Baja",#REF!="Catastrófico"),CONCATENATE("R10C",#REF!),"")</f>
        <v>#REF!</v>
      </c>
      <c r="AL55" s="52" t="e">
        <f>IF(AND(#REF!="Muy Baja",#REF!="Catastrófico"),CONCATENATE("R10C",#REF!),"")</f>
        <v>#REF!</v>
      </c>
      <c r="AM55" s="53" t="e">
        <f>IF(AND(#REF!="Muy Baja",#REF!="Catastrófico"),CONCATENATE("R10C",#REF!),"")</f>
        <v>#REF!</v>
      </c>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747" t="s">
        <v>390</v>
      </c>
      <c r="K56" s="748"/>
      <c r="L56" s="748"/>
      <c r="M56" s="748"/>
      <c r="N56" s="748"/>
      <c r="O56" s="749"/>
      <c r="P56" s="747" t="s">
        <v>391</v>
      </c>
      <c r="Q56" s="748"/>
      <c r="R56" s="748"/>
      <c r="S56" s="748"/>
      <c r="T56" s="748"/>
      <c r="U56" s="749"/>
      <c r="V56" s="747" t="s">
        <v>392</v>
      </c>
      <c r="W56" s="748"/>
      <c r="X56" s="748"/>
      <c r="Y56" s="748"/>
      <c r="Z56" s="748"/>
      <c r="AA56" s="749"/>
      <c r="AB56" s="747" t="s">
        <v>393</v>
      </c>
      <c r="AC56" s="756"/>
      <c r="AD56" s="748"/>
      <c r="AE56" s="748"/>
      <c r="AF56" s="748"/>
      <c r="AG56" s="749"/>
      <c r="AH56" s="747" t="s">
        <v>394</v>
      </c>
      <c r="AI56" s="748"/>
      <c r="AJ56" s="748"/>
      <c r="AK56" s="748"/>
      <c r="AL56" s="748"/>
      <c r="AM56" s="749"/>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750"/>
      <c r="K57" s="751"/>
      <c r="L57" s="751"/>
      <c r="M57" s="751"/>
      <c r="N57" s="751"/>
      <c r="O57" s="752"/>
      <c r="P57" s="750"/>
      <c r="Q57" s="751"/>
      <c r="R57" s="751"/>
      <c r="S57" s="751"/>
      <c r="T57" s="751"/>
      <c r="U57" s="752"/>
      <c r="V57" s="750"/>
      <c r="W57" s="751"/>
      <c r="X57" s="751"/>
      <c r="Y57" s="751"/>
      <c r="Z57" s="751"/>
      <c r="AA57" s="752"/>
      <c r="AB57" s="750"/>
      <c r="AC57" s="751"/>
      <c r="AD57" s="751"/>
      <c r="AE57" s="751"/>
      <c r="AF57" s="751"/>
      <c r="AG57" s="752"/>
      <c r="AH57" s="750"/>
      <c r="AI57" s="751"/>
      <c r="AJ57" s="751"/>
      <c r="AK57" s="751"/>
      <c r="AL57" s="751"/>
      <c r="AM57" s="752"/>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750"/>
      <c r="K58" s="751"/>
      <c r="L58" s="751"/>
      <c r="M58" s="751"/>
      <c r="N58" s="751"/>
      <c r="O58" s="752"/>
      <c r="P58" s="750"/>
      <c r="Q58" s="751"/>
      <c r="R58" s="751"/>
      <c r="S58" s="751"/>
      <c r="T58" s="751"/>
      <c r="U58" s="752"/>
      <c r="V58" s="750"/>
      <c r="W58" s="751"/>
      <c r="X58" s="751"/>
      <c r="Y58" s="751"/>
      <c r="Z58" s="751"/>
      <c r="AA58" s="752"/>
      <c r="AB58" s="750"/>
      <c r="AC58" s="751"/>
      <c r="AD58" s="751"/>
      <c r="AE58" s="751"/>
      <c r="AF58" s="751"/>
      <c r="AG58" s="752"/>
      <c r="AH58" s="750"/>
      <c r="AI58" s="751"/>
      <c r="AJ58" s="751"/>
      <c r="AK58" s="751"/>
      <c r="AL58" s="751"/>
      <c r="AM58" s="752"/>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750"/>
      <c r="K59" s="751"/>
      <c r="L59" s="751"/>
      <c r="M59" s="751"/>
      <c r="N59" s="751"/>
      <c r="O59" s="752"/>
      <c r="P59" s="750"/>
      <c r="Q59" s="751"/>
      <c r="R59" s="751"/>
      <c r="S59" s="751"/>
      <c r="T59" s="751"/>
      <c r="U59" s="752"/>
      <c r="V59" s="750"/>
      <c r="W59" s="751"/>
      <c r="X59" s="751"/>
      <c r="Y59" s="751"/>
      <c r="Z59" s="751"/>
      <c r="AA59" s="752"/>
      <c r="AB59" s="750"/>
      <c r="AC59" s="751"/>
      <c r="AD59" s="751"/>
      <c r="AE59" s="751"/>
      <c r="AF59" s="751"/>
      <c r="AG59" s="752"/>
      <c r="AH59" s="750"/>
      <c r="AI59" s="751"/>
      <c r="AJ59" s="751"/>
      <c r="AK59" s="751"/>
      <c r="AL59" s="751"/>
      <c r="AM59" s="752"/>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750"/>
      <c r="K60" s="751"/>
      <c r="L60" s="751"/>
      <c r="M60" s="751"/>
      <c r="N60" s="751"/>
      <c r="O60" s="752"/>
      <c r="P60" s="750"/>
      <c r="Q60" s="751"/>
      <c r="R60" s="751"/>
      <c r="S60" s="751"/>
      <c r="T60" s="751"/>
      <c r="U60" s="752"/>
      <c r="V60" s="750"/>
      <c r="W60" s="751"/>
      <c r="X60" s="751"/>
      <c r="Y60" s="751"/>
      <c r="Z60" s="751"/>
      <c r="AA60" s="752"/>
      <c r="AB60" s="750"/>
      <c r="AC60" s="751"/>
      <c r="AD60" s="751"/>
      <c r="AE60" s="751"/>
      <c r="AF60" s="751"/>
      <c r="AG60" s="752"/>
      <c r="AH60" s="750"/>
      <c r="AI60" s="751"/>
      <c r="AJ60" s="751"/>
      <c r="AK60" s="751"/>
      <c r="AL60" s="751"/>
      <c r="AM60" s="752"/>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ht="15.75" thickBot="1" x14ac:dyDescent="0.3">
      <c r="A61" s="73"/>
      <c r="B61" s="73"/>
      <c r="C61" s="73"/>
      <c r="D61" s="73"/>
      <c r="E61" s="73"/>
      <c r="F61" s="73"/>
      <c r="G61" s="73"/>
      <c r="H61" s="73"/>
      <c r="I61" s="73"/>
      <c r="J61" s="753"/>
      <c r="K61" s="754"/>
      <c r="L61" s="754"/>
      <c r="M61" s="754"/>
      <c r="N61" s="754"/>
      <c r="O61" s="755"/>
      <c r="P61" s="753"/>
      <c r="Q61" s="754"/>
      <c r="R61" s="754"/>
      <c r="S61" s="754"/>
      <c r="T61" s="754"/>
      <c r="U61" s="755"/>
      <c r="V61" s="753"/>
      <c r="W61" s="754"/>
      <c r="X61" s="754"/>
      <c r="Y61" s="754"/>
      <c r="Z61" s="754"/>
      <c r="AA61" s="755"/>
      <c r="AB61" s="753"/>
      <c r="AC61" s="754"/>
      <c r="AD61" s="754"/>
      <c r="AE61" s="754"/>
      <c r="AF61" s="754"/>
      <c r="AG61" s="755"/>
      <c r="AH61" s="753"/>
      <c r="AI61" s="754"/>
      <c r="AJ61" s="754"/>
      <c r="AK61" s="754"/>
      <c r="AL61" s="754"/>
      <c r="AM61" s="755"/>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row>
    <row r="63" spans="1:80" ht="15" customHeight="1" x14ac:dyDescent="0.25">
      <c r="A63" s="73"/>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3"/>
      <c r="AV63" s="73"/>
      <c r="AW63" s="73"/>
      <c r="AX63" s="73"/>
      <c r="AY63" s="73"/>
      <c r="AZ63" s="73"/>
      <c r="BA63" s="73"/>
      <c r="BB63" s="73"/>
      <c r="BC63" s="73"/>
      <c r="BD63" s="73"/>
      <c r="BE63" s="73"/>
      <c r="BF63" s="73"/>
      <c r="BG63" s="73"/>
      <c r="BH63" s="73"/>
    </row>
    <row r="64" spans="1:80" ht="15" customHeight="1" x14ac:dyDescent="0.25">
      <c r="A64" s="73"/>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3"/>
      <c r="AV64" s="73"/>
      <c r="AW64" s="73"/>
      <c r="AX64" s="73"/>
      <c r="AY64" s="73"/>
      <c r="AZ64" s="73"/>
      <c r="BA64" s="73"/>
      <c r="BB64" s="73"/>
      <c r="BC64" s="73"/>
      <c r="BD64" s="73"/>
      <c r="BE64" s="73"/>
      <c r="BF64" s="73"/>
      <c r="BG64" s="73"/>
      <c r="BH64" s="73"/>
    </row>
    <row r="65" spans="1:6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row>
    <row r="66" spans="1:6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row>
    <row r="67" spans="1:6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row>
    <row r="68" spans="1:6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row>
    <row r="69" spans="1:6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row>
    <row r="70" spans="1:6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row>
    <row r="71" spans="1:6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row>
    <row r="72" spans="1:6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row>
    <row r="73" spans="1:6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row>
    <row r="74" spans="1:6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row>
    <row r="75" spans="1:6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row>
    <row r="76" spans="1:6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row>
    <row r="77" spans="1:6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row>
    <row r="78" spans="1:6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row>
    <row r="79" spans="1:6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row>
    <row r="80" spans="1:6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row>
    <row r="81" spans="1:60"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row>
    <row r="82" spans="1:60"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row>
    <row r="83" spans="1:60"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row>
    <row r="84" spans="1:60"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row>
    <row r="85" spans="1:60"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row>
    <row r="86" spans="1:60"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row>
    <row r="87" spans="1:60"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row>
    <row r="88" spans="1:60"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row>
    <row r="89" spans="1:60"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row>
    <row r="90" spans="1:60"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row>
    <row r="91" spans="1:60"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row>
    <row r="92" spans="1:60"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row>
    <row r="93" spans="1:60"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row>
    <row r="94" spans="1:60"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row>
    <row r="95" spans="1:60"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row>
    <row r="96" spans="1:60"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row>
    <row r="97" spans="1:60"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row>
    <row r="98" spans="1:60"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row>
    <row r="99" spans="1:60"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row>
    <row r="100" spans="1:60"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row>
    <row r="101" spans="1:60"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row>
    <row r="102" spans="1:60"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row>
    <row r="103" spans="1:60"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row>
    <row r="104" spans="1:60"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row>
    <row r="105" spans="1:60"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row>
    <row r="106" spans="1:60"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row>
    <row r="107" spans="1:60"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row>
    <row r="108" spans="1:60"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row>
    <row r="109" spans="1:60"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row>
    <row r="110" spans="1:60"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row>
    <row r="111" spans="1:60"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row>
    <row r="112" spans="1:60"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row>
    <row r="113" spans="1:60"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row>
    <row r="114" spans="1:60"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row>
    <row r="115" spans="1:60"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row>
    <row r="116" spans="1:60"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row>
    <row r="117" spans="1:60"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row>
    <row r="118" spans="1:60"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row>
    <row r="119" spans="1:60"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row>
    <row r="120" spans="1:60"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row>
    <row r="121" spans="1:60"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row>
    <row r="122" spans="1:60" x14ac:dyDescent="0.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row>
    <row r="123" spans="1:60" x14ac:dyDescent="0.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row>
    <row r="124" spans="1:60" x14ac:dyDescent="0.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row>
    <row r="125" spans="1:60" x14ac:dyDescent="0.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row>
    <row r="126" spans="1:60" x14ac:dyDescent="0.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row>
    <row r="127" spans="1:60" x14ac:dyDescent="0.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row>
    <row r="128" spans="1:60" x14ac:dyDescent="0.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row>
    <row r="129" spans="1:60" x14ac:dyDescent="0.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row>
    <row r="130" spans="1:60" x14ac:dyDescent="0.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row>
    <row r="131" spans="1:60" x14ac:dyDescent="0.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row>
    <row r="132" spans="1:60" x14ac:dyDescent="0.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row>
    <row r="133" spans="1:60" x14ac:dyDescent="0.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row>
    <row r="134" spans="1:60" x14ac:dyDescent="0.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row>
    <row r="135" spans="1:60" x14ac:dyDescent="0.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row>
    <row r="136" spans="1:60" x14ac:dyDescent="0.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row>
    <row r="137" spans="1:60" x14ac:dyDescent="0.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row>
    <row r="138" spans="1:60" x14ac:dyDescent="0.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row>
    <row r="139" spans="1:60" x14ac:dyDescent="0.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row>
    <row r="140" spans="1:60" x14ac:dyDescent="0.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row>
    <row r="141" spans="1:60" x14ac:dyDescent="0.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row>
    <row r="142" spans="1:60" x14ac:dyDescent="0.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row>
    <row r="143" spans="1:60" x14ac:dyDescent="0.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row>
    <row r="144" spans="1:60" x14ac:dyDescent="0.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row>
    <row r="145" spans="1:60" x14ac:dyDescent="0.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row>
    <row r="146" spans="1:60" x14ac:dyDescent="0.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row>
    <row r="147" spans="1:60" x14ac:dyDescent="0.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row>
    <row r="148" spans="1:60" x14ac:dyDescent="0.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row>
    <row r="149" spans="1:60" x14ac:dyDescent="0.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row>
    <row r="150" spans="1:60" x14ac:dyDescent="0.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row>
    <row r="151" spans="1:60" x14ac:dyDescent="0.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row>
    <row r="152" spans="1:60" x14ac:dyDescent="0.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row>
    <row r="153" spans="1:60" x14ac:dyDescent="0.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row>
    <row r="154" spans="1:60" x14ac:dyDescent="0.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row>
    <row r="155" spans="1:60" x14ac:dyDescent="0.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row>
    <row r="156" spans="1:60" x14ac:dyDescent="0.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row>
    <row r="157" spans="1:60" x14ac:dyDescent="0.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row>
    <row r="158" spans="1:60" x14ac:dyDescent="0.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row>
    <row r="159" spans="1:60" x14ac:dyDescent="0.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row>
    <row r="160" spans="1:60" x14ac:dyDescent="0.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row>
    <row r="161" spans="1:60" x14ac:dyDescent="0.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row>
    <row r="162" spans="1:60" x14ac:dyDescent="0.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row>
    <row r="163" spans="1:60" x14ac:dyDescent="0.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row>
    <row r="164" spans="1:60" x14ac:dyDescent="0.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row>
    <row r="165" spans="1:60" x14ac:dyDescent="0.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row>
    <row r="166" spans="1:60" x14ac:dyDescent="0.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row>
    <row r="167" spans="1:60" x14ac:dyDescent="0.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row>
    <row r="168" spans="1:60" x14ac:dyDescent="0.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row>
    <row r="169" spans="1:60" x14ac:dyDescent="0.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row>
    <row r="170" spans="1:60" x14ac:dyDescent="0.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row>
    <row r="171" spans="1:60" x14ac:dyDescent="0.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row>
    <row r="172" spans="1:60" x14ac:dyDescent="0.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row>
    <row r="173" spans="1:60" x14ac:dyDescent="0.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row>
    <row r="174" spans="1:60" x14ac:dyDescent="0.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row>
    <row r="175" spans="1:60" x14ac:dyDescent="0.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row>
    <row r="176" spans="1:60" x14ac:dyDescent="0.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row>
    <row r="177" spans="1:60" x14ac:dyDescent="0.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row>
    <row r="178" spans="1:60" x14ac:dyDescent="0.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row>
    <row r="179" spans="1:60" x14ac:dyDescent="0.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row>
    <row r="180" spans="1:60" x14ac:dyDescent="0.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row>
    <row r="181" spans="1:60" x14ac:dyDescent="0.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row>
    <row r="182" spans="1:60" x14ac:dyDescent="0.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row>
    <row r="183" spans="1:60" x14ac:dyDescent="0.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row>
    <row r="184" spans="1:60" x14ac:dyDescent="0.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row>
    <row r="185" spans="1:60" x14ac:dyDescent="0.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row>
    <row r="186" spans="1:60" x14ac:dyDescent="0.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row>
    <row r="187" spans="1:60" x14ac:dyDescent="0.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row>
    <row r="188" spans="1:60" x14ac:dyDescent="0.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row>
    <row r="189" spans="1:60" x14ac:dyDescent="0.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row>
    <row r="190" spans="1:60" x14ac:dyDescent="0.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row>
    <row r="191" spans="1:60" x14ac:dyDescent="0.25">
      <c r="A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row>
    <row r="192" spans="1:60" x14ac:dyDescent="0.25">
      <c r="A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row>
    <row r="193" spans="1:60" x14ac:dyDescent="0.25">
      <c r="A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row>
    <row r="194" spans="1:60" x14ac:dyDescent="0.25">
      <c r="A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row>
    <row r="195" spans="1:60" x14ac:dyDescent="0.25">
      <c r="A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row>
    <row r="196" spans="1:60" x14ac:dyDescent="0.25">
      <c r="A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row>
    <row r="197" spans="1:60" x14ac:dyDescent="0.25">
      <c r="A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row>
    <row r="198" spans="1:60" x14ac:dyDescent="0.25">
      <c r="A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row>
    <row r="199" spans="1:60" x14ac:dyDescent="0.25">
      <c r="A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row>
    <row r="200" spans="1:60" x14ac:dyDescent="0.25">
      <c r="A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row>
    <row r="201" spans="1:60" x14ac:dyDescent="0.25">
      <c r="A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row>
    <row r="202" spans="1:60" x14ac:dyDescent="0.25">
      <c r="A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row>
    <row r="203" spans="1:60" x14ac:dyDescent="0.25">
      <c r="A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row>
    <row r="204" spans="1:60" x14ac:dyDescent="0.25">
      <c r="A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row>
    <row r="205" spans="1:60" x14ac:dyDescent="0.25">
      <c r="A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row>
    <row r="206" spans="1:60" x14ac:dyDescent="0.25">
      <c r="A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row>
    <row r="207" spans="1:60" x14ac:dyDescent="0.25">
      <c r="A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row>
    <row r="208" spans="1:60" x14ac:dyDescent="0.25">
      <c r="A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row>
    <row r="209" spans="1:60" x14ac:dyDescent="0.25">
      <c r="A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row>
    <row r="210" spans="1:60" x14ac:dyDescent="0.25">
      <c r="A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row>
    <row r="211" spans="1:60" x14ac:dyDescent="0.25">
      <c r="A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row>
    <row r="212" spans="1:60" x14ac:dyDescent="0.25">
      <c r="A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row>
    <row r="213" spans="1:60" x14ac:dyDescent="0.25">
      <c r="A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row>
    <row r="214" spans="1:60" x14ac:dyDescent="0.25">
      <c r="A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row>
    <row r="215" spans="1:60" x14ac:dyDescent="0.25">
      <c r="A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row>
    <row r="216" spans="1:60" x14ac:dyDescent="0.25">
      <c r="A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row>
    <row r="217" spans="1:60" x14ac:dyDescent="0.25">
      <c r="A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row>
    <row r="218" spans="1:60" x14ac:dyDescent="0.25">
      <c r="A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row>
    <row r="219" spans="1:60" x14ac:dyDescent="0.25">
      <c r="A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row>
    <row r="220" spans="1:60" x14ac:dyDescent="0.25">
      <c r="A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row>
    <row r="221" spans="1:60" x14ac:dyDescent="0.25">
      <c r="A221" s="73"/>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row>
    <row r="222" spans="1:60" x14ac:dyDescent="0.25">
      <c r="A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row>
    <row r="223" spans="1:60" x14ac:dyDescent="0.25">
      <c r="A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row>
    <row r="224" spans="1:60" x14ac:dyDescent="0.25">
      <c r="A224" s="73"/>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row>
    <row r="225" spans="1:60" x14ac:dyDescent="0.25">
      <c r="A225" s="73"/>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row>
    <row r="226" spans="1:60" x14ac:dyDescent="0.25">
      <c r="A226" s="73"/>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row>
    <row r="227" spans="1:60" x14ac:dyDescent="0.25">
      <c r="A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row>
    <row r="228" spans="1:60" x14ac:dyDescent="0.25">
      <c r="A228" s="73"/>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row>
    <row r="229" spans="1:60" x14ac:dyDescent="0.25">
      <c r="A229" s="73"/>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row>
    <row r="230" spans="1:60" x14ac:dyDescent="0.25">
      <c r="A230" s="73"/>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row>
    <row r="231" spans="1:60" x14ac:dyDescent="0.25">
      <c r="A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row>
    <row r="232" spans="1:60" x14ac:dyDescent="0.25">
      <c r="A232" s="73"/>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row>
    <row r="233" spans="1:60" x14ac:dyDescent="0.25">
      <c r="A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row>
    <row r="234" spans="1:60" x14ac:dyDescent="0.25">
      <c r="A234" s="73"/>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row>
    <row r="235" spans="1:60" x14ac:dyDescent="0.25">
      <c r="A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row>
    <row r="236" spans="1:60" x14ac:dyDescent="0.25">
      <c r="A236" s="73"/>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row>
    <row r="237" spans="1:60" x14ac:dyDescent="0.25">
      <c r="A237" s="73"/>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row>
    <row r="238" spans="1:60" x14ac:dyDescent="0.25">
      <c r="A238" s="73"/>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row>
    <row r="239" spans="1:60" x14ac:dyDescent="0.25">
      <c r="A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row>
    <row r="240" spans="1:60" x14ac:dyDescent="0.25">
      <c r="A240" s="73"/>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row>
    <row r="241" spans="1:60" x14ac:dyDescent="0.25">
      <c r="A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row>
    <row r="242" spans="1:60" x14ac:dyDescent="0.25">
      <c r="A242" s="73"/>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row>
    <row r="243" spans="1:60" x14ac:dyDescent="0.25">
      <c r="A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row>
    <row r="244" spans="1:60" x14ac:dyDescent="0.25">
      <c r="A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row>
    <row r="245" spans="1:60" x14ac:dyDescent="0.25">
      <c r="A245" s="73"/>
    </row>
    <row r="246" spans="1:60" x14ac:dyDescent="0.25">
      <c r="A246" s="73"/>
    </row>
    <row r="247" spans="1:60" x14ac:dyDescent="0.25">
      <c r="A247" s="73"/>
    </row>
    <row r="248" spans="1:60" x14ac:dyDescent="0.25">
      <c r="A248" s="73"/>
    </row>
  </sheetData>
  <sheetProtection algorithmName="SHA-512" hashValue="pk41qPkreGaIienBHjYN6qHrG0CgO529+BqkFfOkTGgU8ieLIk2ly7oHCkTe6nIJwtUs4b/6dT5t6eEiLeXG7Q==" saltValue="1Vg2zxH2JXOw6ZLmo/E9SA==" spinCount="100000" sheet="1" objects="1" scenarios="1"/>
  <mergeCells count="17">
    <mergeCell ref="AO16:AT25"/>
    <mergeCell ref="E16:I25"/>
    <mergeCell ref="AO6:AT15"/>
    <mergeCell ref="B2:I4"/>
    <mergeCell ref="J2:AM4"/>
    <mergeCell ref="B6:D55"/>
    <mergeCell ref="E6:I15"/>
    <mergeCell ref="E46:I55"/>
    <mergeCell ref="AO36:AT45"/>
    <mergeCell ref="E36:I45"/>
    <mergeCell ref="AO26:AT35"/>
    <mergeCell ref="E26:I35"/>
    <mergeCell ref="J56:O61"/>
    <mergeCell ref="P56:U61"/>
    <mergeCell ref="V56:AA61"/>
    <mergeCell ref="AB56:AG61"/>
    <mergeCell ref="AH56:AM6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tabColor rgb="FF00B0F0"/>
  </sheetPr>
  <dimension ref="A1:AK55"/>
  <sheetViews>
    <sheetView zoomScale="90" zoomScaleNormal="90" workbookViewId="0">
      <selection activeCell="B7" sqref="B7"/>
    </sheetView>
  </sheetViews>
  <sheetFormatPr baseColWidth="10" defaultColWidth="11.42578125" defaultRowHeight="15" x14ac:dyDescent="0.25"/>
  <cols>
    <col min="2" max="2" width="24.140625" customWidth="1"/>
    <col min="3" max="3" width="70.140625" customWidth="1"/>
    <col min="4" max="4" width="29.85546875" customWidth="1"/>
  </cols>
  <sheetData>
    <row r="1" spans="1:37" ht="23.25" x14ac:dyDescent="0.25">
      <c r="A1" s="73"/>
      <c r="B1" s="796" t="s">
        <v>396</v>
      </c>
      <c r="C1" s="796"/>
      <c r="D1" s="796"/>
      <c r="E1" s="73"/>
      <c r="F1" s="73"/>
      <c r="G1" s="73"/>
      <c r="H1" s="73"/>
      <c r="I1" s="73"/>
      <c r="J1" s="73"/>
      <c r="K1" s="73"/>
      <c r="L1" s="73"/>
      <c r="M1" s="73"/>
      <c r="N1" s="73"/>
      <c r="O1" s="73"/>
      <c r="P1" s="73"/>
      <c r="Q1" s="73"/>
      <c r="R1" s="73"/>
      <c r="S1" s="73"/>
      <c r="T1" s="73"/>
      <c r="U1" s="73"/>
      <c r="V1" s="73"/>
      <c r="W1" s="73"/>
      <c r="X1" s="73"/>
      <c r="Y1" s="73"/>
      <c r="Z1" s="73"/>
      <c r="AA1" s="73"/>
      <c r="AB1" s="73"/>
      <c r="AC1" s="73"/>
      <c r="AD1" s="73"/>
      <c r="AE1" s="73"/>
    </row>
    <row r="2" spans="1:37" x14ac:dyDescent="0.25">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row>
    <row r="3" spans="1:37" ht="25.5" x14ac:dyDescent="0.25">
      <c r="A3" s="73"/>
      <c r="B3" s="7"/>
      <c r="C3" s="8" t="s">
        <v>397</v>
      </c>
      <c r="D3" s="8" t="s">
        <v>381</v>
      </c>
      <c r="E3" s="73"/>
      <c r="F3" s="73"/>
      <c r="G3" s="73"/>
      <c r="H3" s="73"/>
      <c r="I3" s="73"/>
      <c r="J3" s="73"/>
      <c r="K3" s="73"/>
      <c r="L3" s="73"/>
      <c r="M3" s="73"/>
      <c r="N3" s="73"/>
      <c r="O3" s="73"/>
      <c r="P3" s="73"/>
      <c r="Q3" s="73"/>
      <c r="R3" s="73"/>
      <c r="S3" s="73"/>
      <c r="T3" s="73"/>
      <c r="U3" s="73"/>
      <c r="V3" s="73"/>
      <c r="W3" s="73"/>
      <c r="X3" s="73"/>
      <c r="Y3" s="73"/>
      <c r="Z3" s="73"/>
      <c r="AA3" s="73"/>
      <c r="AB3" s="73"/>
      <c r="AC3" s="73"/>
      <c r="AD3" s="73"/>
      <c r="AE3" s="73"/>
    </row>
    <row r="4" spans="1:37" ht="51" x14ac:dyDescent="0.25">
      <c r="A4" s="73"/>
      <c r="B4" s="9" t="s">
        <v>398</v>
      </c>
      <c r="C4" s="10" t="s">
        <v>399</v>
      </c>
      <c r="D4" s="11">
        <v>0.2</v>
      </c>
      <c r="E4" s="73"/>
      <c r="F4" s="73"/>
      <c r="G4" s="73"/>
      <c r="H4" s="73"/>
      <c r="I4" s="73"/>
      <c r="J4" s="73"/>
      <c r="K4" s="73"/>
      <c r="L4" s="73"/>
      <c r="M4" s="73"/>
      <c r="N4" s="73"/>
      <c r="O4" s="73"/>
      <c r="P4" s="73"/>
      <c r="Q4" s="73"/>
      <c r="R4" s="73"/>
      <c r="S4" s="73"/>
      <c r="T4" s="73"/>
      <c r="U4" s="73"/>
      <c r="V4" s="73"/>
      <c r="W4" s="73"/>
      <c r="X4" s="73"/>
      <c r="Y4" s="73"/>
      <c r="Z4" s="73"/>
      <c r="AA4" s="73"/>
      <c r="AB4" s="73"/>
      <c r="AC4" s="73"/>
      <c r="AD4" s="73"/>
      <c r="AE4" s="73"/>
    </row>
    <row r="5" spans="1:37" ht="51" x14ac:dyDescent="0.25">
      <c r="A5" s="73"/>
      <c r="B5" s="12" t="s">
        <v>400</v>
      </c>
      <c r="C5" s="13" t="s">
        <v>401</v>
      </c>
      <c r="D5" s="14">
        <v>0.4</v>
      </c>
      <c r="E5" s="73"/>
      <c r="F5" s="73"/>
      <c r="G5" s="73"/>
      <c r="H5" s="73"/>
      <c r="I5" s="73"/>
      <c r="J5" s="73"/>
      <c r="K5" s="73"/>
      <c r="L5" s="73"/>
      <c r="M5" s="73"/>
      <c r="N5" s="73"/>
      <c r="O5" s="73"/>
      <c r="P5" s="73"/>
      <c r="Q5" s="73"/>
      <c r="R5" s="73"/>
      <c r="S5" s="73"/>
      <c r="T5" s="73"/>
      <c r="U5" s="73"/>
      <c r="V5" s="73"/>
      <c r="W5" s="73"/>
      <c r="X5" s="73"/>
      <c r="Y5" s="73"/>
      <c r="Z5" s="73"/>
      <c r="AA5" s="73"/>
      <c r="AB5" s="73"/>
      <c r="AC5" s="73"/>
      <c r="AD5" s="73"/>
      <c r="AE5" s="73"/>
    </row>
    <row r="6" spans="1:37" ht="51" x14ac:dyDescent="0.25">
      <c r="A6" s="73"/>
      <c r="B6" s="15" t="s">
        <v>402</v>
      </c>
      <c r="C6" s="13" t="s">
        <v>403</v>
      </c>
      <c r="D6" s="14">
        <v>0.6</v>
      </c>
      <c r="E6" s="73"/>
      <c r="F6" s="73"/>
      <c r="G6" s="73"/>
      <c r="H6" s="73"/>
      <c r="I6" s="73"/>
      <c r="J6" s="73"/>
      <c r="K6" s="73"/>
      <c r="L6" s="73"/>
      <c r="M6" s="73"/>
      <c r="N6" s="73"/>
      <c r="O6" s="73"/>
      <c r="P6" s="73"/>
      <c r="Q6" s="73"/>
      <c r="R6" s="73"/>
      <c r="S6" s="73"/>
      <c r="T6" s="73"/>
      <c r="U6" s="73"/>
      <c r="V6" s="73"/>
      <c r="W6" s="73"/>
      <c r="X6" s="73"/>
      <c r="Y6" s="73"/>
      <c r="Z6" s="73"/>
      <c r="AA6" s="73"/>
      <c r="AB6" s="73"/>
      <c r="AC6" s="73"/>
      <c r="AD6" s="73"/>
      <c r="AE6" s="73"/>
    </row>
    <row r="7" spans="1:37" ht="76.5" x14ac:dyDescent="0.25">
      <c r="A7" s="73"/>
      <c r="B7" s="16" t="s">
        <v>404</v>
      </c>
      <c r="C7" s="13" t="s">
        <v>405</v>
      </c>
      <c r="D7" s="14">
        <v>0.8</v>
      </c>
      <c r="E7" s="73"/>
      <c r="F7" s="73"/>
      <c r="G7" s="73"/>
      <c r="H7" s="73"/>
      <c r="I7" s="73"/>
      <c r="J7" s="73"/>
      <c r="K7" s="73"/>
      <c r="L7" s="73"/>
      <c r="M7" s="73"/>
      <c r="N7" s="73"/>
      <c r="O7" s="73"/>
      <c r="P7" s="73"/>
      <c r="Q7" s="73"/>
      <c r="R7" s="73"/>
      <c r="S7" s="73"/>
      <c r="T7" s="73"/>
      <c r="U7" s="73"/>
      <c r="V7" s="73"/>
      <c r="W7" s="73"/>
      <c r="X7" s="73"/>
      <c r="Y7" s="73"/>
      <c r="Z7" s="73"/>
      <c r="AA7" s="73"/>
      <c r="AB7" s="73"/>
      <c r="AC7" s="73"/>
      <c r="AD7" s="73"/>
      <c r="AE7" s="73"/>
    </row>
    <row r="8" spans="1:37" ht="51" x14ac:dyDescent="0.25">
      <c r="A8" s="73"/>
      <c r="B8" s="17" t="s">
        <v>406</v>
      </c>
      <c r="C8" s="13" t="s">
        <v>407</v>
      </c>
      <c r="D8" s="14">
        <v>1</v>
      </c>
      <c r="E8" s="73"/>
      <c r="F8" s="73"/>
      <c r="G8" s="73"/>
      <c r="H8" s="73"/>
      <c r="I8" s="73"/>
      <c r="J8" s="73"/>
      <c r="K8" s="73"/>
      <c r="L8" s="73"/>
      <c r="M8" s="73"/>
      <c r="N8" s="73"/>
      <c r="O8" s="73"/>
      <c r="P8" s="73"/>
      <c r="Q8" s="73"/>
      <c r="R8" s="73"/>
      <c r="S8" s="73"/>
      <c r="T8" s="73"/>
      <c r="U8" s="73"/>
      <c r="V8" s="73"/>
      <c r="W8" s="73"/>
      <c r="X8" s="73"/>
      <c r="Y8" s="73"/>
      <c r="Z8" s="73"/>
      <c r="AA8" s="73"/>
      <c r="AB8" s="73"/>
      <c r="AC8" s="73"/>
      <c r="AD8" s="73"/>
      <c r="AE8" s="73"/>
    </row>
    <row r="9" spans="1:37" x14ac:dyDescent="0.25">
      <c r="A9" s="73"/>
      <c r="B9" s="97"/>
      <c r="C9" s="97"/>
      <c r="D9" s="97"/>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row>
    <row r="10" spans="1:37" ht="16.5" x14ac:dyDescent="0.25">
      <c r="A10" s="73"/>
      <c r="B10" s="98"/>
      <c r="C10" s="97"/>
      <c r="D10" s="97"/>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row>
    <row r="11" spans="1:37" x14ac:dyDescent="0.25">
      <c r="A11" s="73"/>
      <c r="B11" s="97"/>
      <c r="C11" s="97"/>
      <c r="D11" s="97"/>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row>
    <row r="12" spans="1:37" x14ac:dyDescent="0.25">
      <c r="A12" s="73"/>
      <c r="B12" s="97"/>
      <c r="C12" s="97"/>
      <c r="D12" s="97"/>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row>
    <row r="13" spans="1:37" x14ac:dyDescent="0.25">
      <c r="A13" s="73"/>
      <c r="B13" s="97"/>
      <c r="C13" s="97"/>
      <c r="D13" s="97"/>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row>
    <row r="14" spans="1:37" x14ac:dyDescent="0.25">
      <c r="A14" s="73"/>
      <c r="B14" s="97"/>
      <c r="C14" s="97"/>
      <c r="D14" s="97"/>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row>
    <row r="15" spans="1:37" x14ac:dyDescent="0.25">
      <c r="A15" s="73"/>
      <c r="B15" s="97"/>
      <c r="C15" s="97"/>
      <c r="D15" s="97"/>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row>
    <row r="16" spans="1:37" x14ac:dyDescent="0.25">
      <c r="A16" s="73"/>
      <c r="B16" s="97"/>
      <c r="C16" s="97"/>
      <c r="D16" s="97"/>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row>
    <row r="17" spans="1:37" x14ac:dyDescent="0.25">
      <c r="A17" s="73"/>
      <c r="B17" s="97"/>
      <c r="C17" s="97"/>
      <c r="D17" s="97"/>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row>
    <row r="18" spans="1:37" x14ac:dyDescent="0.25">
      <c r="A18" s="73"/>
      <c r="B18" s="97"/>
      <c r="C18" s="97"/>
      <c r="D18" s="97"/>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row>
    <row r="19" spans="1:37" x14ac:dyDescent="0.25">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row>
    <row r="20" spans="1:37" x14ac:dyDescent="0.25">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row>
    <row r="21" spans="1:37" x14ac:dyDescent="0.25">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row>
    <row r="22" spans="1:37" x14ac:dyDescent="0.25">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row>
    <row r="23" spans="1:37" x14ac:dyDescent="0.25">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row>
    <row r="24" spans="1:37" x14ac:dyDescent="0.25">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row>
    <row r="25" spans="1:37" x14ac:dyDescent="0.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row>
    <row r="26" spans="1:37" x14ac:dyDescent="0.25">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row>
    <row r="27" spans="1:37" x14ac:dyDescent="0.25">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row>
    <row r="28" spans="1:37" x14ac:dyDescent="0.25">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row>
    <row r="29" spans="1:37" x14ac:dyDescent="0.25">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row>
    <row r="30" spans="1:37" x14ac:dyDescent="0.25">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row>
    <row r="31" spans="1:37" x14ac:dyDescent="0.25">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row>
    <row r="32" spans="1:37" x14ac:dyDescent="0.25">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row>
    <row r="33" spans="1:31" x14ac:dyDescent="0.25">
      <c r="A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spans="1:31" x14ac:dyDescent="0.25">
      <c r="A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spans="1:31" x14ac:dyDescent="0.25">
      <c r="A35" s="73"/>
    </row>
    <row r="36" spans="1:31" x14ac:dyDescent="0.25">
      <c r="A36" s="73"/>
    </row>
    <row r="37" spans="1:31" x14ac:dyDescent="0.25">
      <c r="A37" s="73"/>
    </row>
    <row r="38" spans="1:31" x14ac:dyDescent="0.25">
      <c r="A38" s="73"/>
    </row>
    <row r="39" spans="1:31" x14ac:dyDescent="0.25">
      <c r="A39" s="73"/>
    </row>
    <row r="40" spans="1:31" x14ac:dyDescent="0.25">
      <c r="A40" s="73"/>
    </row>
    <row r="41" spans="1:31" x14ac:dyDescent="0.25">
      <c r="A41" s="73"/>
    </row>
    <row r="42" spans="1:31" x14ac:dyDescent="0.25">
      <c r="A42" s="73"/>
    </row>
    <row r="43" spans="1:31" x14ac:dyDescent="0.25">
      <c r="A43" s="73"/>
    </row>
    <row r="44" spans="1:31" x14ac:dyDescent="0.25">
      <c r="A44" s="73"/>
    </row>
    <row r="45" spans="1:31" x14ac:dyDescent="0.25">
      <c r="A45" s="73"/>
    </row>
    <row r="46" spans="1:31" x14ac:dyDescent="0.25">
      <c r="A46" s="73"/>
    </row>
    <row r="47" spans="1:31" x14ac:dyDescent="0.25">
      <c r="A47" s="73"/>
    </row>
    <row r="48" spans="1:31" x14ac:dyDescent="0.25">
      <c r="A48" s="73"/>
    </row>
    <row r="49" spans="1:1" x14ac:dyDescent="0.25">
      <c r="A49" s="73"/>
    </row>
    <row r="50" spans="1:1" x14ac:dyDescent="0.25">
      <c r="A50" s="73"/>
    </row>
    <row r="51" spans="1:1" x14ac:dyDescent="0.25">
      <c r="A51" s="73"/>
    </row>
    <row r="52" spans="1:1" x14ac:dyDescent="0.25">
      <c r="A52" s="73"/>
    </row>
    <row r="53" spans="1:1" x14ac:dyDescent="0.25">
      <c r="A53" s="73"/>
    </row>
    <row r="54" spans="1:1" x14ac:dyDescent="0.25">
      <c r="A54" s="73"/>
    </row>
    <row r="55" spans="1:1" x14ac:dyDescent="0.25">
      <c r="A55" s="73"/>
    </row>
  </sheetData>
  <mergeCells count="1">
    <mergeCell ref="B1:D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tabColor theme="6" tint="-0.249977111117893"/>
  </sheetPr>
  <dimension ref="A1:U232"/>
  <sheetViews>
    <sheetView zoomScale="60" zoomScaleNormal="60" workbookViewId="0">
      <selection activeCell="C6" sqref="C6"/>
    </sheetView>
  </sheetViews>
  <sheetFormatPr baseColWidth="10" defaultColWidth="11.42578125" defaultRowHeight="15" x14ac:dyDescent="0.25"/>
  <cols>
    <col min="2" max="2" width="40.42578125" customWidth="1"/>
    <col min="3" max="3" width="74.85546875" customWidth="1"/>
    <col min="4" max="4" width="135" bestFit="1" customWidth="1"/>
    <col min="5" max="5" width="144.7109375" bestFit="1" customWidth="1"/>
  </cols>
  <sheetData>
    <row r="1" spans="1:21" ht="33.75" x14ac:dyDescent="0.25">
      <c r="A1" s="73"/>
      <c r="B1" s="797" t="s">
        <v>408</v>
      </c>
      <c r="C1" s="797"/>
      <c r="D1" s="797"/>
      <c r="E1" s="73"/>
      <c r="F1" s="73"/>
      <c r="G1" s="73"/>
      <c r="H1" s="73"/>
      <c r="I1" s="73"/>
      <c r="J1" s="73"/>
      <c r="K1" s="73"/>
      <c r="L1" s="73"/>
      <c r="M1" s="73"/>
      <c r="N1" s="73"/>
      <c r="O1" s="73"/>
      <c r="P1" s="73"/>
      <c r="Q1" s="73"/>
      <c r="R1" s="73"/>
      <c r="S1" s="73"/>
      <c r="T1" s="73"/>
      <c r="U1" s="73"/>
    </row>
    <row r="2" spans="1:21" x14ac:dyDescent="0.25">
      <c r="A2" s="73"/>
      <c r="B2" s="73"/>
      <c r="C2" s="73"/>
      <c r="D2" s="73"/>
      <c r="E2" s="73"/>
      <c r="F2" s="73"/>
      <c r="G2" s="73"/>
      <c r="H2" s="73"/>
      <c r="I2" s="73"/>
      <c r="J2" s="73"/>
      <c r="K2" s="73"/>
      <c r="L2" s="73"/>
      <c r="M2" s="73"/>
      <c r="N2" s="73"/>
      <c r="O2" s="73"/>
      <c r="P2" s="73"/>
      <c r="Q2" s="73"/>
      <c r="R2" s="73"/>
      <c r="S2" s="73"/>
      <c r="T2" s="73"/>
      <c r="U2" s="73"/>
    </row>
    <row r="3" spans="1:21" ht="30" x14ac:dyDescent="0.25">
      <c r="A3" s="73"/>
      <c r="B3" s="94"/>
      <c r="C3" s="26" t="s">
        <v>409</v>
      </c>
      <c r="D3" s="26" t="s">
        <v>410</v>
      </c>
      <c r="E3" s="73"/>
      <c r="F3" s="73"/>
      <c r="G3" s="73"/>
      <c r="H3" s="73"/>
      <c r="I3" s="73"/>
      <c r="J3" s="73"/>
      <c r="K3" s="73"/>
      <c r="L3" s="73"/>
      <c r="M3" s="73"/>
      <c r="N3" s="73"/>
      <c r="O3" s="73"/>
      <c r="P3" s="73"/>
      <c r="Q3" s="73"/>
      <c r="R3" s="73"/>
      <c r="S3" s="73"/>
      <c r="T3" s="73"/>
      <c r="U3" s="73"/>
    </row>
    <row r="4" spans="1:21" ht="33.75" x14ac:dyDescent="0.25">
      <c r="A4" s="93" t="s">
        <v>12</v>
      </c>
      <c r="B4" s="29" t="s">
        <v>411</v>
      </c>
      <c r="C4" s="34" t="s">
        <v>412</v>
      </c>
      <c r="D4" s="27" t="s">
        <v>413</v>
      </c>
      <c r="E4" s="73"/>
      <c r="F4" s="73"/>
      <c r="G4" s="73"/>
      <c r="H4" s="73"/>
      <c r="I4" s="73"/>
      <c r="J4" s="73"/>
      <c r="K4" s="73"/>
      <c r="L4" s="73"/>
      <c r="M4" s="73"/>
      <c r="N4" s="73"/>
      <c r="O4" s="73"/>
      <c r="P4" s="73"/>
      <c r="Q4" s="73"/>
      <c r="R4" s="73"/>
      <c r="S4" s="73"/>
      <c r="T4" s="73"/>
      <c r="U4" s="73"/>
    </row>
    <row r="5" spans="1:21" ht="67.5" x14ac:dyDescent="0.25">
      <c r="A5" s="93" t="s">
        <v>414</v>
      </c>
      <c r="B5" s="30" t="s">
        <v>415</v>
      </c>
      <c r="C5" s="35" t="s">
        <v>416</v>
      </c>
      <c r="D5" s="28" t="s">
        <v>417</v>
      </c>
      <c r="E5" s="73"/>
      <c r="F5" s="73"/>
      <c r="G5" s="73"/>
      <c r="H5" s="73"/>
      <c r="I5" s="73"/>
      <c r="J5" s="73"/>
      <c r="K5" s="73"/>
      <c r="L5" s="73"/>
      <c r="M5" s="73"/>
      <c r="N5" s="73"/>
      <c r="O5" s="73"/>
      <c r="P5" s="73"/>
      <c r="Q5" s="73"/>
      <c r="R5" s="73"/>
      <c r="S5" s="73"/>
      <c r="T5" s="73"/>
      <c r="U5" s="73"/>
    </row>
    <row r="6" spans="1:21" ht="67.5" x14ac:dyDescent="0.25">
      <c r="A6" s="93" t="s">
        <v>26</v>
      </c>
      <c r="B6" s="31" t="s">
        <v>418</v>
      </c>
      <c r="C6" s="35" t="s">
        <v>419</v>
      </c>
      <c r="D6" s="28" t="s">
        <v>420</v>
      </c>
      <c r="E6" s="73"/>
      <c r="F6" s="73"/>
      <c r="G6" s="73"/>
      <c r="H6" s="73"/>
      <c r="I6" s="73"/>
      <c r="J6" s="73"/>
      <c r="K6" s="73"/>
      <c r="L6" s="73"/>
      <c r="M6" s="73"/>
      <c r="N6" s="73"/>
      <c r="O6" s="73"/>
      <c r="P6" s="73"/>
      <c r="Q6" s="73"/>
      <c r="R6" s="73"/>
      <c r="S6" s="73"/>
      <c r="T6" s="73"/>
      <c r="U6" s="73"/>
    </row>
    <row r="7" spans="1:21" ht="101.25" x14ac:dyDescent="0.25">
      <c r="A7" s="93" t="s">
        <v>421</v>
      </c>
      <c r="B7" s="32" t="s">
        <v>422</v>
      </c>
      <c r="C7" s="35" t="s">
        <v>423</v>
      </c>
      <c r="D7" s="28" t="s">
        <v>424</v>
      </c>
      <c r="E7" s="73"/>
      <c r="F7" s="73"/>
      <c r="G7" s="73"/>
      <c r="H7" s="73"/>
      <c r="I7" s="73"/>
      <c r="J7" s="73"/>
      <c r="K7" s="73"/>
      <c r="L7" s="73"/>
      <c r="M7" s="73"/>
      <c r="N7" s="73"/>
      <c r="O7" s="73"/>
      <c r="P7" s="73"/>
      <c r="Q7" s="73"/>
      <c r="R7" s="73"/>
      <c r="S7" s="73"/>
      <c r="T7" s="73"/>
      <c r="U7" s="73"/>
    </row>
    <row r="8" spans="1:21" ht="67.5" x14ac:dyDescent="0.25">
      <c r="A8" s="93" t="s">
        <v>40</v>
      </c>
      <c r="B8" s="33" t="s">
        <v>425</v>
      </c>
      <c r="C8" s="35" t="s">
        <v>426</v>
      </c>
      <c r="D8" s="28" t="s">
        <v>427</v>
      </c>
      <c r="E8" s="73"/>
      <c r="F8" s="73"/>
      <c r="G8" s="73"/>
      <c r="H8" s="73"/>
      <c r="I8" s="73"/>
      <c r="J8" s="73"/>
      <c r="K8" s="73"/>
      <c r="L8" s="73"/>
      <c r="M8" s="73"/>
      <c r="N8" s="73"/>
      <c r="O8" s="73"/>
      <c r="P8" s="73"/>
      <c r="Q8" s="73"/>
      <c r="R8" s="73"/>
      <c r="S8" s="73"/>
      <c r="T8" s="73"/>
      <c r="U8" s="73"/>
    </row>
    <row r="9" spans="1:21" ht="20.25" x14ac:dyDescent="0.25">
      <c r="A9" s="93"/>
      <c r="B9" s="93"/>
      <c r="C9" s="95"/>
      <c r="D9" s="95"/>
      <c r="E9" s="73"/>
      <c r="F9" s="73"/>
      <c r="G9" s="73"/>
      <c r="H9" s="73"/>
      <c r="I9" s="73"/>
      <c r="J9" s="73"/>
      <c r="K9" s="73"/>
      <c r="L9" s="73"/>
      <c r="M9" s="73"/>
      <c r="N9" s="73"/>
      <c r="O9" s="73"/>
      <c r="P9" s="73"/>
      <c r="Q9" s="73"/>
      <c r="R9" s="73"/>
      <c r="S9" s="73"/>
      <c r="T9" s="73"/>
      <c r="U9" s="73"/>
    </row>
    <row r="10" spans="1:21" ht="16.5" x14ac:dyDescent="0.25">
      <c r="A10" s="93"/>
      <c r="B10" s="96"/>
      <c r="C10" s="96"/>
      <c r="D10" s="96"/>
      <c r="E10" s="73"/>
      <c r="F10" s="73"/>
      <c r="G10" s="73"/>
      <c r="H10" s="73"/>
      <c r="I10" s="73"/>
      <c r="J10" s="73"/>
      <c r="K10" s="73"/>
      <c r="L10" s="73"/>
      <c r="M10" s="73"/>
      <c r="N10" s="73"/>
      <c r="O10" s="73"/>
      <c r="P10" s="73"/>
      <c r="Q10" s="73"/>
      <c r="R10" s="73"/>
      <c r="S10" s="73"/>
      <c r="T10" s="73"/>
      <c r="U10" s="73"/>
    </row>
    <row r="11" spans="1:21" x14ac:dyDescent="0.25">
      <c r="A11" s="93"/>
      <c r="B11" s="93" t="s">
        <v>428</v>
      </c>
      <c r="C11" s="93" t="s">
        <v>429</v>
      </c>
      <c r="D11" s="93" t="s">
        <v>264</v>
      </c>
      <c r="E11" s="73"/>
      <c r="F11" s="73"/>
      <c r="G11" s="73"/>
      <c r="H11" s="73"/>
      <c r="I11" s="73"/>
      <c r="J11" s="73"/>
      <c r="K11" s="73"/>
      <c r="L11" s="73"/>
      <c r="M11" s="73"/>
      <c r="N11" s="73"/>
      <c r="O11" s="73"/>
      <c r="P11" s="73"/>
      <c r="Q11" s="73"/>
      <c r="R11" s="73"/>
      <c r="S11" s="73"/>
      <c r="T11" s="73"/>
      <c r="U11" s="73"/>
    </row>
    <row r="12" spans="1:21" x14ac:dyDescent="0.25">
      <c r="A12" s="93"/>
      <c r="B12" s="93" t="s">
        <v>430</v>
      </c>
      <c r="C12" s="93" t="s">
        <v>431</v>
      </c>
      <c r="D12" s="93" t="s">
        <v>310</v>
      </c>
      <c r="E12" s="73"/>
      <c r="F12" s="73"/>
      <c r="G12" s="73"/>
      <c r="H12" s="73"/>
      <c r="I12" s="73"/>
      <c r="J12" s="73"/>
      <c r="K12" s="73"/>
      <c r="L12" s="73"/>
      <c r="M12" s="73"/>
      <c r="N12" s="73"/>
      <c r="O12" s="73"/>
      <c r="P12" s="73"/>
      <c r="Q12" s="73"/>
      <c r="R12" s="73"/>
      <c r="S12" s="73"/>
      <c r="T12" s="73"/>
      <c r="U12" s="73"/>
    </row>
    <row r="13" spans="1:21" x14ac:dyDescent="0.25">
      <c r="A13" s="93"/>
      <c r="B13" s="93"/>
      <c r="C13" s="93" t="s">
        <v>432</v>
      </c>
      <c r="D13" s="93" t="s">
        <v>281</v>
      </c>
      <c r="E13" s="73"/>
      <c r="F13" s="73"/>
      <c r="G13" s="73"/>
      <c r="H13" s="73"/>
      <c r="I13" s="73"/>
      <c r="J13" s="73"/>
      <c r="K13" s="73"/>
      <c r="L13" s="73"/>
      <c r="M13" s="73"/>
      <c r="N13" s="73"/>
      <c r="O13" s="73"/>
      <c r="P13" s="73"/>
      <c r="Q13" s="73"/>
      <c r="R13" s="73"/>
      <c r="S13" s="73"/>
      <c r="T13" s="73"/>
      <c r="U13" s="73"/>
    </row>
    <row r="14" spans="1:21" x14ac:dyDescent="0.25">
      <c r="A14" s="93"/>
      <c r="B14" s="93"/>
      <c r="C14" s="93" t="s">
        <v>433</v>
      </c>
      <c r="D14" s="93" t="s">
        <v>300</v>
      </c>
      <c r="E14" s="73"/>
      <c r="F14" s="73"/>
      <c r="G14" s="73"/>
      <c r="H14" s="73"/>
      <c r="I14" s="73"/>
      <c r="J14" s="73"/>
      <c r="K14" s="73"/>
      <c r="L14" s="73"/>
      <c r="M14" s="73"/>
      <c r="N14" s="73"/>
      <c r="O14" s="73"/>
      <c r="P14" s="73"/>
      <c r="Q14" s="73"/>
      <c r="R14" s="73"/>
      <c r="S14" s="73"/>
      <c r="T14" s="73"/>
      <c r="U14" s="73"/>
    </row>
    <row r="15" spans="1:21" x14ac:dyDescent="0.25">
      <c r="A15" s="93"/>
      <c r="B15" s="93"/>
      <c r="C15" s="93" t="s">
        <v>434</v>
      </c>
      <c r="D15" s="93" t="s">
        <v>435</v>
      </c>
      <c r="E15" s="73"/>
      <c r="F15" s="73"/>
      <c r="G15" s="73"/>
      <c r="H15" s="73"/>
      <c r="I15" s="73"/>
      <c r="J15" s="73"/>
      <c r="K15" s="73"/>
      <c r="L15" s="73"/>
      <c r="M15" s="73"/>
      <c r="N15" s="73"/>
      <c r="O15" s="73"/>
      <c r="P15" s="73"/>
      <c r="Q15" s="73"/>
      <c r="R15" s="73"/>
      <c r="S15" s="73"/>
      <c r="T15" s="73"/>
      <c r="U15" s="73"/>
    </row>
    <row r="16" spans="1:21" x14ac:dyDescent="0.25">
      <c r="A16" s="93"/>
      <c r="B16" s="93"/>
      <c r="C16" s="93"/>
      <c r="D16" s="93"/>
      <c r="E16" s="73"/>
      <c r="F16" s="73"/>
      <c r="G16" s="73"/>
      <c r="H16" s="73"/>
      <c r="I16" s="73"/>
      <c r="J16" s="73"/>
      <c r="K16" s="73"/>
      <c r="L16" s="73"/>
      <c r="M16" s="73"/>
      <c r="N16" s="73"/>
      <c r="O16" s="73"/>
    </row>
    <row r="17" spans="1:15" x14ac:dyDescent="0.25">
      <c r="A17" s="93"/>
      <c r="B17" s="93"/>
      <c r="C17" s="93"/>
      <c r="D17" s="93"/>
      <c r="E17" s="73"/>
      <c r="F17" s="73"/>
      <c r="G17" s="73"/>
      <c r="H17" s="73"/>
      <c r="I17" s="73"/>
      <c r="J17" s="73"/>
      <c r="K17" s="73"/>
      <c r="L17" s="73"/>
      <c r="M17" s="73"/>
      <c r="N17" s="73"/>
      <c r="O17" s="73"/>
    </row>
    <row r="18" spans="1:15" x14ac:dyDescent="0.25">
      <c r="A18" s="93"/>
      <c r="B18" s="97"/>
      <c r="C18" s="97"/>
      <c r="D18" s="97"/>
      <c r="E18" s="73"/>
      <c r="F18" s="73"/>
      <c r="G18" s="73"/>
      <c r="H18" s="73"/>
      <c r="I18" s="73"/>
      <c r="J18" s="73"/>
      <c r="K18" s="73"/>
      <c r="L18" s="73"/>
      <c r="M18" s="73"/>
      <c r="N18" s="73"/>
      <c r="O18" s="73"/>
    </row>
    <row r="19" spans="1:15" x14ac:dyDescent="0.25">
      <c r="A19" s="93"/>
      <c r="B19" s="97"/>
      <c r="C19" s="97"/>
      <c r="D19" s="97"/>
      <c r="E19" s="73"/>
      <c r="F19" s="73"/>
      <c r="G19" s="73"/>
      <c r="H19" s="73"/>
      <c r="I19" s="73"/>
      <c r="J19" s="73"/>
      <c r="K19" s="73"/>
      <c r="L19" s="73"/>
      <c r="M19" s="73"/>
      <c r="N19" s="73"/>
      <c r="O19" s="73"/>
    </row>
    <row r="20" spans="1:15" x14ac:dyDescent="0.25">
      <c r="A20" s="93"/>
      <c r="B20" s="97"/>
      <c r="C20" s="97"/>
      <c r="D20" s="97"/>
      <c r="E20" s="73"/>
      <c r="F20" s="73"/>
      <c r="G20" s="73"/>
      <c r="H20" s="73"/>
      <c r="I20" s="73"/>
      <c r="J20" s="73"/>
      <c r="K20" s="73"/>
      <c r="L20" s="73"/>
      <c r="M20" s="73"/>
      <c r="N20" s="73"/>
      <c r="O20" s="73"/>
    </row>
    <row r="21" spans="1:15" x14ac:dyDescent="0.25">
      <c r="A21" s="93"/>
      <c r="B21" s="97"/>
      <c r="C21" s="97"/>
      <c r="D21" s="97"/>
      <c r="E21" s="73"/>
      <c r="F21" s="73"/>
      <c r="G21" s="73"/>
      <c r="H21" s="73"/>
      <c r="I21" s="73"/>
      <c r="J21" s="73"/>
      <c r="K21" s="73"/>
      <c r="L21" s="73"/>
      <c r="M21" s="73"/>
      <c r="N21" s="73"/>
      <c r="O21" s="73"/>
    </row>
    <row r="22" spans="1:15" ht="20.25" x14ac:dyDescent="0.25">
      <c r="A22" s="93"/>
      <c r="B22" s="93"/>
      <c r="C22" s="95"/>
      <c r="D22" s="95"/>
      <c r="E22" s="73"/>
      <c r="F22" s="73"/>
      <c r="G22" s="73"/>
      <c r="H22" s="73"/>
      <c r="I22" s="73"/>
      <c r="J22" s="73"/>
      <c r="K22" s="73"/>
      <c r="L22" s="73"/>
      <c r="M22" s="73"/>
      <c r="N22" s="73"/>
      <c r="O22" s="73"/>
    </row>
    <row r="23" spans="1:15" ht="20.25" x14ac:dyDescent="0.25">
      <c r="A23" s="93"/>
      <c r="B23" s="93"/>
      <c r="C23" s="95"/>
      <c r="D23" s="95"/>
      <c r="E23" s="73"/>
      <c r="F23" s="73"/>
      <c r="G23" s="73"/>
      <c r="H23" s="73"/>
      <c r="I23" s="73"/>
      <c r="J23" s="73"/>
      <c r="K23" s="73"/>
      <c r="L23" s="73"/>
      <c r="M23" s="73"/>
      <c r="N23" s="73"/>
      <c r="O23" s="73"/>
    </row>
    <row r="24" spans="1:15" ht="20.25" x14ac:dyDescent="0.25">
      <c r="A24" s="93"/>
      <c r="B24" s="93"/>
      <c r="C24" s="95"/>
      <c r="D24" s="95"/>
      <c r="E24" s="73"/>
      <c r="F24" s="73"/>
      <c r="G24" s="73"/>
      <c r="H24" s="73"/>
      <c r="I24" s="73"/>
      <c r="J24" s="73"/>
      <c r="K24" s="73"/>
      <c r="L24" s="73"/>
      <c r="M24" s="73"/>
      <c r="N24" s="73"/>
      <c r="O24" s="73"/>
    </row>
    <row r="25" spans="1:15" ht="20.25" x14ac:dyDescent="0.25">
      <c r="A25" s="93"/>
      <c r="B25" s="93"/>
      <c r="C25" s="95"/>
      <c r="D25" s="95"/>
      <c r="E25" s="73"/>
      <c r="F25" s="73"/>
      <c r="G25" s="73"/>
      <c r="H25" s="73"/>
      <c r="I25" s="73"/>
      <c r="J25" s="73"/>
      <c r="K25" s="73"/>
      <c r="L25" s="73"/>
      <c r="M25" s="73"/>
      <c r="N25" s="73"/>
      <c r="O25" s="73"/>
    </row>
    <row r="26" spans="1:15" ht="20.25" x14ac:dyDescent="0.25">
      <c r="A26" s="93"/>
      <c r="B26" s="93"/>
      <c r="C26" s="95"/>
      <c r="D26" s="95"/>
      <c r="E26" s="73"/>
      <c r="F26" s="73"/>
      <c r="G26" s="73"/>
      <c r="H26" s="73"/>
      <c r="I26" s="73"/>
      <c r="J26" s="73"/>
      <c r="K26" s="73"/>
      <c r="L26" s="73"/>
      <c r="M26" s="73"/>
      <c r="N26" s="73"/>
      <c r="O26" s="73"/>
    </row>
    <row r="27" spans="1:15" ht="20.25" x14ac:dyDescent="0.25">
      <c r="A27" s="93"/>
      <c r="B27" s="93"/>
      <c r="C27" s="95"/>
      <c r="D27" s="95"/>
      <c r="E27" s="73"/>
      <c r="F27" s="73"/>
      <c r="G27" s="73"/>
      <c r="H27" s="73"/>
      <c r="I27" s="73"/>
      <c r="J27" s="73"/>
      <c r="K27" s="73"/>
      <c r="L27" s="73"/>
      <c r="M27" s="73"/>
      <c r="N27" s="73"/>
      <c r="O27" s="73"/>
    </row>
    <row r="28" spans="1:15" ht="20.25" x14ac:dyDescent="0.25">
      <c r="A28" s="93"/>
      <c r="B28" s="93"/>
      <c r="C28" s="95"/>
      <c r="D28" s="95"/>
      <c r="E28" s="73"/>
      <c r="F28" s="73"/>
      <c r="G28" s="73"/>
      <c r="H28" s="73"/>
      <c r="I28" s="73"/>
      <c r="J28" s="73"/>
      <c r="K28" s="73"/>
      <c r="L28" s="73"/>
      <c r="M28" s="73"/>
      <c r="N28" s="73"/>
      <c r="O28" s="73"/>
    </row>
    <row r="29" spans="1:15" ht="20.25" x14ac:dyDescent="0.25">
      <c r="A29" s="93"/>
      <c r="B29" s="93"/>
      <c r="C29" s="95"/>
      <c r="D29" s="95"/>
      <c r="E29" s="73"/>
      <c r="F29" s="73"/>
      <c r="G29" s="73"/>
      <c r="H29" s="73"/>
      <c r="I29" s="73"/>
      <c r="J29" s="73"/>
      <c r="K29" s="73"/>
      <c r="L29" s="73"/>
      <c r="M29" s="73"/>
      <c r="N29" s="73"/>
      <c r="O29" s="73"/>
    </row>
    <row r="30" spans="1:15" ht="20.25" x14ac:dyDescent="0.25">
      <c r="A30" s="93"/>
      <c r="B30" s="93"/>
      <c r="C30" s="95"/>
      <c r="D30" s="95"/>
      <c r="E30" s="73"/>
      <c r="F30" s="73"/>
      <c r="G30" s="73"/>
      <c r="H30" s="73"/>
      <c r="I30" s="73"/>
      <c r="J30" s="73"/>
      <c r="K30" s="73"/>
      <c r="L30" s="73"/>
      <c r="M30" s="73"/>
      <c r="N30" s="73"/>
      <c r="O30" s="73"/>
    </row>
    <row r="31" spans="1:15" ht="20.25" x14ac:dyDescent="0.25">
      <c r="A31" s="93"/>
      <c r="B31" s="93"/>
      <c r="C31" s="95"/>
      <c r="D31" s="95"/>
      <c r="E31" s="73"/>
      <c r="F31" s="73"/>
      <c r="G31" s="73"/>
      <c r="H31" s="73"/>
      <c r="I31" s="73"/>
      <c r="J31" s="73"/>
      <c r="K31" s="73"/>
      <c r="L31" s="73"/>
      <c r="M31" s="73"/>
      <c r="N31" s="73"/>
      <c r="O31" s="73"/>
    </row>
    <row r="32" spans="1:15" ht="20.25" x14ac:dyDescent="0.25">
      <c r="A32" s="93"/>
      <c r="B32" s="93"/>
      <c r="C32" s="95"/>
      <c r="D32" s="95"/>
      <c r="E32" s="73"/>
      <c r="F32" s="73"/>
      <c r="G32" s="73"/>
      <c r="H32" s="73"/>
      <c r="I32" s="73"/>
      <c r="J32" s="73"/>
      <c r="K32" s="73"/>
      <c r="L32" s="73"/>
      <c r="M32" s="73"/>
      <c r="N32" s="73"/>
      <c r="O32" s="73"/>
    </row>
    <row r="33" spans="1:15" ht="20.25" x14ac:dyDescent="0.25">
      <c r="A33" s="93"/>
      <c r="B33" s="93"/>
      <c r="C33" s="95"/>
      <c r="D33" s="95"/>
      <c r="E33" s="73"/>
      <c r="F33" s="73"/>
      <c r="G33" s="73"/>
      <c r="H33" s="73"/>
      <c r="I33" s="73"/>
      <c r="J33" s="73"/>
      <c r="K33" s="73"/>
      <c r="L33" s="73"/>
      <c r="M33" s="73"/>
      <c r="N33" s="73"/>
      <c r="O33" s="73"/>
    </row>
    <row r="34" spans="1:15" ht="20.25" x14ac:dyDescent="0.25">
      <c r="A34" s="93"/>
      <c r="B34" s="93"/>
      <c r="C34" s="95"/>
      <c r="D34" s="95"/>
      <c r="E34" s="73"/>
      <c r="F34" s="73"/>
      <c r="G34" s="73"/>
      <c r="H34" s="73"/>
      <c r="I34" s="73"/>
      <c r="J34" s="73"/>
      <c r="K34" s="73"/>
      <c r="L34" s="73"/>
      <c r="M34" s="73"/>
      <c r="N34" s="73"/>
      <c r="O34" s="73"/>
    </row>
    <row r="35" spans="1:15" ht="20.25" x14ac:dyDescent="0.25">
      <c r="A35" s="93"/>
      <c r="B35" s="93"/>
      <c r="C35" s="95"/>
      <c r="D35" s="95"/>
      <c r="E35" s="73"/>
      <c r="F35" s="73"/>
      <c r="G35" s="73"/>
      <c r="H35" s="73"/>
      <c r="I35" s="73"/>
      <c r="J35" s="73"/>
      <c r="K35" s="73"/>
      <c r="L35" s="73"/>
      <c r="M35" s="73"/>
      <c r="N35" s="73"/>
      <c r="O35" s="73"/>
    </row>
    <row r="36" spans="1:15" ht="20.25" x14ac:dyDescent="0.25">
      <c r="A36" s="93"/>
      <c r="B36" s="93"/>
      <c r="C36" s="95"/>
      <c r="D36" s="95"/>
      <c r="E36" s="73"/>
      <c r="F36" s="73"/>
      <c r="G36" s="73"/>
      <c r="H36" s="73"/>
      <c r="I36" s="73"/>
      <c r="J36" s="73"/>
      <c r="K36" s="73"/>
      <c r="L36" s="73"/>
      <c r="M36" s="73"/>
      <c r="N36" s="73"/>
      <c r="O36" s="73"/>
    </row>
    <row r="37" spans="1:15" ht="20.25" x14ac:dyDescent="0.25">
      <c r="A37" s="93"/>
      <c r="B37" s="93"/>
      <c r="C37" s="95"/>
      <c r="D37" s="95"/>
      <c r="E37" s="73"/>
      <c r="F37" s="73"/>
      <c r="G37" s="73"/>
      <c r="H37" s="73"/>
      <c r="I37" s="73"/>
      <c r="J37" s="73"/>
      <c r="K37" s="73"/>
      <c r="L37" s="73"/>
      <c r="M37" s="73"/>
      <c r="N37" s="73"/>
      <c r="O37" s="73"/>
    </row>
    <row r="38" spans="1:15" ht="20.25" x14ac:dyDescent="0.25">
      <c r="A38" s="93"/>
      <c r="B38" s="93"/>
      <c r="C38" s="95"/>
      <c r="D38" s="95"/>
      <c r="E38" s="73"/>
      <c r="F38" s="73"/>
      <c r="G38" s="73"/>
      <c r="H38" s="73"/>
      <c r="I38" s="73"/>
      <c r="J38" s="73"/>
      <c r="K38" s="73"/>
      <c r="L38" s="73"/>
      <c r="M38" s="73"/>
      <c r="N38" s="73"/>
      <c r="O38" s="73"/>
    </row>
    <row r="39" spans="1:15" ht="20.25" x14ac:dyDescent="0.25">
      <c r="A39" s="93"/>
      <c r="B39" s="93"/>
      <c r="C39" s="95"/>
      <c r="D39" s="95"/>
      <c r="E39" s="73"/>
      <c r="F39" s="73"/>
      <c r="G39" s="73"/>
      <c r="H39" s="73"/>
      <c r="I39" s="73"/>
      <c r="J39" s="73"/>
      <c r="K39" s="73"/>
      <c r="L39" s="73"/>
      <c r="M39" s="73"/>
      <c r="N39" s="73"/>
      <c r="O39" s="73"/>
    </row>
    <row r="40" spans="1:15" ht="20.25" x14ac:dyDescent="0.25">
      <c r="A40" s="93"/>
      <c r="B40" s="93"/>
      <c r="C40" s="95"/>
      <c r="D40" s="95"/>
      <c r="E40" s="73"/>
      <c r="F40" s="73"/>
      <c r="G40" s="73"/>
      <c r="H40" s="73"/>
      <c r="I40" s="73"/>
      <c r="J40" s="73"/>
      <c r="K40" s="73"/>
      <c r="L40" s="73"/>
      <c r="M40" s="73"/>
      <c r="N40" s="73"/>
      <c r="O40" s="73"/>
    </row>
    <row r="41" spans="1:15" ht="20.25" x14ac:dyDescent="0.25">
      <c r="A41" s="93"/>
      <c r="B41" s="93"/>
      <c r="C41" s="95"/>
      <c r="D41" s="95"/>
      <c r="E41" s="73"/>
      <c r="F41" s="73"/>
      <c r="G41" s="73"/>
      <c r="H41" s="73"/>
      <c r="I41" s="73"/>
      <c r="J41" s="73"/>
      <c r="K41" s="73"/>
      <c r="L41" s="73"/>
      <c r="M41" s="73"/>
      <c r="N41" s="73"/>
      <c r="O41" s="73"/>
    </row>
    <row r="42" spans="1:15" ht="20.25" x14ac:dyDescent="0.25">
      <c r="A42" s="93"/>
      <c r="B42" s="93"/>
      <c r="C42" s="95"/>
      <c r="D42" s="95"/>
      <c r="E42" s="73"/>
      <c r="F42" s="73"/>
      <c r="G42" s="73"/>
      <c r="H42" s="73"/>
      <c r="I42" s="73"/>
      <c r="J42" s="73"/>
      <c r="K42" s="73"/>
      <c r="L42" s="73"/>
      <c r="M42" s="73"/>
      <c r="N42" s="73"/>
      <c r="O42" s="73"/>
    </row>
    <row r="43" spans="1:15" ht="20.25" x14ac:dyDescent="0.25">
      <c r="A43" s="93"/>
      <c r="B43" s="93"/>
      <c r="C43" s="95"/>
      <c r="D43" s="95"/>
      <c r="E43" s="73"/>
      <c r="F43" s="73"/>
      <c r="G43" s="73"/>
      <c r="H43" s="73"/>
      <c r="I43" s="73"/>
      <c r="J43" s="73"/>
      <c r="K43" s="73"/>
      <c r="L43" s="73"/>
      <c r="M43" s="73"/>
      <c r="N43" s="73"/>
      <c r="O43" s="73"/>
    </row>
    <row r="44" spans="1:15" ht="20.25" x14ac:dyDescent="0.25">
      <c r="A44" s="93"/>
      <c r="B44" s="93"/>
      <c r="C44" s="95"/>
      <c r="D44" s="95"/>
      <c r="E44" s="73"/>
      <c r="F44" s="73"/>
      <c r="G44" s="73"/>
      <c r="H44" s="73"/>
      <c r="I44" s="73"/>
      <c r="J44" s="73"/>
      <c r="K44" s="73"/>
      <c r="L44" s="73"/>
      <c r="M44" s="73"/>
      <c r="N44" s="73"/>
      <c r="O44" s="73"/>
    </row>
    <row r="45" spans="1:15" ht="20.25" x14ac:dyDescent="0.25">
      <c r="A45" s="93"/>
      <c r="B45" s="93"/>
      <c r="C45" s="95"/>
      <c r="D45" s="95"/>
      <c r="E45" s="73"/>
      <c r="F45" s="73"/>
      <c r="G45" s="73"/>
      <c r="H45" s="73"/>
      <c r="I45" s="73"/>
      <c r="J45" s="73"/>
      <c r="K45" s="73"/>
      <c r="L45" s="73"/>
      <c r="M45" s="73"/>
      <c r="N45" s="73"/>
      <c r="O45" s="73"/>
    </row>
    <row r="46" spans="1:15" ht="20.25" x14ac:dyDescent="0.25">
      <c r="A46" s="93"/>
      <c r="B46" s="93"/>
      <c r="C46" s="95"/>
      <c r="D46" s="95"/>
      <c r="E46" s="73"/>
      <c r="F46" s="73"/>
      <c r="G46" s="73"/>
      <c r="H46" s="73"/>
      <c r="I46" s="73"/>
      <c r="J46" s="73"/>
      <c r="K46" s="73"/>
      <c r="L46" s="73"/>
      <c r="M46" s="73"/>
      <c r="N46" s="73"/>
      <c r="O46" s="73"/>
    </row>
    <row r="47" spans="1:15" ht="20.25" x14ac:dyDescent="0.25">
      <c r="A47" s="93"/>
      <c r="B47" s="93"/>
      <c r="C47" s="95"/>
      <c r="D47" s="95"/>
      <c r="E47" s="73"/>
      <c r="F47" s="73"/>
      <c r="G47" s="73"/>
      <c r="H47" s="73"/>
      <c r="I47" s="73"/>
      <c r="J47" s="73"/>
      <c r="K47" s="73"/>
      <c r="L47" s="73"/>
      <c r="M47" s="73"/>
      <c r="N47" s="73"/>
      <c r="O47" s="73"/>
    </row>
    <row r="48" spans="1:15" ht="20.25" x14ac:dyDescent="0.25">
      <c r="A48" s="93"/>
      <c r="B48" s="93"/>
      <c r="C48" s="95"/>
      <c r="D48" s="95"/>
      <c r="E48" s="73"/>
      <c r="F48" s="73"/>
      <c r="G48" s="73"/>
      <c r="H48" s="73"/>
      <c r="I48" s="73"/>
      <c r="J48" s="73"/>
      <c r="K48" s="73"/>
      <c r="L48" s="73"/>
      <c r="M48" s="73"/>
      <c r="N48" s="73"/>
      <c r="O48" s="73"/>
    </row>
    <row r="49" spans="1:15" ht="20.25" x14ac:dyDescent="0.25">
      <c r="A49" s="93"/>
      <c r="B49" s="93"/>
      <c r="C49" s="95"/>
      <c r="D49" s="95"/>
      <c r="E49" s="73"/>
      <c r="F49" s="73"/>
      <c r="G49" s="73"/>
      <c r="H49" s="73"/>
      <c r="I49" s="73"/>
      <c r="J49" s="73"/>
      <c r="K49" s="73"/>
      <c r="L49" s="73"/>
      <c r="M49" s="73"/>
      <c r="N49" s="73"/>
      <c r="O49" s="73"/>
    </row>
    <row r="50" spans="1:15" ht="20.25" x14ac:dyDescent="0.25">
      <c r="A50" s="93"/>
      <c r="B50" s="93"/>
      <c r="C50" s="95"/>
      <c r="D50" s="95"/>
      <c r="E50" s="73"/>
      <c r="F50" s="73"/>
      <c r="G50" s="73"/>
      <c r="H50" s="73"/>
      <c r="I50" s="73"/>
      <c r="J50" s="73"/>
      <c r="K50" s="73"/>
      <c r="L50" s="73"/>
      <c r="M50" s="73"/>
      <c r="N50" s="73"/>
      <c r="O50" s="73"/>
    </row>
    <row r="51" spans="1:15" ht="20.25" x14ac:dyDescent="0.25">
      <c r="A51" s="93"/>
      <c r="B51" s="93"/>
      <c r="C51" s="95"/>
      <c r="D51" s="95"/>
      <c r="E51" s="73"/>
      <c r="F51" s="73"/>
      <c r="G51" s="73"/>
      <c r="H51" s="73"/>
      <c r="I51" s="73"/>
      <c r="J51" s="73"/>
      <c r="K51" s="73"/>
      <c r="L51" s="73"/>
      <c r="M51" s="73"/>
      <c r="N51" s="73"/>
      <c r="O51" s="73"/>
    </row>
    <row r="52" spans="1:15" ht="20.25" x14ac:dyDescent="0.25">
      <c r="A52" s="93"/>
      <c r="B52" s="19"/>
      <c r="C52" s="24"/>
      <c r="D52" s="24"/>
    </row>
    <row r="53" spans="1:15" ht="20.25" x14ac:dyDescent="0.25">
      <c r="A53" s="93"/>
      <c r="B53" s="19"/>
      <c r="C53" s="24"/>
      <c r="D53" s="24"/>
    </row>
    <row r="54" spans="1:15" ht="20.25" x14ac:dyDescent="0.25">
      <c r="A54" s="93"/>
      <c r="B54" s="19"/>
      <c r="C54" s="24"/>
      <c r="D54" s="24"/>
    </row>
    <row r="55" spans="1:15" ht="20.25" x14ac:dyDescent="0.25">
      <c r="A55" s="93"/>
      <c r="B55" s="19"/>
      <c r="C55" s="24"/>
      <c r="D55" s="24"/>
    </row>
    <row r="56" spans="1:15" ht="20.25" x14ac:dyDescent="0.25">
      <c r="A56" s="93"/>
      <c r="B56" s="19"/>
      <c r="C56" s="24"/>
      <c r="D56" s="24"/>
    </row>
    <row r="57" spans="1:15" ht="20.25" x14ac:dyDescent="0.25">
      <c r="A57" s="93"/>
      <c r="B57" s="19"/>
      <c r="C57" s="24"/>
      <c r="D57" s="24"/>
    </row>
    <row r="58" spans="1:15" ht="20.25" x14ac:dyDescent="0.25">
      <c r="A58" s="93"/>
      <c r="B58" s="19"/>
      <c r="C58" s="24"/>
      <c r="D58" s="24"/>
    </row>
    <row r="59" spans="1:15" ht="20.25" x14ac:dyDescent="0.25">
      <c r="A59" s="93"/>
      <c r="B59" s="19"/>
      <c r="C59" s="24"/>
      <c r="D59" s="24"/>
    </row>
    <row r="60" spans="1:15" ht="20.25" x14ac:dyDescent="0.25">
      <c r="A60" s="93"/>
      <c r="B60" s="19"/>
      <c r="C60" s="24"/>
      <c r="D60" s="24"/>
    </row>
    <row r="61" spans="1:15" ht="20.25" x14ac:dyDescent="0.25">
      <c r="A61" s="93"/>
      <c r="B61" s="19"/>
      <c r="C61" s="24"/>
      <c r="D61" s="24"/>
    </row>
    <row r="62" spans="1:15" ht="20.25" x14ac:dyDescent="0.25">
      <c r="A62" s="93"/>
      <c r="B62" s="19"/>
      <c r="C62" s="24"/>
      <c r="D62" s="24"/>
    </row>
    <row r="63" spans="1:15" ht="20.25" x14ac:dyDescent="0.25">
      <c r="A63" s="93"/>
      <c r="B63" s="19"/>
      <c r="C63" s="24"/>
      <c r="D63" s="24"/>
    </row>
    <row r="64" spans="1:15" ht="20.25" x14ac:dyDescent="0.25">
      <c r="A64" s="93"/>
      <c r="B64" s="19"/>
      <c r="C64" s="24"/>
      <c r="D64" s="24"/>
    </row>
    <row r="65" spans="1:4" ht="20.25" x14ac:dyDescent="0.25">
      <c r="A65" s="93"/>
      <c r="B65" s="19"/>
      <c r="C65" s="24"/>
      <c r="D65" s="24"/>
    </row>
    <row r="66" spans="1:4" ht="20.25" x14ac:dyDescent="0.25">
      <c r="A66" s="93"/>
      <c r="B66" s="19"/>
      <c r="C66" s="24"/>
      <c r="D66" s="24"/>
    </row>
    <row r="67" spans="1:4" ht="20.25" x14ac:dyDescent="0.25">
      <c r="A67" s="93"/>
      <c r="B67" s="19"/>
      <c r="C67" s="24"/>
      <c r="D67" s="24"/>
    </row>
    <row r="68" spans="1:4" ht="20.25" x14ac:dyDescent="0.25">
      <c r="A68" s="93"/>
      <c r="B68" s="19"/>
      <c r="C68" s="24"/>
      <c r="D68" s="24"/>
    </row>
    <row r="69" spans="1:4" ht="20.25" x14ac:dyDescent="0.25">
      <c r="A69" s="93"/>
      <c r="B69" s="19"/>
      <c r="C69" s="24"/>
      <c r="D69" s="24"/>
    </row>
    <row r="70" spans="1:4" ht="20.25" x14ac:dyDescent="0.25">
      <c r="A70" s="93"/>
      <c r="B70" s="19"/>
      <c r="C70" s="24"/>
      <c r="D70" s="24"/>
    </row>
    <row r="71" spans="1:4" ht="20.25" x14ac:dyDescent="0.25">
      <c r="A71" s="93"/>
      <c r="B71" s="19"/>
      <c r="C71" s="24"/>
      <c r="D71" s="24"/>
    </row>
    <row r="72" spans="1:4" ht="20.25" x14ac:dyDescent="0.25">
      <c r="A72" s="93"/>
      <c r="B72" s="19"/>
      <c r="C72" s="24"/>
      <c r="D72" s="24"/>
    </row>
    <row r="73" spans="1:4" ht="20.25" x14ac:dyDescent="0.25">
      <c r="A73" s="93"/>
      <c r="B73" s="19"/>
      <c r="C73" s="24"/>
      <c r="D73" s="24"/>
    </row>
    <row r="74" spans="1:4" ht="20.25" x14ac:dyDescent="0.25">
      <c r="A74" s="93"/>
      <c r="B74" s="19"/>
      <c r="C74" s="24"/>
      <c r="D74" s="24"/>
    </row>
    <row r="75" spans="1:4" ht="20.25" x14ac:dyDescent="0.25">
      <c r="A75" s="93"/>
      <c r="B75" s="19"/>
      <c r="C75" s="24"/>
      <c r="D75" s="24"/>
    </row>
    <row r="76" spans="1:4" ht="20.25" x14ac:dyDescent="0.25">
      <c r="A76" s="93"/>
      <c r="B76" s="19"/>
      <c r="C76" s="24"/>
      <c r="D76" s="24"/>
    </row>
    <row r="77" spans="1:4" ht="20.25" x14ac:dyDescent="0.25">
      <c r="A77" s="93"/>
      <c r="B77" s="19"/>
      <c r="C77" s="24"/>
      <c r="D77" s="24"/>
    </row>
    <row r="78" spans="1:4" ht="20.25" x14ac:dyDescent="0.25">
      <c r="A78" s="93"/>
      <c r="B78" s="19"/>
      <c r="C78" s="24"/>
      <c r="D78" s="24"/>
    </row>
    <row r="79" spans="1:4" ht="20.25" x14ac:dyDescent="0.25">
      <c r="A79" s="93"/>
      <c r="B79" s="19"/>
      <c r="C79" s="24"/>
      <c r="D79" s="24"/>
    </row>
    <row r="80" spans="1:4" ht="20.25" x14ac:dyDescent="0.25">
      <c r="A80" s="93"/>
      <c r="B80" s="19"/>
      <c r="C80" s="24"/>
      <c r="D80" s="24"/>
    </row>
    <row r="81" spans="1:4" ht="20.25" x14ac:dyDescent="0.25">
      <c r="A81" s="93"/>
      <c r="B81" s="19"/>
      <c r="C81" s="24"/>
      <c r="D81" s="24"/>
    </row>
    <row r="82" spans="1:4" ht="20.25" x14ac:dyDescent="0.25">
      <c r="A82" s="93"/>
      <c r="B82" s="19"/>
      <c r="C82" s="24"/>
      <c r="D82" s="24"/>
    </row>
    <row r="83" spans="1:4" ht="20.25" x14ac:dyDescent="0.25">
      <c r="A83" s="93"/>
      <c r="B83" s="19"/>
      <c r="C83" s="24"/>
      <c r="D83" s="24"/>
    </row>
    <row r="84" spans="1:4" ht="20.25" x14ac:dyDescent="0.25">
      <c r="A84" s="93"/>
      <c r="B84" s="19"/>
      <c r="C84" s="24"/>
      <c r="D84" s="24"/>
    </row>
    <row r="85" spans="1:4" ht="20.25" x14ac:dyDescent="0.25">
      <c r="A85" s="93"/>
      <c r="B85" s="19"/>
      <c r="C85" s="24"/>
      <c r="D85" s="24"/>
    </row>
    <row r="86" spans="1:4" ht="20.25" x14ac:dyDescent="0.25">
      <c r="A86" s="93"/>
      <c r="B86" s="19"/>
      <c r="C86" s="24"/>
      <c r="D86" s="24"/>
    </row>
    <row r="87" spans="1:4" ht="20.25" x14ac:dyDescent="0.25">
      <c r="A87" s="93"/>
      <c r="B87" s="19"/>
      <c r="C87" s="24"/>
      <c r="D87" s="24"/>
    </row>
    <row r="88" spans="1:4" ht="20.25" x14ac:dyDescent="0.25">
      <c r="A88" s="93"/>
      <c r="B88" s="19"/>
      <c r="C88" s="24"/>
      <c r="D88" s="24"/>
    </row>
    <row r="89" spans="1:4" ht="20.25" x14ac:dyDescent="0.25">
      <c r="A89" s="93"/>
      <c r="B89" s="19"/>
      <c r="C89" s="24"/>
      <c r="D89" s="24"/>
    </row>
    <row r="90" spans="1:4" ht="20.25" x14ac:dyDescent="0.25">
      <c r="A90" s="93"/>
      <c r="B90" s="19"/>
      <c r="C90" s="24"/>
      <c r="D90" s="24"/>
    </row>
    <row r="91" spans="1:4" ht="20.25" x14ac:dyDescent="0.25">
      <c r="A91" s="93"/>
      <c r="B91" s="19"/>
      <c r="C91" s="24"/>
      <c r="D91" s="24"/>
    </row>
    <row r="92" spans="1:4" ht="20.25" x14ac:dyDescent="0.25">
      <c r="A92" s="93"/>
      <c r="B92" s="19"/>
      <c r="C92" s="24"/>
      <c r="D92" s="24"/>
    </row>
    <row r="93" spans="1:4" ht="20.25" x14ac:dyDescent="0.25">
      <c r="A93" s="93"/>
      <c r="B93" s="19"/>
      <c r="C93" s="24"/>
      <c r="D93" s="24"/>
    </row>
    <row r="94" spans="1:4" ht="20.25" x14ac:dyDescent="0.25">
      <c r="A94" s="93"/>
      <c r="B94" s="19"/>
      <c r="C94" s="24"/>
      <c r="D94" s="24"/>
    </row>
    <row r="95" spans="1:4" ht="20.25" x14ac:dyDescent="0.25">
      <c r="A95" s="93"/>
      <c r="B95" s="19"/>
      <c r="C95" s="24"/>
      <c r="D95" s="24"/>
    </row>
    <row r="96" spans="1:4" ht="20.25" x14ac:dyDescent="0.25">
      <c r="A96" s="93"/>
      <c r="B96" s="19"/>
      <c r="C96" s="24"/>
      <c r="D96" s="24"/>
    </row>
    <row r="97" spans="1:4" ht="20.25" x14ac:dyDescent="0.25">
      <c r="A97" s="93"/>
      <c r="B97" s="19"/>
      <c r="C97" s="24"/>
      <c r="D97" s="24"/>
    </row>
    <row r="98" spans="1:4" ht="20.25" x14ac:dyDescent="0.25">
      <c r="A98" s="93"/>
      <c r="B98" s="19"/>
      <c r="C98" s="24"/>
      <c r="D98" s="24"/>
    </row>
    <row r="99" spans="1:4" ht="20.25" x14ac:dyDescent="0.25">
      <c r="A99" s="93"/>
      <c r="B99" s="19"/>
      <c r="C99" s="24"/>
      <c r="D99" s="24"/>
    </row>
    <row r="100" spans="1:4" ht="20.25" x14ac:dyDescent="0.25">
      <c r="A100" s="93"/>
      <c r="B100" s="19"/>
      <c r="C100" s="24"/>
      <c r="D100" s="24"/>
    </row>
    <row r="101" spans="1:4" ht="20.25" x14ac:dyDescent="0.25">
      <c r="A101" s="93"/>
      <c r="B101" s="19"/>
      <c r="C101" s="24"/>
      <c r="D101" s="24"/>
    </row>
    <row r="102" spans="1:4" ht="20.25" x14ac:dyDescent="0.25">
      <c r="A102" s="93"/>
      <c r="B102" s="19"/>
      <c r="C102" s="24"/>
      <c r="D102" s="24"/>
    </row>
    <row r="103" spans="1:4" ht="20.25" x14ac:dyDescent="0.25">
      <c r="A103" s="93"/>
      <c r="B103" s="19"/>
      <c r="C103" s="24"/>
      <c r="D103" s="24"/>
    </row>
    <row r="104" spans="1:4" ht="20.25" x14ac:dyDescent="0.25">
      <c r="A104" s="93"/>
      <c r="B104" s="19"/>
      <c r="C104" s="24"/>
      <c r="D104" s="24"/>
    </row>
    <row r="105" spans="1:4" ht="20.25" x14ac:dyDescent="0.25">
      <c r="A105" s="93"/>
      <c r="B105" s="19"/>
      <c r="C105" s="24"/>
      <c r="D105" s="24"/>
    </row>
    <row r="106" spans="1:4" ht="20.25" x14ac:dyDescent="0.25">
      <c r="A106" s="93"/>
      <c r="B106" s="19"/>
      <c r="C106" s="24"/>
      <c r="D106" s="24"/>
    </row>
    <row r="107" spans="1:4" ht="20.25" x14ac:dyDescent="0.25">
      <c r="A107" s="93"/>
      <c r="B107" s="19"/>
      <c r="C107" s="24"/>
      <c r="D107" s="24"/>
    </row>
    <row r="108" spans="1:4" ht="20.25" x14ac:dyDescent="0.25">
      <c r="A108" s="93"/>
      <c r="B108" s="19"/>
      <c r="C108" s="24"/>
      <c r="D108" s="24"/>
    </row>
    <row r="109" spans="1:4" ht="20.25" x14ac:dyDescent="0.25">
      <c r="A109" s="93"/>
      <c r="B109" s="19"/>
      <c r="C109" s="24"/>
      <c r="D109" s="24"/>
    </row>
    <row r="110" spans="1:4" ht="20.25" x14ac:dyDescent="0.25">
      <c r="A110" s="93"/>
      <c r="B110" s="19"/>
      <c r="C110" s="24"/>
      <c r="D110" s="24"/>
    </row>
    <row r="111" spans="1:4" ht="20.25" x14ac:dyDescent="0.25">
      <c r="A111" s="93"/>
      <c r="B111" s="19"/>
      <c r="C111" s="24"/>
      <c r="D111" s="24"/>
    </row>
    <row r="112" spans="1:4" ht="20.25" x14ac:dyDescent="0.25">
      <c r="A112" s="93"/>
      <c r="B112" s="19"/>
      <c r="C112" s="24"/>
      <c r="D112" s="24"/>
    </row>
    <row r="113" spans="1:4" ht="20.25" x14ac:dyDescent="0.25">
      <c r="A113" s="93"/>
      <c r="B113" s="19"/>
      <c r="C113" s="24"/>
      <c r="D113" s="24"/>
    </row>
    <row r="114" spans="1:4" ht="20.25" x14ac:dyDescent="0.25">
      <c r="A114" s="93"/>
      <c r="B114" s="19"/>
      <c r="C114" s="24"/>
      <c r="D114" s="24"/>
    </row>
    <row r="115" spans="1:4" ht="20.25" x14ac:dyDescent="0.25">
      <c r="A115" s="93"/>
      <c r="B115" s="19"/>
      <c r="C115" s="24"/>
      <c r="D115" s="24"/>
    </row>
    <row r="116" spans="1:4" ht="20.25" x14ac:dyDescent="0.25">
      <c r="A116" s="93"/>
      <c r="B116" s="19"/>
      <c r="C116" s="24"/>
      <c r="D116" s="24"/>
    </row>
    <row r="117" spans="1:4" ht="20.25" x14ac:dyDescent="0.25">
      <c r="A117" s="93"/>
      <c r="B117" s="19"/>
      <c r="C117" s="24"/>
      <c r="D117" s="24"/>
    </row>
    <row r="118" spans="1:4" ht="20.25" x14ac:dyDescent="0.25">
      <c r="A118" s="93"/>
      <c r="B118" s="19"/>
      <c r="C118" s="24"/>
      <c r="D118" s="24"/>
    </row>
    <row r="119" spans="1:4" ht="20.25" x14ac:dyDescent="0.25">
      <c r="A119" s="93"/>
      <c r="B119" s="19"/>
      <c r="C119" s="24"/>
      <c r="D119" s="24"/>
    </row>
    <row r="120" spans="1:4" ht="20.25" x14ac:dyDescent="0.25">
      <c r="A120" s="93"/>
      <c r="B120" s="19"/>
      <c r="C120" s="24"/>
      <c r="D120" s="24"/>
    </row>
    <row r="121" spans="1:4" ht="20.25" x14ac:dyDescent="0.25">
      <c r="A121" s="93"/>
      <c r="B121" s="19"/>
      <c r="C121" s="24"/>
      <c r="D121" s="24"/>
    </row>
    <row r="122" spans="1:4" ht="20.25" x14ac:dyDescent="0.25">
      <c r="A122" s="93"/>
      <c r="B122" s="19"/>
      <c r="C122" s="24"/>
      <c r="D122" s="24"/>
    </row>
    <row r="123" spans="1:4" ht="20.25" x14ac:dyDescent="0.25">
      <c r="A123" s="93"/>
      <c r="B123" s="19"/>
      <c r="C123" s="24"/>
      <c r="D123" s="24"/>
    </row>
    <row r="124" spans="1:4" ht="20.25" x14ac:dyDescent="0.25">
      <c r="A124" s="93"/>
      <c r="B124" s="19"/>
      <c r="C124" s="24"/>
      <c r="D124" s="24"/>
    </row>
    <row r="125" spans="1:4" ht="20.25" x14ac:dyDescent="0.25">
      <c r="A125" s="93"/>
      <c r="B125" s="19"/>
      <c r="C125" s="24"/>
      <c r="D125" s="24"/>
    </row>
    <row r="126" spans="1:4" ht="20.25" x14ac:dyDescent="0.25">
      <c r="A126" s="93"/>
      <c r="B126" s="19"/>
      <c r="C126" s="24"/>
      <c r="D126" s="24"/>
    </row>
    <row r="127" spans="1:4" ht="20.25" x14ac:dyDescent="0.25">
      <c r="A127" s="93"/>
      <c r="B127" s="19"/>
      <c r="C127" s="24"/>
      <c r="D127" s="24"/>
    </row>
    <row r="128" spans="1:4" ht="20.25" x14ac:dyDescent="0.25">
      <c r="A128" s="93"/>
      <c r="B128" s="19"/>
      <c r="C128" s="24"/>
      <c r="D128" s="24"/>
    </row>
    <row r="129" spans="1:4" ht="20.25" x14ac:dyDescent="0.25">
      <c r="A129" s="93"/>
      <c r="B129" s="19"/>
      <c r="C129" s="24"/>
      <c r="D129" s="24"/>
    </row>
    <row r="130" spans="1:4" ht="20.25" x14ac:dyDescent="0.25">
      <c r="A130" s="93"/>
      <c r="B130" s="19"/>
      <c r="C130" s="24"/>
      <c r="D130" s="24"/>
    </row>
    <row r="131" spans="1:4" ht="20.25" x14ac:dyDescent="0.25">
      <c r="A131" s="93"/>
      <c r="B131" s="19"/>
      <c r="C131" s="24"/>
      <c r="D131" s="24"/>
    </row>
    <row r="132" spans="1:4" ht="20.25" x14ac:dyDescent="0.25">
      <c r="A132" s="93"/>
      <c r="B132" s="19"/>
      <c r="C132" s="24"/>
      <c r="D132" s="24"/>
    </row>
    <row r="133" spans="1:4" ht="20.25" x14ac:dyDescent="0.25">
      <c r="A133" s="93"/>
      <c r="B133" s="19"/>
      <c r="C133" s="24"/>
      <c r="D133" s="24"/>
    </row>
    <row r="134" spans="1:4" ht="20.25" x14ac:dyDescent="0.25">
      <c r="A134" s="93"/>
      <c r="B134" s="19"/>
      <c r="C134" s="24"/>
      <c r="D134" s="24"/>
    </row>
    <row r="135" spans="1:4" ht="20.25" x14ac:dyDescent="0.25">
      <c r="A135" s="93"/>
      <c r="B135" s="19"/>
      <c r="C135" s="24"/>
      <c r="D135" s="24"/>
    </row>
    <row r="136" spans="1:4" ht="20.25" x14ac:dyDescent="0.25">
      <c r="A136" s="93"/>
      <c r="B136" s="19"/>
      <c r="C136" s="24"/>
      <c r="D136" s="24"/>
    </row>
    <row r="137" spans="1:4" ht="20.25" x14ac:dyDescent="0.25">
      <c r="A137" s="93"/>
      <c r="B137" s="19"/>
      <c r="C137" s="24"/>
      <c r="D137" s="24"/>
    </row>
    <row r="138" spans="1:4" ht="20.25" x14ac:dyDescent="0.25">
      <c r="A138" s="93"/>
      <c r="B138" s="19"/>
      <c r="C138" s="24"/>
      <c r="D138" s="24"/>
    </row>
    <row r="139" spans="1:4" ht="20.25" x14ac:dyDescent="0.25">
      <c r="A139" s="93"/>
      <c r="B139" s="19"/>
      <c r="C139" s="24"/>
      <c r="D139" s="24"/>
    </row>
    <row r="140" spans="1:4" ht="20.25" x14ac:dyDescent="0.25">
      <c r="A140" s="93"/>
      <c r="B140" s="19"/>
      <c r="C140" s="24"/>
      <c r="D140" s="24"/>
    </row>
    <row r="141" spans="1:4" ht="20.25" x14ac:dyDescent="0.25">
      <c r="A141" s="93"/>
      <c r="B141" s="19"/>
      <c r="C141" s="24"/>
      <c r="D141" s="24"/>
    </row>
    <row r="142" spans="1:4" ht="20.25" x14ac:dyDescent="0.25">
      <c r="A142" s="93"/>
      <c r="B142" s="19"/>
      <c r="C142" s="24"/>
      <c r="D142" s="24"/>
    </row>
    <row r="143" spans="1:4" ht="20.25" x14ac:dyDescent="0.25">
      <c r="A143" s="93"/>
      <c r="B143" s="19"/>
      <c r="C143" s="24"/>
      <c r="D143" s="24"/>
    </row>
    <row r="144" spans="1:4" ht="20.25" x14ac:dyDescent="0.25">
      <c r="A144" s="93"/>
      <c r="B144" s="19"/>
      <c r="C144" s="24"/>
      <c r="D144" s="24"/>
    </row>
    <row r="145" spans="1:4" ht="20.25" x14ac:dyDescent="0.25">
      <c r="A145" s="93"/>
      <c r="B145" s="19"/>
      <c r="C145" s="24"/>
      <c r="D145" s="24"/>
    </row>
    <row r="146" spans="1:4" ht="20.25" x14ac:dyDescent="0.25">
      <c r="A146" s="93"/>
      <c r="B146" s="19"/>
      <c r="C146" s="24"/>
      <c r="D146" s="24"/>
    </row>
    <row r="147" spans="1:4" ht="20.25" x14ac:dyDescent="0.25">
      <c r="A147" s="93"/>
      <c r="B147" s="19"/>
      <c r="C147" s="24"/>
      <c r="D147" s="24"/>
    </row>
    <row r="148" spans="1:4" ht="20.25" x14ac:dyDescent="0.25">
      <c r="A148" s="93"/>
      <c r="B148" s="19"/>
      <c r="C148" s="24"/>
      <c r="D148" s="24"/>
    </row>
    <row r="149" spans="1:4" ht="20.25" x14ac:dyDescent="0.25">
      <c r="A149" s="93"/>
      <c r="B149" s="19"/>
      <c r="C149" s="24"/>
      <c r="D149" s="24"/>
    </row>
    <row r="150" spans="1:4" ht="20.25" x14ac:dyDescent="0.25">
      <c r="A150" s="93"/>
      <c r="B150" s="19"/>
      <c r="C150" s="24"/>
      <c r="D150" s="24"/>
    </row>
    <row r="151" spans="1:4" ht="20.25" x14ac:dyDescent="0.25">
      <c r="A151" s="93"/>
      <c r="B151" s="19"/>
      <c r="C151" s="24"/>
      <c r="D151" s="24"/>
    </row>
    <row r="152" spans="1:4" ht="20.25" x14ac:dyDescent="0.25">
      <c r="A152" s="93"/>
      <c r="B152" s="19"/>
      <c r="C152" s="24"/>
      <c r="D152" s="24"/>
    </row>
    <row r="153" spans="1:4" ht="20.25" x14ac:dyDescent="0.25">
      <c r="A153" s="93"/>
      <c r="B153" s="19"/>
      <c r="C153" s="24"/>
      <c r="D153" s="24"/>
    </row>
    <row r="154" spans="1:4" ht="20.25" x14ac:dyDescent="0.25">
      <c r="A154" s="93"/>
      <c r="B154" s="19"/>
      <c r="C154" s="24"/>
      <c r="D154" s="24"/>
    </row>
    <row r="155" spans="1:4" ht="20.25" x14ac:dyDescent="0.25">
      <c r="A155" s="93"/>
      <c r="B155" s="19"/>
      <c r="C155" s="24"/>
      <c r="D155" s="24"/>
    </row>
    <row r="156" spans="1:4" ht="20.25" x14ac:dyDescent="0.25">
      <c r="A156" s="93"/>
      <c r="B156" s="19"/>
      <c r="C156" s="24"/>
      <c r="D156" s="24"/>
    </row>
    <row r="157" spans="1:4" ht="20.25" x14ac:dyDescent="0.25">
      <c r="A157" s="93"/>
      <c r="B157" s="19"/>
      <c r="C157" s="24"/>
      <c r="D157" s="24"/>
    </row>
    <row r="158" spans="1:4" ht="20.25" x14ac:dyDescent="0.25">
      <c r="A158" s="93"/>
      <c r="B158" s="19"/>
      <c r="C158" s="24"/>
      <c r="D158" s="24"/>
    </row>
    <row r="159" spans="1:4" ht="20.25" x14ac:dyDescent="0.25">
      <c r="A159" s="93"/>
      <c r="B159" s="19"/>
      <c r="C159" s="24"/>
      <c r="D159" s="24"/>
    </row>
    <row r="160" spans="1:4" ht="20.25" x14ac:dyDescent="0.25">
      <c r="A160" s="93"/>
      <c r="B160" s="19"/>
      <c r="C160" s="24"/>
      <c r="D160" s="24"/>
    </row>
    <row r="161" spans="1:4" ht="20.25" x14ac:dyDescent="0.25">
      <c r="A161" s="93"/>
      <c r="B161" s="19"/>
      <c r="C161" s="24"/>
      <c r="D161" s="24"/>
    </row>
    <row r="162" spans="1:4" ht="20.25" x14ac:dyDescent="0.25">
      <c r="A162" s="93"/>
      <c r="B162" s="19"/>
      <c r="C162" s="24"/>
      <c r="D162" s="24"/>
    </row>
    <row r="163" spans="1:4" ht="20.25" x14ac:dyDescent="0.25">
      <c r="A163" s="93"/>
      <c r="B163" s="19"/>
      <c r="C163" s="24"/>
      <c r="D163" s="24"/>
    </row>
    <row r="164" spans="1:4" ht="20.25" x14ac:dyDescent="0.25">
      <c r="A164" s="93"/>
      <c r="B164" s="19"/>
      <c r="C164" s="24"/>
      <c r="D164" s="24"/>
    </row>
    <row r="165" spans="1:4" ht="20.25" x14ac:dyDescent="0.25">
      <c r="A165" s="93"/>
      <c r="B165" s="19"/>
      <c r="C165" s="24"/>
      <c r="D165" s="24"/>
    </row>
    <row r="166" spans="1:4" ht="20.25" x14ac:dyDescent="0.25">
      <c r="A166" s="93"/>
      <c r="B166" s="19"/>
      <c r="C166" s="24"/>
      <c r="D166" s="24"/>
    </row>
    <row r="167" spans="1:4" ht="20.25" x14ac:dyDescent="0.25">
      <c r="A167" s="93"/>
      <c r="B167" s="19"/>
      <c r="C167" s="24"/>
      <c r="D167" s="24"/>
    </row>
    <row r="168" spans="1:4" ht="20.25" x14ac:dyDescent="0.25">
      <c r="A168" s="93"/>
      <c r="B168" s="19"/>
      <c r="C168" s="24"/>
      <c r="D168" s="24"/>
    </row>
    <row r="169" spans="1:4" ht="20.25" x14ac:dyDescent="0.25">
      <c r="A169" s="93"/>
      <c r="B169" s="19"/>
      <c r="C169" s="24"/>
      <c r="D169" s="24"/>
    </row>
    <row r="170" spans="1:4" ht="20.25" x14ac:dyDescent="0.25">
      <c r="A170" s="93"/>
      <c r="B170" s="19"/>
      <c r="C170" s="24"/>
      <c r="D170" s="24"/>
    </row>
    <row r="171" spans="1:4" ht="20.25" x14ac:dyDescent="0.25">
      <c r="A171" s="93"/>
      <c r="B171" s="19"/>
      <c r="C171" s="24"/>
      <c r="D171" s="24"/>
    </row>
    <row r="172" spans="1:4" ht="20.25" x14ac:dyDescent="0.25">
      <c r="A172" s="93"/>
      <c r="B172" s="19"/>
      <c r="C172" s="24"/>
      <c r="D172" s="24"/>
    </row>
    <row r="173" spans="1:4" ht="20.25" x14ac:dyDescent="0.25">
      <c r="A173" s="93"/>
      <c r="B173" s="19"/>
      <c r="C173" s="24"/>
      <c r="D173" s="24"/>
    </row>
    <row r="174" spans="1:4" ht="20.25" x14ac:dyDescent="0.25">
      <c r="A174" s="93"/>
      <c r="B174" s="19"/>
      <c r="C174" s="24"/>
      <c r="D174" s="24"/>
    </row>
    <row r="175" spans="1:4" ht="20.25" x14ac:dyDescent="0.25">
      <c r="A175" s="93"/>
      <c r="B175" s="19"/>
      <c r="C175" s="24"/>
      <c r="D175" s="24"/>
    </row>
    <row r="176" spans="1:4" ht="20.25" x14ac:dyDescent="0.25">
      <c r="A176" s="93"/>
      <c r="B176" s="19"/>
      <c r="C176" s="24"/>
      <c r="D176" s="24"/>
    </row>
    <row r="177" spans="1:4" ht="20.25" x14ac:dyDescent="0.25">
      <c r="A177" s="93"/>
      <c r="B177" s="19"/>
      <c r="C177" s="24"/>
      <c r="D177" s="24"/>
    </row>
    <row r="178" spans="1:4" ht="20.25" x14ac:dyDescent="0.25">
      <c r="A178" s="93"/>
      <c r="B178" s="19"/>
      <c r="C178" s="24"/>
      <c r="D178" s="24"/>
    </row>
    <row r="179" spans="1:4" ht="20.25" x14ac:dyDescent="0.25">
      <c r="A179" s="93"/>
      <c r="B179" s="19"/>
      <c r="C179" s="24"/>
      <c r="D179" s="24"/>
    </row>
    <row r="180" spans="1:4" ht="20.25" x14ac:dyDescent="0.25">
      <c r="A180" s="93"/>
      <c r="B180" s="19"/>
      <c r="C180" s="24"/>
      <c r="D180" s="24"/>
    </row>
    <row r="181" spans="1:4" ht="20.25" x14ac:dyDescent="0.25">
      <c r="A181" s="93"/>
      <c r="B181" s="19"/>
      <c r="C181" s="24"/>
      <c r="D181" s="24"/>
    </row>
    <row r="182" spans="1:4" ht="20.25" x14ac:dyDescent="0.25">
      <c r="A182" s="93"/>
      <c r="B182" s="19"/>
      <c r="C182" s="24"/>
      <c r="D182" s="24"/>
    </row>
    <row r="183" spans="1:4" ht="20.25" x14ac:dyDescent="0.25">
      <c r="A183" s="93"/>
      <c r="B183" s="19"/>
      <c r="C183" s="24"/>
      <c r="D183" s="24"/>
    </row>
    <row r="184" spans="1:4" ht="20.25" x14ac:dyDescent="0.25">
      <c r="A184" s="93"/>
      <c r="B184" s="19"/>
      <c r="C184" s="24"/>
      <c r="D184" s="24"/>
    </row>
    <row r="185" spans="1:4" ht="20.25" x14ac:dyDescent="0.25">
      <c r="A185" s="93"/>
      <c r="B185" s="19"/>
      <c r="C185" s="24"/>
      <c r="D185" s="24"/>
    </row>
    <row r="186" spans="1:4" ht="20.25" x14ac:dyDescent="0.25">
      <c r="A186" s="93"/>
      <c r="B186" s="19"/>
      <c r="C186" s="24"/>
      <c r="D186" s="24"/>
    </row>
    <row r="187" spans="1:4" ht="20.25" x14ac:dyDescent="0.25">
      <c r="A187" s="93"/>
      <c r="B187" s="19"/>
      <c r="C187" s="24"/>
      <c r="D187" s="24"/>
    </row>
    <row r="188" spans="1:4" ht="20.25" x14ac:dyDescent="0.25">
      <c r="A188" s="93"/>
      <c r="B188" s="19"/>
      <c r="C188" s="24"/>
      <c r="D188" s="24"/>
    </row>
    <row r="189" spans="1:4" ht="20.25" x14ac:dyDescent="0.25">
      <c r="A189" s="93"/>
      <c r="B189" s="19"/>
      <c r="C189" s="24"/>
      <c r="D189" s="24"/>
    </row>
    <row r="190" spans="1:4" ht="20.25" x14ac:dyDescent="0.25">
      <c r="A190" s="93"/>
      <c r="B190" s="19"/>
      <c r="C190" s="24"/>
      <c r="D190" s="24"/>
    </row>
    <row r="191" spans="1:4" ht="20.25" x14ac:dyDescent="0.25">
      <c r="A191" s="93"/>
      <c r="B191" s="19"/>
      <c r="C191" s="24"/>
      <c r="D191" s="24"/>
    </row>
    <row r="192" spans="1:4" ht="20.25" x14ac:dyDescent="0.25">
      <c r="A192" s="93"/>
      <c r="B192" s="19"/>
      <c r="C192" s="24"/>
      <c r="D192" s="24"/>
    </row>
    <row r="193" spans="1:4" ht="20.25" x14ac:dyDescent="0.25">
      <c r="A193" s="93"/>
      <c r="B193" s="19"/>
      <c r="C193" s="24"/>
      <c r="D193" s="24"/>
    </row>
    <row r="194" spans="1:4" ht="20.25" x14ac:dyDescent="0.25">
      <c r="A194" s="93"/>
      <c r="B194" s="19"/>
      <c r="C194" s="24"/>
      <c r="D194" s="24"/>
    </row>
    <row r="195" spans="1:4" ht="20.25" x14ac:dyDescent="0.25">
      <c r="A195" s="93"/>
      <c r="B195" s="19"/>
      <c r="C195" s="24"/>
      <c r="D195" s="24"/>
    </row>
    <row r="196" spans="1:4" ht="20.25" x14ac:dyDescent="0.25">
      <c r="A196" s="93"/>
      <c r="B196" s="19"/>
      <c r="C196" s="24"/>
      <c r="D196" s="24"/>
    </row>
    <row r="197" spans="1:4" ht="20.25" x14ac:dyDescent="0.25">
      <c r="A197" s="93"/>
      <c r="B197" s="19"/>
      <c r="C197" s="24"/>
      <c r="D197" s="24"/>
    </row>
    <row r="198" spans="1:4" ht="20.25" x14ac:dyDescent="0.25">
      <c r="A198" s="93"/>
      <c r="B198" s="19"/>
      <c r="C198" s="24"/>
      <c r="D198" s="24"/>
    </row>
    <row r="199" spans="1:4" ht="20.25" x14ac:dyDescent="0.25">
      <c r="A199" s="93"/>
      <c r="B199" s="19"/>
      <c r="C199" s="24"/>
      <c r="D199" s="24"/>
    </row>
    <row r="200" spans="1:4" ht="20.25" x14ac:dyDescent="0.25">
      <c r="A200" s="93"/>
      <c r="B200" s="19"/>
      <c r="C200" s="24"/>
      <c r="D200" s="24"/>
    </row>
    <row r="201" spans="1:4" ht="20.25" x14ac:dyDescent="0.25">
      <c r="A201" s="93"/>
      <c r="B201" s="19"/>
      <c r="C201" s="24"/>
      <c r="D201" s="24"/>
    </row>
    <row r="202" spans="1:4" ht="20.25" x14ac:dyDescent="0.25">
      <c r="A202" s="93"/>
      <c r="B202" s="19"/>
      <c r="C202" s="24"/>
      <c r="D202" s="24"/>
    </row>
    <row r="203" spans="1:4" ht="20.25" x14ac:dyDescent="0.25">
      <c r="A203" s="93"/>
      <c r="B203" s="19"/>
      <c r="C203" s="24"/>
      <c r="D203" s="24"/>
    </row>
    <row r="204" spans="1:4" ht="20.25" x14ac:dyDescent="0.25">
      <c r="A204" s="93"/>
      <c r="B204" s="19"/>
      <c r="C204" s="24"/>
      <c r="D204" s="24"/>
    </row>
    <row r="205" spans="1:4" ht="20.25" x14ac:dyDescent="0.25">
      <c r="A205" s="93"/>
      <c r="B205" s="19"/>
      <c r="C205" s="24"/>
      <c r="D205" s="24"/>
    </row>
    <row r="206" spans="1:4" ht="20.25" x14ac:dyDescent="0.25">
      <c r="A206" s="93"/>
      <c r="B206" s="19"/>
      <c r="C206" s="24"/>
      <c r="D206" s="24"/>
    </row>
    <row r="207" spans="1:4" ht="20.25" x14ac:dyDescent="0.25">
      <c r="A207" s="93"/>
      <c r="B207" s="19"/>
      <c r="C207" s="24"/>
      <c r="D207" s="24"/>
    </row>
    <row r="208" spans="1:4" x14ac:dyDescent="0.25">
      <c r="A208" s="73"/>
      <c r="B208" s="19"/>
      <c r="C208" s="19"/>
      <c r="D208" s="19"/>
    </row>
    <row r="209" spans="1:8" ht="20.25" x14ac:dyDescent="0.25">
      <c r="A209" s="73"/>
      <c r="B209" s="20" t="s">
        <v>436</v>
      </c>
      <c r="C209" s="20" t="s">
        <v>437</v>
      </c>
      <c r="D209" s="23" t="s">
        <v>436</v>
      </c>
      <c r="E209" s="23" t="s">
        <v>437</v>
      </c>
    </row>
    <row r="210" spans="1:8" ht="21" x14ac:dyDescent="0.35">
      <c r="A210" s="73"/>
      <c r="B210" s="21" t="s">
        <v>438</v>
      </c>
      <c r="C210" s="21" t="s">
        <v>439</v>
      </c>
      <c r="D210" t="s">
        <v>438</v>
      </c>
      <c r="F210" t="str">
        <f>IF(NOT(ISBLANK(D210)),D210,IF(NOT(ISBLANK(E210)),"     "&amp;E210,FALSE))</f>
        <v>Afectación Económica o presupuestal</v>
      </c>
      <c r="G210" t="s">
        <v>438</v>
      </c>
      <c r="H210" t="str">
        <f>IF(NOT(ISERROR(MATCH(G210,_xlfn.ANCHORARRAY(B221),0))),F223&amp;"Por favor no seleccionar los criterios de impacto",G210)</f>
        <v>❌Por favor no seleccionar los criterios de impacto</v>
      </c>
    </row>
    <row r="211" spans="1:8" ht="21" x14ac:dyDescent="0.35">
      <c r="A211" s="73"/>
      <c r="B211" s="21" t="s">
        <v>438</v>
      </c>
      <c r="C211" s="21" t="s">
        <v>416</v>
      </c>
      <c r="E211" t="s">
        <v>439</v>
      </c>
      <c r="F211" t="str">
        <f t="shared" ref="F211:F221" si="0">IF(NOT(ISBLANK(D211)),D211,IF(NOT(ISBLANK(E211)),"     "&amp;E211,FALSE))</f>
        <v xml:space="preserve">     Afectación menor a 10 SMLMV .</v>
      </c>
    </row>
    <row r="212" spans="1:8" ht="21" x14ac:dyDescent="0.35">
      <c r="A212" s="73"/>
      <c r="B212" s="21" t="s">
        <v>438</v>
      </c>
      <c r="C212" s="21" t="s">
        <v>419</v>
      </c>
      <c r="E212" t="s">
        <v>416</v>
      </c>
      <c r="F212" t="str">
        <f t="shared" si="0"/>
        <v xml:space="preserve">     Entre 10 y 50 SMLMV </v>
      </c>
    </row>
    <row r="213" spans="1:8" ht="21" x14ac:dyDescent="0.35">
      <c r="A213" s="73"/>
      <c r="B213" s="21" t="s">
        <v>438</v>
      </c>
      <c r="C213" s="21" t="s">
        <v>423</v>
      </c>
      <c r="E213" t="s">
        <v>419</v>
      </c>
      <c r="F213" t="str">
        <f t="shared" si="0"/>
        <v xml:space="preserve">     Entre 50 y 100 SMLMV </v>
      </c>
    </row>
    <row r="214" spans="1:8" ht="21" x14ac:dyDescent="0.35">
      <c r="A214" s="73"/>
      <c r="B214" s="21" t="s">
        <v>438</v>
      </c>
      <c r="C214" s="21" t="s">
        <v>426</v>
      </c>
      <c r="E214" t="s">
        <v>423</v>
      </c>
      <c r="F214" t="str">
        <f t="shared" si="0"/>
        <v xml:space="preserve">     Entre 100 y 500 SMLMV </v>
      </c>
    </row>
    <row r="215" spans="1:8" ht="21" x14ac:dyDescent="0.35">
      <c r="A215" s="73"/>
      <c r="B215" s="21" t="s">
        <v>410</v>
      </c>
      <c r="C215" s="21" t="s">
        <v>413</v>
      </c>
      <c r="E215" t="s">
        <v>426</v>
      </c>
      <c r="F215" t="str">
        <f t="shared" si="0"/>
        <v xml:space="preserve">     Mayor a 500 SMLMV </v>
      </c>
    </row>
    <row r="216" spans="1:8" ht="21" x14ac:dyDescent="0.35">
      <c r="A216" s="73"/>
      <c r="B216" s="21" t="s">
        <v>410</v>
      </c>
      <c r="C216" s="21" t="s">
        <v>417</v>
      </c>
      <c r="D216" t="s">
        <v>410</v>
      </c>
      <c r="F216" t="str">
        <f t="shared" si="0"/>
        <v>Pérdida Reputacional</v>
      </c>
    </row>
    <row r="217" spans="1:8" ht="21" x14ac:dyDescent="0.35">
      <c r="A217" s="73"/>
      <c r="B217" s="21" t="s">
        <v>410</v>
      </c>
      <c r="C217" s="21" t="s">
        <v>420</v>
      </c>
      <c r="E217" t="s">
        <v>413</v>
      </c>
      <c r="F217" t="str">
        <f t="shared" si="0"/>
        <v xml:space="preserve">     El riesgo afecta la imagen de alguna área de la organización</v>
      </c>
    </row>
    <row r="218" spans="1:8" ht="21" x14ac:dyDescent="0.35">
      <c r="A218" s="73"/>
      <c r="B218" s="21" t="s">
        <v>410</v>
      </c>
      <c r="C218" s="21" t="s">
        <v>424</v>
      </c>
      <c r="E218" t="s">
        <v>417</v>
      </c>
      <c r="F218" t="str">
        <f t="shared" si="0"/>
        <v xml:space="preserve">     El riesgo afecta la imagen de la entidad internamente, de conocimiento general, nivel interno, de junta dircetiva y accionistas y/o de provedores</v>
      </c>
    </row>
    <row r="219" spans="1:8" ht="21" x14ac:dyDescent="0.35">
      <c r="A219" s="73"/>
      <c r="B219" s="21" t="s">
        <v>410</v>
      </c>
      <c r="C219" s="21" t="s">
        <v>427</v>
      </c>
      <c r="E219" t="s">
        <v>420</v>
      </c>
      <c r="F219" t="str">
        <f t="shared" si="0"/>
        <v xml:space="preserve">     El riesgo afecta la imagen de la entidad con algunos usuarios de relevancia frente al logro de los objetivos</v>
      </c>
    </row>
    <row r="220" spans="1:8" x14ac:dyDescent="0.25">
      <c r="A220" s="73"/>
      <c r="B220" s="22"/>
      <c r="C220" s="22"/>
      <c r="E220" t="s">
        <v>424</v>
      </c>
      <c r="F220" t="str">
        <f t="shared" si="0"/>
        <v xml:space="preserve">     El riesgo afecta la imagen de de la entidad con efecto publicitario sostenido a nivel de sector administrativo, nivel departamental o municipal</v>
      </c>
    </row>
    <row r="221" spans="1:8" x14ac:dyDescent="0.25">
      <c r="A221" s="73"/>
      <c r="B221" s="22" t="str" cm="1">
        <f t="array" ref="B221:B223">_xlfn.UNIQUE(Tabla1[[#All],[Criterios]])</f>
        <v>Criterios</v>
      </c>
      <c r="C221" s="22"/>
      <c r="E221" t="s">
        <v>427</v>
      </c>
      <c r="F221" t="str">
        <f t="shared" si="0"/>
        <v xml:space="preserve">     El riesgo afecta la imagen de la entidad a nivel nacional, con efecto publicitarios sostenible a nivel país</v>
      </c>
    </row>
    <row r="222" spans="1:8" x14ac:dyDescent="0.25">
      <c r="A222" s="73"/>
      <c r="B222" s="22" t="str">
        <v>Afectación Económica o presupuestal</v>
      </c>
      <c r="C222" s="22"/>
    </row>
    <row r="223" spans="1:8" x14ac:dyDescent="0.25">
      <c r="B223" s="22" t="str">
        <v>Pérdida Reputacional</v>
      </c>
      <c r="C223" s="22"/>
      <c r="F223" s="25" t="s">
        <v>440</v>
      </c>
    </row>
    <row r="224" spans="1:8" x14ac:dyDescent="0.25">
      <c r="B224" s="18"/>
      <c r="C224" s="18"/>
      <c r="F224" s="25" t="s">
        <v>441</v>
      </c>
    </row>
    <row r="225" spans="2:4" x14ac:dyDescent="0.25">
      <c r="B225" s="18"/>
      <c r="C225" s="18"/>
    </row>
    <row r="226" spans="2:4" x14ac:dyDescent="0.25">
      <c r="B226" s="18"/>
      <c r="C226" s="18"/>
    </row>
    <row r="227" spans="2:4" x14ac:dyDescent="0.25">
      <c r="B227" s="18"/>
      <c r="C227" s="18"/>
      <c r="D227" s="18"/>
    </row>
    <row r="228" spans="2:4" x14ac:dyDescent="0.25">
      <c r="B228" s="18"/>
      <c r="C228" s="18"/>
      <c r="D228" s="18"/>
    </row>
    <row r="229" spans="2:4" x14ac:dyDescent="0.25">
      <c r="B229" s="18"/>
      <c r="C229" s="18"/>
      <c r="D229" s="18"/>
    </row>
    <row r="230" spans="2:4" x14ac:dyDescent="0.25">
      <c r="B230" s="18"/>
      <c r="C230" s="18"/>
      <c r="D230" s="18"/>
    </row>
    <row r="231" spans="2:4" x14ac:dyDescent="0.25">
      <c r="B231" s="18"/>
      <c r="C231" s="18"/>
      <c r="D231" s="18"/>
    </row>
    <row r="232" spans="2:4" x14ac:dyDescent="0.25">
      <c r="B232" s="18"/>
      <c r="C232" s="18"/>
      <c r="D232" s="18"/>
    </row>
  </sheetData>
  <mergeCells count="1">
    <mergeCell ref="B1:D1"/>
  </mergeCells>
  <dataValidations disablePrompts="1" count="1">
    <dataValidation type="list" allowBlank="1" showInputMessage="1" showErrorMessage="1" sqref="G210">
      <formula1>$F$210:$F$221</formula1>
    </dataValidation>
  </dataValidation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tabColor theme="7" tint="-0.249977111117893"/>
  </sheetPr>
  <dimension ref="B1:F16"/>
  <sheetViews>
    <sheetView workbookViewId="0">
      <selection activeCell="H8" sqref="H8"/>
    </sheetView>
  </sheetViews>
  <sheetFormatPr baseColWidth="10" defaultColWidth="14.28515625" defaultRowHeight="12.75" x14ac:dyDescent="0.2"/>
  <cols>
    <col min="1" max="2" width="14.28515625" style="78"/>
    <col min="3" max="3" width="17" style="78" customWidth="1"/>
    <col min="4" max="4" width="14.28515625" style="78"/>
    <col min="5" max="5" width="46" style="78" customWidth="1"/>
    <col min="6" max="16384" width="14.28515625" style="78"/>
  </cols>
  <sheetData>
    <row r="1" spans="2:6" ht="24" customHeight="1" thickBot="1" x14ac:dyDescent="0.25">
      <c r="B1" s="798" t="s">
        <v>442</v>
      </c>
      <c r="C1" s="799"/>
      <c r="D1" s="799"/>
      <c r="E1" s="799"/>
      <c r="F1" s="800"/>
    </row>
    <row r="2" spans="2:6" ht="16.5" thickBot="1" x14ac:dyDescent="0.3">
      <c r="B2" s="79"/>
      <c r="C2" s="79"/>
      <c r="D2" s="79"/>
      <c r="E2" s="79"/>
      <c r="F2" s="79"/>
    </row>
    <row r="3" spans="2:6" ht="16.5" thickBot="1" x14ac:dyDescent="0.25">
      <c r="B3" s="802" t="s">
        <v>443</v>
      </c>
      <c r="C3" s="803"/>
      <c r="D3" s="803"/>
      <c r="E3" s="91" t="s">
        <v>84</v>
      </c>
      <c r="F3" s="92" t="s">
        <v>444</v>
      </c>
    </row>
    <row r="4" spans="2:6" ht="31.5" x14ac:dyDescent="0.2">
      <c r="B4" s="804" t="s">
        <v>445</v>
      </c>
      <c r="C4" s="806" t="s">
        <v>252</v>
      </c>
      <c r="D4" s="80" t="s">
        <v>266</v>
      </c>
      <c r="E4" s="81" t="s">
        <v>446</v>
      </c>
      <c r="F4" s="82">
        <v>0.25</v>
      </c>
    </row>
    <row r="5" spans="2:6" ht="47.25" x14ac:dyDescent="0.2">
      <c r="B5" s="805"/>
      <c r="C5" s="807"/>
      <c r="D5" s="83" t="s">
        <v>447</v>
      </c>
      <c r="E5" s="84" t="s">
        <v>448</v>
      </c>
      <c r="F5" s="85">
        <v>0.15</v>
      </c>
    </row>
    <row r="6" spans="2:6" ht="47.25" x14ac:dyDescent="0.2">
      <c r="B6" s="805"/>
      <c r="C6" s="807"/>
      <c r="D6" s="83" t="s">
        <v>449</v>
      </c>
      <c r="E6" s="84" t="s">
        <v>450</v>
      </c>
      <c r="F6" s="85">
        <v>0.1</v>
      </c>
    </row>
    <row r="7" spans="2:6" ht="63" x14ac:dyDescent="0.2">
      <c r="B7" s="805"/>
      <c r="C7" s="807" t="s">
        <v>253</v>
      </c>
      <c r="D7" s="83" t="s">
        <v>289</v>
      </c>
      <c r="E7" s="84" t="s">
        <v>451</v>
      </c>
      <c r="F7" s="85">
        <v>0.25</v>
      </c>
    </row>
    <row r="8" spans="2:6" ht="31.5" x14ac:dyDescent="0.2">
      <c r="B8" s="805"/>
      <c r="C8" s="807"/>
      <c r="D8" s="83" t="s">
        <v>267</v>
      </c>
      <c r="E8" s="84" t="s">
        <v>452</v>
      </c>
      <c r="F8" s="85">
        <v>0.15</v>
      </c>
    </row>
    <row r="9" spans="2:6" ht="47.25" x14ac:dyDescent="0.2">
      <c r="B9" s="805" t="s">
        <v>453</v>
      </c>
      <c r="C9" s="807" t="s">
        <v>255</v>
      </c>
      <c r="D9" s="83" t="s">
        <v>268</v>
      </c>
      <c r="E9" s="84" t="s">
        <v>454</v>
      </c>
      <c r="F9" s="86" t="s">
        <v>455</v>
      </c>
    </row>
    <row r="10" spans="2:6" ht="63" x14ac:dyDescent="0.2">
      <c r="B10" s="805"/>
      <c r="C10" s="807"/>
      <c r="D10" s="83" t="s">
        <v>290</v>
      </c>
      <c r="E10" s="84" t="s">
        <v>456</v>
      </c>
      <c r="F10" s="86" t="s">
        <v>455</v>
      </c>
    </row>
    <row r="11" spans="2:6" ht="47.25" x14ac:dyDescent="0.2">
      <c r="B11" s="805"/>
      <c r="C11" s="807" t="s">
        <v>256</v>
      </c>
      <c r="D11" s="83" t="s">
        <v>269</v>
      </c>
      <c r="E11" s="84" t="s">
        <v>457</v>
      </c>
      <c r="F11" s="86" t="s">
        <v>455</v>
      </c>
    </row>
    <row r="12" spans="2:6" ht="47.25" x14ac:dyDescent="0.2">
      <c r="B12" s="805"/>
      <c r="C12" s="807"/>
      <c r="D12" s="83" t="s">
        <v>458</v>
      </c>
      <c r="E12" s="84" t="s">
        <v>459</v>
      </c>
      <c r="F12" s="86" t="s">
        <v>455</v>
      </c>
    </row>
    <row r="13" spans="2:6" ht="31.5" x14ac:dyDescent="0.2">
      <c r="B13" s="805"/>
      <c r="C13" s="807" t="s">
        <v>257</v>
      </c>
      <c r="D13" s="83" t="s">
        <v>270</v>
      </c>
      <c r="E13" s="84" t="s">
        <v>460</v>
      </c>
      <c r="F13" s="86" t="s">
        <v>455</v>
      </c>
    </row>
    <row r="14" spans="2:6" ht="32.25" thickBot="1" x14ac:dyDescent="0.25">
      <c r="B14" s="808"/>
      <c r="C14" s="809"/>
      <c r="D14" s="87" t="s">
        <v>461</v>
      </c>
      <c r="E14" s="88" t="s">
        <v>462</v>
      </c>
      <c r="F14" s="89" t="s">
        <v>455</v>
      </c>
    </row>
    <row r="15" spans="2:6" ht="49.5" customHeight="1" x14ac:dyDescent="0.2">
      <c r="B15" s="801" t="s">
        <v>463</v>
      </c>
      <c r="C15" s="801"/>
      <c r="D15" s="801"/>
      <c r="E15" s="801"/>
      <c r="F15" s="801"/>
    </row>
    <row r="16" spans="2:6" ht="27" customHeight="1" x14ac:dyDescent="0.25">
      <c r="B16" s="90"/>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B2:G21"/>
  <sheetViews>
    <sheetView workbookViewId="0">
      <selection activeCell="J18" sqref="J18"/>
    </sheetView>
  </sheetViews>
  <sheetFormatPr baseColWidth="10" defaultColWidth="11.42578125" defaultRowHeight="15" x14ac:dyDescent="0.25"/>
  <sheetData>
    <row r="2" spans="2:7" x14ac:dyDescent="0.25">
      <c r="B2" t="s">
        <v>464</v>
      </c>
      <c r="E2" t="s">
        <v>465</v>
      </c>
    </row>
    <row r="3" spans="2:7" x14ac:dyDescent="0.25">
      <c r="B3" t="s">
        <v>466</v>
      </c>
      <c r="E3" t="s">
        <v>467</v>
      </c>
    </row>
    <row r="4" spans="2:7" x14ac:dyDescent="0.25">
      <c r="B4" t="s">
        <v>468</v>
      </c>
      <c r="E4" t="s">
        <v>263</v>
      </c>
    </row>
    <row r="5" spans="2:7" x14ac:dyDescent="0.25">
      <c r="B5" t="s">
        <v>271</v>
      </c>
    </row>
    <row r="8" spans="2:7" x14ac:dyDescent="0.25">
      <c r="B8" t="s">
        <v>469</v>
      </c>
      <c r="G8" t="s">
        <v>470</v>
      </c>
    </row>
    <row r="9" spans="2:7" x14ac:dyDescent="0.25">
      <c r="B9" t="s">
        <v>339</v>
      </c>
      <c r="G9" t="s">
        <v>106</v>
      </c>
    </row>
    <row r="10" spans="2:7" x14ac:dyDescent="0.25">
      <c r="B10" t="s">
        <v>344</v>
      </c>
      <c r="G10" t="s">
        <v>111</v>
      </c>
    </row>
    <row r="12" spans="2:7" x14ac:dyDescent="0.25">
      <c r="G12" t="s">
        <v>471</v>
      </c>
    </row>
    <row r="13" spans="2:7" x14ac:dyDescent="0.25">
      <c r="B13" t="s">
        <v>472</v>
      </c>
      <c r="G13" t="s">
        <v>260</v>
      </c>
    </row>
    <row r="14" spans="2:7" x14ac:dyDescent="0.25">
      <c r="B14" t="s">
        <v>473</v>
      </c>
      <c r="G14" t="s">
        <v>474</v>
      </c>
    </row>
    <row r="15" spans="2:7" x14ac:dyDescent="0.25">
      <c r="B15" t="s">
        <v>475</v>
      </c>
    </row>
    <row r="16" spans="2:7" x14ac:dyDescent="0.25">
      <c r="B16" t="s">
        <v>476</v>
      </c>
    </row>
    <row r="17" spans="2:7" x14ac:dyDescent="0.25">
      <c r="B17" t="s">
        <v>477</v>
      </c>
      <c r="G17" t="s">
        <v>478</v>
      </c>
    </row>
    <row r="18" spans="2:7" x14ac:dyDescent="0.25">
      <c r="B18" t="s">
        <v>479</v>
      </c>
      <c r="G18" t="s">
        <v>480</v>
      </c>
    </row>
    <row r="19" spans="2:7" x14ac:dyDescent="0.25">
      <c r="B19" t="s">
        <v>306</v>
      </c>
      <c r="G19" t="s">
        <v>481</v>
      </c>
    </row>
    <row r="20" spans="2:7" x14ac:dyDescent="0.25">
      <c r="G20" t="s">
        <v>482</v>
      </c>
    </row>
    <row r="21" spans="2:7" x14ac:dyDescent="0.25">
      <c r="G21" t="s">
        <v>483</v>
      </c>
    </row>
  </sheetData>
  <sortState ref="B2:B5">
    <sortCondition ref="B2:B5"/>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C21"/>
  <sheetViews>
    <sheetView workbookViewId="0">
      <selection activeCell="E24" sqref="E24"/>
    </sheetView>
  </sheetViews>
  <sheetFormatPr baseColWidth="10" defaultColWidth="11.42578125" defaultRowHeight="12.75" x14ac:dyDescent="0.2"/>
  <cols>
    <col min="1" max="1" width="32.85546875" style="5" customWidth="1"/>
    <col min="2" max="2" width="11.42578125" style="5"/>
    <col min="3" max="3" width="35.42578125" style="5" customWidth="1"/>
    <col min="4" max="16384" width="11.42578125" style="5"/>
  </cols>
  <sheetData>
    <row r="1" spans="1:3" ht="15" x14ac:dyDescent="0.25">
      <c r="C1" s="199" t="s">
        <v>484</v>
      </c>
    </row>
    <row r="2" spans="1:3" ht="15" x14ac:dyDescent="0.25">
      <c r="C2" t="s">
        <v>485</v>
      </c>
    </row>
    <row r="3" spans="1:3" ht="15" x14ac:dyDescent="0.25">
      <c r="A3" s="6" t="s">
        <v>266</v>
      </c>
      <c r="C3" t="s">
        <v>185</v>
      </c>
    </row>
    <row r="4" spans="1:3" ht="15" x14ac:dyDescent="0.25">
      <c r="A4" s="6" t="s">
        <v>447</v>
      </c>
      <c r="C4" t="s">
        <v>486</v>
      </c>
    </row>
    <row r="5" spans="1:3" ht="15" x14ac:dyDescent="0.25">
      <c r="A5" s="6" t="s">
        <v>449</v>
      </c>
      <c r="C5" t="s">
        <v>487</v>
      </c>
    </row>
    <row r="6" spans="1:3" ht="15" x14ac:dyDescent="0.25">
      <c r="A6" s="6" t="s">
        <v>289</v>
      </c>
      <c r="C6" t="s">
        <v>488</v>
      </c>
    </row>
    <row r="7" spans="1:3" ht="15" x14ac:dyDescent="0.25">
      <c r="A7" s="6" t="s">
        <v>267</v>
      </c>
      <c r="C7" t="s">
        <v>489</v>
      </c>
    </row>
    <row r="8" spans="1:3" ht="15" x14ac:dyDescent="0.25">
      <c r="A8" s="6" t="s">
        <v>268</v>
      </c>
      <c r="C8" t="s">
        <v>490</v>
      </c>
    </row>
    <row r="9" spans="1:3" ht="15" x14ac:dyDescent="0.25">
      <c r="A9" s="6" t="s">
        <v>290</v>
      </c>
      <c r="C9" t="s">
        <v>491</v>
      </c>
    </row>
    <row r="10" spans="1:3" ht="15" x14ac:dyDescent="0.25">
      <c r="A10" s="6" t="s">
        <v>269</v>
      </c>
      <c r="C10" t="s">
        <v>492</v>
      </c>
    </row>
    <row r="11" spans="1:3" ht="15" x14ac:dyDescent="0.25">
      <c r="A11" s="6" t="s">
        <v>458</v>
      </c>
      <c r="C11" t="s">
        <v>493</v>
      </c>
    </row>
    <row r="12" spans="1:3" ht="15" x14ac:dyDescent="0.25">
      <c r="A12" s="6" t="s">
        <v>494</v>
      </c>
      <c r="C12" t="s">
        <v>495</v>
      </c>
    </row>
    <row r="13" spans="1:3" ht="15" x14ac:dyDescent="0.25">
      <c r="A13" s="6" t="s">
        <v>496</v>
      </c>
      <c r="C13" t="s">
        <v>497</v>
      </c>
    </row>
    <row r="14" spans="1:3" ht="15" x14ac:dyDescent="0.25">
      <c r="A14" s="6" t="s">
        <v>498</v>
      </c>
      <c r="C14" t="s">
        <v>499</v>
      </c>
    </row>
    <row r="15" spans="1:3" ht="15" x14ac:dyDescent="0.25">
      <c r="C15" t="s">
        <v>500</v>
      </c>
    </row>
    <row r="16" spans="1:3" ht="15" x14ac:dyDescent="0.25">
      <c r="A16" s="6" t="s">
        <v>501</v>
      </c>
      <c r="C16" t="s">
        <v>502</v>
      </c>
    </row>
    <row r="17" spans="1:3" ht="15" x14ac:dyDescent="0.25">
      <c r="A17" s="6" t="s">
        <v>464</v>
      </c>
      <c r="C17" t="s">
        <v>503</v>
      </c>
    </row>
    <row r="18" spans="1:3" ht="15" x14ac:dyDescent="0.25">
      <c r="A18" s="6" t="s">
        <v>466</v>
      </c>
      <c r="C18" t="s">
        <v>504</v>
      </c>
    </row>
    <row r="19" spans="1:3" ht="15" x14ac:dyDescent="0.25">
      <c r="C19" t="s">
        <v>219</v>
      </c>
    </row>
    <row r="20" spans="1:3" ht="15" x14ac:dyDescent="0.25">
      <c r="A20" s="6" t="s">
        <v>339</v>
      </c>
      <c r="C20" t="s">
        <v>505</v>
      </c>
    </row>
    <row r="21" spans="1:3" ht="15" x14ac:dyDescent="0.25">
      <c r="A21" s="6" t="s">
        <v>344</v>
      </c>
      <c r="C21" t="s">
        <v>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5</vt:i4>
      </vt:variant>
    </vt:vector>
  </HeadingPairs>
  <TitlesOfParts>
    <vt:vector size="19" baseType="lpstr">
      <vt:lpstr>FÓRMULAS</vt:lpstr>
      <vt:lpstr>Intructivo</vt:lpstr>
      <vt:lpstr>DOFA</vt:lpstr>
      <vt:lpstr>Mapa de Riesgos</vt:lpstr>
      <vt:lpstr>Plan de Acción</vt:lpstr>
      <vt:lpstr>Monitoreo de Riesgos</vt:lpstr>
      <vt:lpstr>Historial de Cambios</vt:lpstr>
      <vt:lpstr>Matriz Calor Inherente</vt:lpstr>
      <vt:lpstr>Matriz Calor Residual</vt:lpstr>
      <vt:lpstr>Tabla probabilidad</vt:lpstr>
      <vt:lpstr>Tabla Impacto</vt:lpstr>
      <vt:lpstr>Tabla Valoración controles</vt:lpstr>
      <vt:lpstr>Opciones Tratamiento</vt:lpstr>
      <vt:lpstr>Hoja1</vt:lpstr>
      <vt:lpstr>DOFA!Área_de_impresión</vt:lpstr>
      <vt:lpstr>IMPACTO</vt:lpstr>
      <vt:lpstr>NIVEL</vt:lpstr>
      <vt:lpstr>PROBABILIDAD</vt:lpstr>
      <vt:lpstr>'Historial de Cambios'!Títulos_a_imprimir</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Deisy Johana González Castellanos</cp:lastModifiedBy>
  <cp:revision/>
  <dcterms:created xsi:type="dcterms:W3CDTF">2020-03-24T23:12:47Z</dcterms:created>
  <dcterms:modified xsi:type="dcterms:W3CDTF">2025-03-26T20:36:20Z</dcterms:modified>
  <cp:category/>
  <cp:contentStatus/>
</cp:coreProperties>
</file>